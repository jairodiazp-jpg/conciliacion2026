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quinal-my.sharepoint.com/personal/anny_lozano_spradling_group/Documents/CAJA Y BANCOS/BANCOS/CONCILIACION/CALYPSO/CONCILIACIONES BANCARIAS/CONCILIACIONES BANCARIAS 2026/ABRIL/"/>
    </mc:Choice>
  </mc:AlternateContent>
  <xr:revisionPtr revIDLastSave="0" documentId="8_{CC108DFF-C27C-4D2A-97D9-F38748DC5840}" xr6:coauthVersionLast="47" xr6:coauthVersionMax="47" xr10:uidLastSave="{00000000-0000-0000-0000-000000000000}"/>
  <bookViews>
    <workbookView xWindow="-120" yWindow="-120" windowWidth="20730" windowHeight="11040" tabRatio="653" xr2:uid="{0A1422F0-4314-4FF4-9ADB-F0A939EF9DFF}"/>
  </bookViews>
  <sheets>
    <sheet name="Bancolombia Cta 1331  " sheetId="114" r:id="rId1"/>
    <sheet name="Banco de Bogotá 0553 " sheetId="115" r:id="rId2"/>
    <sheet name="Bancolombia Cta 690 " sheetId="116" r:id="rId3"/>
    <sheet name="Banco Colpatria Def" sheetId="117" r:id="rId4"/>
    <sheet name="Banco de Bogota E-commerce" sheetId="118" r:id="rId5"/>
    <sheet name="Banco Itaú Aho. 39292-44 " sheetId="121" r:id="rId6"/>
    <sheet name="Mercado Pago" sheetId="119" r:id="rId7"/>
    <sheet name="Banco de Bogotá Aho. 095000 " sheetId="120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</externalReferences>
  <definedNames>
    <definedName name="\a" localSheetId="1">[1]EFSV0695!#REF!</definedName>
    <definedName name="\a" localSheetId="0">[1]EFSV0695!#REF!</definedName>
    <definedName name="\a" localSheetId="2">[1]EFSV0695!#REF!</definedName>
    <definedName name="\a" localSheetId="6">[1]EFSV0695!#REF!</definedName>
    <definedName name="\a">[1]EFSV0695!#REF!</definedName>
    <definedName name="\f" localSheetId="1">[1]EFSV0695!#REF!</definedName>
    <definedName name="\f" localSheetId="0">[1]EFSV0695!#REF!</definedName>
    <definedName name="\f" localSheetId="2">[1]EFSV0695!#REF!</definedName>
    <definedName name="\f">[1]EFSV0695!#REF!</definedName>
    <definedName name="\p" localSheetId="1">'[2]Serie TRM'!#REF!</definedName>
    <definedName name="\p" localSheetId="0">'[2]Serie TRM'!#REF!</definedName>
    <definedName name="\p" localSheetId="2">'[2]Serie TRM'!#REF!</definedName>
    <definedName name="\p">'[2]Serie TRM'!#REF!</definedName>
    <definedName name="\w" localSheetId="1">#REF!</definedName>
    <definedName name="\w" localSheetId="7">#REF!</definedName>
    <definedName name="\w" localSheetId="4">#REF!</definedName>
    <definedName name="\w" localSheetId="5">#REF!</definedName>
    <definedName name="\w" localSheetId="0">#REF!</definedName>
    <definedName name="\w" localSheetId="2">#REF!</definedName>
    <definedName name="\w" localSheetId="6">#REF!</definedName>
    <definedName name="\w">#REF!</definedName>
    <definedName name="\z" localSheetId="1">#REF!</definedName>
    <definedName name="\z" localSheetId="7">#REF!</definedName>
    <definedName name="\z" localSheetId="4">#REF!</definedName>
    <definedName name="\z" localSheetId="5">#REF!</definedName>
    <definedName name="\z" localSheetId="0">#REF!</definedName>
    <definedName name="\z" localSheetId="2">#REF!</definedName>
    <definedName name="\z" localSheetId="6">#REF!</definedName>
    <definedName name="\z">#REF!</definedName>
    <definedName name="_" localSheetId="1">#REF!</definedName>
    <definedName name="_" localSheetId="7">#REF!</definedName>
    <definedName name="_" localSheetId="4">#REF!</definedName>
    <definedName name="_" localSheetId="5">#REF!</definedName>
    <definedName name="_" localSheetId="0">#REF!</definedName>
    <definedName name="_" localSheetId="2">#REF!</definedName>
    <definedName name="_" localSheetId="6">#REF!</definedName>
    <definedName name="_">#REF!</definedName>
    <definedName name="________________________Int1" localSheetId="1">[3]Resumen!$M$8:$M$35</definedName>
    <definedName name="________________________Int1" localSheetId="7">[4]Resumen!$M$8:$M$35</definedName>
    <definedName name="________________________Int1" localSheetId="4">[5]Resumen!$M$8:$M$35</definedName>
    <definedName name="________________________Int1" localSheetId="5">[4]Resumen!$M$8:$M$35</definedName>
    <definedName name="________________________Int1" localSheetId="0">[3]Resumen!$M$8:$M$35</definedName>
    <definedName name="________________________Int1" localSheetId="2">[3]Resumen!$M$8:$M$35</definedName>
    <definedName name="________________________Int1" localSheetId="6">[4]Resumen!$M$8:$M$35</definedName>
    <definedName name="________________________Int1">[3]Resumen!$M$8:$M$35</definedName>
    <definedName name="________________________Int2" localSheetId="1">[3]Resumen!$Q$8:$Q$35</definedName>
    <definedName name="________________________Int2" localSheetId="7">[4]Resumen!$Q$8:$Q$35</definedName>
    <definedName name="________________________Int2" localSheetId="4">[5]Resumen!$Q$8:$Q$35</definedName>
    <definedName name="________________________Int2" localSheetId="5">[4]Resumen!$Q$8:$Q$35</definedName>
    <definedName name="________________________Int2" localSheetId="0">[3]Resumen!$Q$8:$Q$35</definedName>
    <definedName name="________________________Int2" localSheetId="2">[3]Resumen!$Q$8:$Q$35</definedName>
    <definedName name="________________________Int2" localSheetId="6">[4]Resumen!$Q$8:$Q$35</definedName>
    <definedName name="________________________Int2">[3]Resumen!$Q$8:$Q$35</definedName>
    <definedName name="________________________Int3" localSheetId="1">[3]Resumen!$U$8:$U$35</definedName>
    <definedName name="________________________Int3" localSheetId="7">[4]Resumen!$U$8:$U$35</definedName>
    <definedName name="________________________Int3" localSheetId="4">[5]Resumen!$U$8:$U$35</definedName>
    <definedName name="________________________Int3" localSheetId="5">[4]Resumen!$U$8:$U$35</definedName>
    <definedName name="________________________Int3" localSheetId="0">[3]Resumen!$U$8:$U$35</definedName>
    <definedName name="________________________Int3" localSheetId="2">[3]Resumen!$U$8:$U$35</definedName>
    <definedName name="________________________Int3" localSheetId="6">[4]Resumen!$U$8:$U$35</definedName>
    <definedName name="________________________Int3">[3]Resumen!$U$8:$U$35</definedName>
    <definedName name="________________________Int4" localSheetId="1">[3]Resumen!$Y$8:$Y$35</definedName>
    <definedName name="________________________Int4" localSheetId="7">[4]Resumen!$Y$8:$Y$35</definedName>
    <definedName name="________________________Int4" localSheetId="4">[5]Resumen!$Y$8:$Y$35</definedName>
    <definedName name="________________________Int4" localSheetId="5">[4]Resumen!$Y$8:$Y$35</definedName>
    <definedName name="________________________Int4" localSheetId="0">[3]Resumen!$Y$8:$Y$35</definedName>
    <definedName name="________________________Int4" localSheetId="2">[3]Resumen!$Y$8:$Y$35</definedName>
    <definedName name="________________________Int4" localSheetId="6">[4]Resumen!$Y$8:$Y$35</definedName>
    <definedName name="________________________Int4">[3]Resumen!$Y$8:$Y$35</definedName>
    <definedName name="_______________________ANO2" localSheetId="1">'[6]GTOS PERSONAL COL Y CR'!$C$5</definedName>
    <definedName name="_______________________ANO2" localSheetId="7">'[7]GTOS PERSONAL COL Y CR'!$C$5</definedName>
    <definedName name="_______________________ANO2" localSheetId="4">'[8]GTOS PERSONAL COL Y CR'!$C$5</definedName>
    <definedName name="_______________________ANO2" localSheetId="5">'[7]GTOS PERSONAL COL Y CR'!$C$5</definedName>
    <definedName name="_______________________ANO2" localSheetId="0">'[6]GTOS PERSONAL COL Y CR'!$C$5</definedName>
    <definedName name="_______________________ANO2" localSheetId="2">'[6]GTOS PERSONAL COL Y CR'!$C$5</definedName>
    <definedName name="_______________________ANO2" localSheetId="6">'[7]GTOS PERSONAL COL Y CR'!$C$5</definedName>
    <definedName name="_______________________ANO2">'[6]GTOS PERSONAL COL Y CR'!$C$5</definedName>
    <definedName name="_______________________DIA19" localSheetId="1">#REF!</definedName>
    <definedName name="_______________________DIA19" localSheetId="7">#REF!</definedName>
    <definedName name="_______________________DIA19" localSheetId="4">#REF!</definedName>
    <definedName name="_______________________DIA19" localSheetId="5">#REF!</definedName>
    <definedName name="_______________________DIA19" localSheetId="0">#REF!</definedName>
    <definedName name="_______________________DIA19" localSheetId="2">#REF!</definedName>
    <definedName name="_______________________DIA19" localSheetId="6">#REF!</definedName>
    <definedName name="_______________________DIA19">#REF!</definedName>
    <definedName name="_______________________Int1" localSheetId="1">[3]Resumen!$M$8:$M$35</definedName>
    <definedName name="_______________________Int1" localSheetId="7">[4]Resumen!$M$8:$M$35</definedName>
    <definedName name="_______________________Int1" localSheetId="4">[5]Resumen!$M$8:$M$35</definedName>
    <definedName name="_______________________Int1" localSheetId="5">[4]Resumen!$M$8:$M$35</definedName>
    <definedName name="_______________________Int1" localSheetId="0">[3]Resumen!$M$8:$M$35</definedName>
    <definedName name="_______________________Int1" localSheetId="2">[3]Resumen!$M$8:$M$35</definedName>
    <definedName name="_______________________Int1" localSheetId="6">[4]Resumen!$M$8:$M$35</definedName>
    <definedName name="_______________________Int1">[3]Resumen!$M$8:$M$35</definedName>
    <definedName name="_______________________Int2" localSheetId="1">[3]Resumen!$Q$8:$Q$35</definedName>
    <definedName name="_______________________Int2" localSheetId="7">[4]Resumen!$Q$8:$Q$35</definedName>
    <definedName name="_______________________Int2" localSheetId="4">[5]Resumen!$Q$8:$Q$35</definedName>
    <definedName name="_______________________Int2" localSheetId="5">[4]Resumen!$Q$8:$Q$35</definedName>
    <definedName name="_______________________Int2" localSheetId="0">[3]Resumen!$Q$8:$Q$35</definedName>
    <definedName name="_______________________Int2" localSheetId="2">[3]Resumen!$Q$8:$Q$35</definedName>
    <definedName name="_______________________Int2" localSheetId="6">[4]Resumen!$Q$8:$Q$35</definedName>
    <definedName name="_______________________Int2">[3]Resumen!$Q$8:$Q$35</definedName>
    <definedName name="_______________________Int3" localSheetId="1">[3]Resumen!$U$8:$U$35</definedName>
    <definedName name="_______________________Int3" localSheetId="7">[4]Resumen!$U$8:$U$35</definedName>
    <definedName name="_______________________Int3" localSheetId="4">[5]Resumen!$U$8:$U$35</definedName>
    <definedName name="_______________________Int3" localSheetId="5">[4]Resumen!$U$8:$U$35</definedName>
    <definedName name="_______________________Int3" localSheetId="0">[3]Resumen!$U$8:$U$35</definedName>
    <definedName name="_______________________Int3" localSheetId="2">[3]Resumen!$U$8:$U$35</definedName>
    <definedName name="_______________________Int3" localSheetId="6">[4]Resumen!$U$8:$U$35</definedName>
    <definedName name="_______________________Int3">[3]Resumen!$U$8:$U$35</definedName>
    <definedName name="_______________________Int4" localSheetId="1">[3]Resumen!$Y$8:$Y$35</definedName>
    <definedName name="_______________________Int4" localSheetId="7">[4]Resumen!$Y$8:$Y$35</definedName>
    <definedName name="_______________________Int4" localSheetId="4">[5]Resumen!$Y$8:$Y$35</definedName>
    <definedName name="_______________________Int4" localSheetId="5">[4]Resumen!$Y$8:$Y$35</definedName>
    <definedName name="_______________________Int4" localSheetId="0">[3]Resumen!$Y$8:$Y$35</definedName>
    <definedName name="_______________________Int4" localSheetId="2">[3]Resumen!$Y$8:$Y$35</definedName>
    <definedName name="_______________________Int4" localSheetId="6">[4]Resumen!$Y$8:$Y$35</definedName>
    <definedName name="_______________________Int4">[3]Resumen!$Y$8:$Y$35</definedName>
    <definedName name="______________________ANO2" localSheetId="1">'[6]GTOS PERSONAL COL Y CR'!$C$5</definedName>
    <definedName name="______________________ANO2" localSheetId="7">'[7]GTOS PERSONAL COL Y CR'!$C$5</definedName>
    <definedName name="______________________ANO2" localSheetId="4">'[8]GTOS PERSONAL COL Y CR'!$C$5</definedName>
    <definedName name="______________________ANO2" localSheetId="5">'[7]GTOS PERSONAL COL Y CR'!$C$5</definedName>
    <definedName name="______________________ANO2" localSheetId="0">'[6]GTOS PERSONAL COL Y CR'!$C$5</definedName>
    <definedName name="______________________ANO2" localSheetId="2">'[6]GTOS PERSONAL COL Y CR'!$C$5</definedName>
    <definedName name="______________________ANO2" localSheetId="6">'[7]GTOS PERSONAL COL Y CR'!$C$5</definedName>
    <definedName name="______________________ANO2">'[6]GTOS PERSONAL COL Y CR'!$C$5</definedName>
    <definedName name="______________________DIA19" localSheetId="1">#REF!</definedName>
    <definedName name="______________________DIA19" localSheetId="7">#REF!</definedName>
    <definedName name="______________________DIA19" localSheetId="4">#REF!</definedName>
    <definedName name="______________________DIA19" localSheetId="5">#REF!</definedName>
    <definedName name="______________________DIA19" localSheetId="0">#REF!</definedName>
    <definedName name="______________________DIA19" localSheetId="2">#REF!</definedName>
    <definedName name="______________________DIA19" localSheetId="6">#REF!</definedName>
    <definedName name="______________________DIA19">#REF!</definedName>
    <definedName name="______________________Int1" localSheetId="1">[3]Resumen!$M$8:$M$35</definedName>
    <definedName name="______________________Int1" localSheetId="7">[4]Resumen!$M$8:$M$35</definedName>
    <definedName name="______________________Int1" localSheetId="4">[5]Resumen!$M$8:$M$35</definedName>
    <definedName name="______________________Int1" localSheetId="5">[4]Resumen!$M$8:$M$35</definedName>
    <definedName name="______________________Int1" localSheetId="0">[3]Resumen!$M$8:$M$35</definedName>
    <definedName name="______________________Int1" localSheetId="2">[3]Resumen!$M$8:$M$35</definedName>
    <definedName name="______________________Int1" localSheetId="6">[4]Resumen!$M$8:$M$35</definedName>
    <definedName name="______________________Int1">[3]Resumen!$M$8:$M$35</definedName>
    <definedName name="______________________Int2" localSheetId="1">[3]Resumen!$Q$8:$Q$35</definedName>
    <definedName name="______________________Int2" localSheetId="7">[4]Resumen!$Q$8:$Q$35</definedName>
    <definedName name="______________________Int2" localSheetId="4">[5]Resumen!$Q$8:$Q$35</definedName>
    <definedName name="______________________Int2" localSheetId="5">[4]Resumen!$Q$8:$Q$35</definedName>
    <definedName name="______________________Int2" localSheetId="0">[3]Resumen!$Q$8:$Q$35</definedName>
    <definedName name="______________________Int2" localSheetId="2">[3]Resumen!$Q$8:$Q$35</definedName>
    <definedName name="______________________Int2" localSheetId="6">[4]Resumen!$Q$8:$Q$35</definedName>
    <definedName name="______________________Int2">[3]Resumen!$Q$8:$Q$35</definedName>
    <definedName name="______________________Int3" localSheetId="1">[3]Resumen!$U$8:$U$35</definedName>
    <definedName name="______________________Int3" localSheetId="7">[4]Resumen!$U$8:$U$35</definedName>
    <definedName name="______________________Int3" localSheetId="4">[5]Resumen!$U$8:$U$35</definedName>
    <definedName name="______________________Int3" localSheetId="5">[4]Resumen!$U$8:$U$35</definedName>
    <definedName name="______________________Int3" localSheetId="0">[3]Resumen!$U$8:$U$35</definedName>
    <definedName name="______________________Int3" localSheetId="2">[3]Resumen!$U$8:$U$35</definedName>
    <definedName name="______________________Int3" localSheetId="6">[4]Resumen!$U$8:$U$35</definedName>
    <definedName name="______________________Int3">[3]Resumen!$U$8:$U$35</definedName>
    <definedName name="______________________Int4" localSheetId="1">[3]Resumen!$Y$8:$Y$35</definedName>
    <definedName name="______________________Int4" localSheetId="7">[4]Resumen!$Y$8:$Y$35</definedName>
    <definedName name="______________________Int4" localSheetId="4">[5]Resumen!$Y$8:$Y$35</definedName>
    <definedName name="______________________Int4" localSheetId="5">[4]Resumen!$Y$8:$Y$35</definedName>
    <definedName name="______________________Int4" localSheetId="0">[3]Resumen!$Y$8:$Y$35</definedName>
    <definedName name="______________________Int4" localSheetId="2">[3]Resumen!$Y$8:$Y$35</definedName>
    <definedName name="______________________Int4" localSheetId="6">[4]Resumen!$Y$8:$Y$35</definedName>
    <definedName name="______________________Int4">[3]Resumen!$Y$8:$Y$35</definedName>
    <definedName name="_____________________ANO2" localSheetId="1">'[6]GTOS PERSONAL COL Y CR'!$C$5</definedName>
    <definedName name="_____________________ANO2" localSheetId="7">'[7]GTOS PERSONAL COL Y CR'!$C$5</definedName>
    <definedName name="_____________________ANO2" localSheetId="4">'[8]GTOS PERSONAL COL Y CR'!$C$5</definedName>
    <definedName name="_____________________ANO2" localSheetId="5">'[7]GTOS PERSONAL COL Y CR'!$C$5</definedName>
    <definedName name="_____________________ANO2" localSheetId="0">'[6]GTOS PERSONAL COL Y CR'!$C$5</definedName>
    <definedName name="_____________________ANO2" localSheetId="2">'[6]GTOS PERSONAL COL Y CR'!$C$5</definedName>
    <definedName name="_____________________ANO2" localSheetId="6">'[7]GTOS PERSONAL COL Y CR'!$C$5</definedName>
    <definedName name="_____________________ANO2">'[6]GTOS PERSONAL COL Y CR'!$C$5</definedName>
    <definedName name="_____________________DIA19" localSheetId="1">#REF!</definedName>
    <definedName name="_____________________DIA19" localSheetId="7">#REF!</definedName>
    <definedName name="_____________________DIA19" localSheetId="4">#REF!</definedName>
    <definedName name="_____________________DIA19" localSheetId="5">#REF!</definedName>
    <definedName name="_____________________DIA19" localSheetId="0">#REF!</definedName>
    <definedName name="_____________________DIA19" localSheetId="2">#REF!</definedName>
    <definedName name="_____________________DIA19" localSheetId="6">#REF!</definedName>
    <definedName name="_____________________DIA19">#REF!</definedName>
    <definedName name="_____________________Int1" localSheetId="1">[3]Resumen!$M$8:$M$35</definedName>
    <definedName name="_____________________Int1" localSheetId="7">[4]Resumen!$M$8:$M$35</definedName>
    <definedName name="_____________________Int1" localSheetId="4">[5]Resumen!$M$8:$M$35</definedName>
    <definedName name="_____________________Int1" localSheetId="5">[4]Resumen!$M$8:$M$35</definedName>
    <definedName name="_____________________Int1" localSheetId="0">[3]Resumen!$M$8:$M$35</definedName>
    <definedName name="_____________________Int1" localSheetId="2">[3]Resumen!$M$8:$M$35</definedName>
    <definedName name="_____________________Int1" localSheetId="6">[4]Resumen!$M$8:$M$35</definedName>
    <definedName name="_____________________Int1">[3]Resumen!$M$8:$M$35</definedName>
    <definedName name="_____________________Int2" localSheetId="1">[3]Resumen!$Q$8:$Q$35</definedName>
    <definedName name="_____________________Int2" localSheetId="7">[4]Resumen!$Q$8:$Q$35</definedName>
    <definedName name="_____________________Int2" localSheetId="4">[5]Resumen!$Q$8:$Q$35</definedName>
    <definedName name="_____________________Int2" localSheetId="5">[4]Resumen!$Q$8:$Q$35</definedName>
    <definedName name="_____________________Int2" localSheetId="0">[3]Resumen!$Q$8:$Q$35</definedName>
    <definedName name="_____________________Int2" localSheetId="2">[3]Resumen!$Q$8:$Q$35</definedName>
    <definedName name="_____________________Int2" localSheetId="6">[4]Resumen!$Q$8:$Q$35</definedName>
    <definedName name="_____________________Int2">[3]Resumen!$Q$8:$Q$35</definedName>
    <definedName name="_____________________Int3" localSheetId="1">[3]Resumen!$U$8:$U$35</definedName>
    <definedName name="_____________________Int3" localSheetId="7">[4]Resumen!$U$8:$U$35</definedName>
    <definedName name="_____________________Int3" localSheetId="4">[5]Resumen!$U$8:$U$35</definedName>
    <definedName name="_____________________Int3" localSheetId="5">[4]Resumen!$U$8:$U$35</definedName>
    <definedName name="_____________________Int3" localSheetId="0">[3]Resumen!$U$8:$U$35</definedName>
    <definedName name="_____________________Int3" localSheetId="2">[3]Resumen!$U$8:$U$35</definedName>
    <definedName name="_____________________Int3" localSheetId="6">[4]Resumen!$U$8:$U$35</definedName>
    <definedName name="_____________________Int3">[3]Resumen!$U$8:$U$35</definedName>
    <definedName name="_____________________Int4" localSheetId="1">[3]Resumen!$Y$8:$Y$35</definedName>
    <definedName name="_____________________Int4" localSheetId="7">[4]Resumen!$Y$8:$Y$35</definedName>
    <definedName name="_____________________Int4" localSheetId="4">[5]Resumen!$Y$8:$Y$35</definedName>
    <definedName name="_____________________Int4" localSheetId="5">[4]Resumen!$Y$8:$Y$35</definedName>
    <definedName name="_____________________Int4" localSheetId="0">[3]Resumen!$Y$8:$Y$35</definedName>
    <definedName name="_____________________Int4" localSheetId="2">[3]Resumen!$Y$8:$Y$35</definedName>
    <definedName name="_____________________Int4" localSheetId="6">[4]Resumen!$Y$8:$Y$35</definedName>
    <definedName name="_____________________Int4">[3]Resumen!$Y$8:$Y$35</definedName>
    <definedName name="____________________ANO2" localSheetId="1">'[6]GTOS PERSONAL COL Y CR'!$C$5</definedName>
    <definedName name="____________________ANO2" localSheetId="7">'[7]GTOS PERSONAL COL Y CR'!$C$5</definedName>
    <definedName name="____________________ANO2" localSheetId="4">'[8]GTOS PERSONAL COL Y CR'!$C$5</definedName>
    <definedName name="____________________ANO2" localSheetId="5">'[7]GTOS PERSONAL COL Y CR'!$C$5</definedName>
    <definedName name="____________________ANO2" localSheetId="0">'[6]GTOS PERSONAL COL Y CR'!$C$5</definedName>
    <definedName name="____________________ANO2" localSheetId="2">'[6]GTOS PERSONAL COL Y CR'!$C$5</definedName>
    <definedName name="____________________ANO2" localSheetId="6">'[7]GTOS PERSONAL COL Y CR'!$C$5</definedName>
    <definedName name="____________________ANO2">'[6]GTOS PERSONAL COL Y CR'!$C$5</definedName>
    <definedName name="____________________DIA19" localSheetId="1">#REF!</definedName>
    <definedName name="____________________DIA19" localSheetId="7">#REF!</definedName>
    <definedName name="____________________DIA19" localSheetId="4">#REF!</definedName>
    <definedName name="____________________DIA19" localSheetId="5">#REF!</definedName>
    <definedName name="____________________DIA19" localSheetId="0">#REF!</definedName>
    <definedName name="____________________DIA19" localSheetId="2">#REF!</definedName>
    <definedName name="____________________DIA19" localSheetId="6">#REF!</definedName>
    <definedName name="____________________DIA19">#REF!</definedName>
    <definedName name="____________________Int1" localSheetId="1">[3]Resumen!$M$8:$M$35</definedName>
    <definedName name="____________________Int1" localSheetId="7">[4]Resumen!$M$8:$M$35</definedName>
    <definedName name="____________________Int1" localSheetId="4">[5]Resumen!$M$8:$M$35</definedName>
    <definedName name="____________________Int1" localSheetId="5">[4]Resumen!$M$8:$M$35</definedName>
    <definedName name="____________________Int1" localSheetId="0">[3]Resumen!$M$8:$M$35</definedName>
    <definedName name="____________________Int1" localSheetId="2">[3]Resumen!$M$8:$M$35</definedName>
    <definedName name="____________________Int1" localSheetId="6">[4]Resumen!$M$8:$M$35</definedName>
    <definedName name="____________________Int1">[3]Resumen!$M$8:$M$35</definedName>
    <definedName name="____________________Int2" localSheetId="1">[3]Resumen!$Q$8:$Q$35</definedName>
    <definedName name="____________________Int2" localSheetId="7">[4]Resumen!$Q$8:$Q$35</definedName>
    <definedName name="____________________Int2" localSheetId="4">[5]Resumen!$Q$8:$Q$35</definedName>
    <definedName name="____________________Int2" localSheetId="5">[4]Resumen!$Q$8:$Q$35</definedName>
    <definedName name="____________________Int2" localSheetId="0">[3]Resumen!$Q$8:$Q$35</definedName>
    <definedName name="____________________Int2" localSheetId="2">[3]Resumen!$Q$8:$Q$35</definedName>
    <definedName name="____________________Int2" localSheetId="6">[4]Resumen!$Q$8:$Q$35</definedName>
    <definedName name="____________________Int2">[3]Resumen!$Q$8:$Q$35</definedName>
    <definedName name="____________________Int3" localSheetId="1">[3]Resumen!$U$8:$U$35</definedName>
    <definedName name="____________________Int3" localSheetId="7">[4]Resumen!$U$8:$U$35</definedName>
    <definedName name="____________________Int3" localSheetId="4">[5]Resumen!$U$8:$U$35</definedName>
    <definedName name="____________________Int3" localSheetId="5">[4]Resumen!$U$8:$U$35</definedName>
    <definedName name="____________________Int3" localSheetId="0">[3]Resumen!$U$8:$U$35</definedName>
    <definedName name="____________________Int3" localSheetId="2">[3]Resumen!$U$8:$U$35</definedName>
    <definedName name="____________________Int3" localSheetId="6">[4]Resumen!$U$8:$U$35</definedName>
    <definedName name="____________________Int3">[3]Resumen!$U$8:$U$35</definedName>
    <definedName name="____________________Int4" localSheetId="1">[3]Resumen!$Y$8:$Y$35</definedName>
    <definedName name="____________________Int4" localSheetId="7">[4]Resumen!$Y$8:$Y$35</definedName>
    <definedName name="____________________Int4" localSheetId="4">[5]Resumen!$Y$8:$Y$35</definedName>
    <definedName name="____________________Int4" localSheetId="5">[4]Resumen!$Y$8:$Y$35</definedName>
    <definedName name="____________________Int4" localSheetId="0">[3]Resumen!$Y$8:$Y$35</definedName>
    <definedName name="____________________Int4" localSheetId="2">[3]Resumen!$Y$8:$Y$35</definedName>
    <definedName name="____________________Int4" localSheetId="6">[4]Resumen!$Y$8:$Y$35</definedName>
    <definedName name="____________________Int4">[3]Resumen!$Y$8:$Y$35</definedName>
    <definedName name="___________________ANO2" localSheetId="1">'[6]GTOS PERSONAL COL Y CR'!$C$5</definedName>
    <definedName name="___________________ANO2" localSheetId="7">'[7]GTOS PERSONAL COL Y CR'!$C$5</definedName>
    <definedName name="___________________ANO2" localSheetId="4">'[8]GTOS PERSONAL COL Y CR'!$C$5</definedName>
    <definedName name="___________________ANO2" localSheetId="5">'[7]GTOS PERSONAL COL Y CR'!$C$5</definedName>
    <definedName name="___________________ANO2" localSheetId="0">'[6]GTOS PERSONAL COL Y CR'!$C$5</definedName>
    <definedName name="___________________ANO2" localSheetId="2">'[6]GTOS PERSONAL COL Y CR'!$C$5</definedName>
    <definedName name="___________________ANO2" localSheetId="6">'[7]GTOS PERSONAL COL Y CR'!$C$5</definedName>
    <definedName name="___________________ANO2">'[6]GTOS PERSONAL COL Y CR'!$C$5</definedName>
    <definedName name="___________________DIA19" localSheetId="1">#REF!</definedName>
    <definedName name="___________________DIA19" localSheetId="7">#REF!</definedName>
    <definedName name="___________________DIA19" localSheetId="4">#REF!</definedName>
    <definedName name="___________________DIA19" localSheetId="5">#REF!</definedName>
    <definedName name="___________________DIA19" localSheetId="0">#REF!</definedName>
    <definedName name="___________________DIA19" localSheetId="2">#REF!</definedName>
    <definedName name="___________________DIA19" localSheetId="6">#REF!</definedName>
    <definedName name="___________________DIA19">#REF!</definedName>
    <definedName name="___________________Int1" localSheetId="1">[3]Resumen!$M$8:$M$35</definedName>
    <definedName name="___________________Int1" localSheetId="7">[4]Resumen!$M$8:$M$35</definedName>
    <definedName name="___________________Int1" localSheetId="4">[5]Resumen!$M$8:$M$35</definedName>
    <definedName name="___________________Int1" localSheetId="5">[4]Resumen!$M$8:$M$35</definedName>
    <definedName name="___________________Int1" localSheetId="0">[3]Resumen!$M$8:$M$35</definedName>
    <definedName name="___________________Int1" localSheetId="2">[3]Resumen!$M$8:$M$35</definedName>
    <definedName name="___________________Int1" localSheetId="6">[4]Resumen!$M$8:$M$35</definedName>
    <definedName name="___________________Int1">[3]Resumen!$M$8:$M$35</definedName>
    <definedName name="___________________Int2" localSheetId="1">[3]Resumen!$Q$8:$Q$35</definedName>
    <definedName name="___________________Int2" localSheetId="7">[4]Resumen!$Q$8:$Q$35</definedName>
    <definedName name="___________________Int2" localSheetId="4">[5]Resumen!$Q$8:$Q$35</definedName>
    <definedName name="___________________Int2" localSheetId="5">[4]Resumen!$Q$8:$Q$35</definedName>
    <definedName name="___________________Int2" localSheetId="0">[3]Resumen!$Q$8:$Q$35</definedName>
    <definedName name="___________________Int2" localSheetId="2">[3]Resumen!$Q$8:$Q$35</definedName>
    <definedName name="___________________Int2" localSheetId="6">[4]Resumen!$Q$8:$Q$35</definedName>
    <definedName name="___________________Int2">[3]Resumen!$Q$8:$Q$35</definedName>
    <definedName name="___________________Int3" localSheetId="1">[3]Resumen!$U$8:$U$35</definedName>
    <definedName name="___________________Int3" localSheetId="7">[4]Resumen!$U$8:$U$35</definedName>
    <definedName name="___________________Int3" localSheetId="4">[5]Resumen!$U$8:$U$35</definedName>
    <definedName name="___________________Int3" localSheetId="5">[4]Resumen!$U$8:$U$35</definedName>
    <definedName name="___________________Int3" localSheetId="0">[3]Resumen!$U$8:$U$35</definedName>
    <definedName name="___________________Int3" localSheetId="2">[3]Resumen!$U$8:$U$35</definedName>
    <definedName name="___________________Int3" localSheetId="6">[4]Resumen!$U$8:$U$35</definedName>
    <definedName name="___________________Int3">[3]Resumen!$U$8:$U$35</definedName>
    <definedName name="___________________Int4" localSheetId="1">[3]Resumen!$Y$8:$Y$35</definedName>
    <definedName name="___________________Int4" localSheetId="7">[4]Resumen!$Y$8:$Y$35</definedName>
    <definedName name="___________________Int4" localSheetId="4">[5]Resumen!$Y$8:$Y$35</definedName>
    <definedName name="___________________Int4" localSheetId="5">[4]Resumen!$Y$8:$Y$35</definedName>
    <definedName name="___________________Int4" localSheetId="0">[3]Resumen!$Y$8:$Y$35</definedName>
    <definedName name="___________________Int4" localSheetId="2">[3]Resumen!$Y$8:$Y$35</definedName>
    <definedName name="___________________Int4" localSheetId="6">[4]Resumen!$Y$8:$Y$35</definedName>
    <definedName name="___________________Int4">[3]Resumen!$Y$8:$Y$35</definedName>
    <definedName name="__________________ANO2" localSheetId="1">'[6]GTOS PERSONAL COL Y CR'!$C$5</definedName>
    <definedName name="__________________ANO2" localSheetId="7">'[7]GTOS PERSONAL COL Y CR'!$C$5</definedName>
    <definedName name="__________________ANO2" localSheetId="4">'[8]GTOS PERSONAL COL Y CR'!$C$5</definedName>
    <definedName name="__________________ANO2" localSheetId="5">'[7]GTOS PERSONAL COL Y CR'!$C$5</definedName>
    <definedName name="__________________ANO2" localSheetId="0">'[6]GTOS PERSONAL COL Y CR'!$C$5</definedName>
    <definedName name="__________________ANO2" localSheetId="2">'[6]GTOS PERSONAL COL Y CR'!$C$5</definedName>
    <definedName name="__________________ANO2" localSheetId="6">'[7]GTOS PERSONAL COL Y CR'!$C$5</definedName>
    <definedName name="__________________ANO2">'[6]GTOS PERSONAL COL Y CR'!$C$5</definedName>
    <definedName name="__________________DIA19" localSheetId="1">#REF!</definedName>
    <definedName name="__________________DIA19" localSheetId="7">#REF!</definedName>
    <definedName name="__________________DIA19" localSheetId="4">#REF!</definedName>
    <definedName name="__________________DIA19" localSheetId="5">#REF!</definedName>
    <definedName name="__________________DIA19" localSheetId="0">#REF!</definedName>
    <definedName name="__________________DIA19" localSheetId="2">#REF!</definedName>
    <definedName name="__________________DIA19" localSheetId="6">#REF!</definedName>
    <definedName name="__________________DIA19">#REF!</definedName>
    <definedName name="__________________Int1" localSheetId="1">[3]Resumen!$M$8:$M$35</definedName>
    <definedName name="__________________Int1" localSheetId="7">[4]Resumen!$M$8:$M$35</definedName>
    <definedName name="__________________Int1" localSheetId="4">[5]Resumen!$M$8:$M$35</definedName>
    <definedName name="__________________Int1" localSheetId="5">[4]Resumen!$M$8:$M$35</definedName>
    <definedName name="__________________Int1" localSheetId="0">[3]Resumen!$M$8:$M$35</definedName>
    <definedName name="__________________Int1" localSheetId="2">[3]Resumen!$M$8:$M$35</definedName>
    <definedName name="__________________Int1" localSheetId="6">[4]Resumen!$M$8:$M$35</definedName>
    <definedName name="__________________Int1">[3]Resumen!$M$8:$M$35</definedName>
    <definedName name="__________________Int2" localSheetId="1">[3]Resumen!$Q$8:$Q$35</definedName>
    <definedName name="__________________Int2" localSheetId="7">[4]Resumen!$Q$8:$Q$35</definedName>
    <definedName name="__________________Int2" localSheetId="4">[5]Resumen!$Q$8:$Q$35</definedName>
    <definedName name="__________________Int2" localSheetId="5">[4]Resumen!$Q$8:$Q$35</definedName>
    <definedName name="__________________Int2" localSheetId="0">[3]Resumen!$Q$8:$Q$35</definedName>
    <definedName name="__________________Int2" localSheetId="2">[3]Resumen!$Q$8:$Q$35</definedName>
    <definedName name="__________________Int2" localSheetId="6">[4]Resumen!$Q$8:$Q$35</definedName>
    <definedName name="__________________Int2">[3]Resumen!$Q$8:$Q$35</definedName>
    <definedName name="__________________Int3" localSheetId="1">[3]Resumen!$U$8:$U$35</definedName>
    <definedName name="__________________Int3" localSheetId="7">[4]Resumen!$U$8:$U$35</definedName>
    <definedName name="__________________Int3" localSheetId="4">[5]Resumen!$U$8:$U$35</definedName>
    <definedName name="__________________Int3" localSheetId="5">[4]Resumen!$U$8:$U$35</definedName>
    <definedName name="__________________Int3" localSheetId="0">[3]Resumen!$U$8:$U$35</definedName>
    <definedName name="__________________Int3" localSheetId="2">[3]Resumen!$U$8:$U$35</definedName>
    <definedName name="__________________Int3" localSheetId="6">[4]Resumen!$U$8:$U$35</definedName>
    <definedName name="__________________Int3">[3]Resumen!$U$8:$U$35</definedName>
    <definedName name="__________________Int4" localSheetId="1">[3]Resumen!$Y$8:$Y$35</definedName>
    <definedName name="__________________Int4" localSheetId="7">[4]Resumen!$Y$8:$Y$35</definedName>
    <definedName name="__________________Int4" localSheetId="4">[5]Resumen!$Y$8:$Y$35</definedName>
    <definedName name="__________________Int4" localSheetId="5">[4]Resumen!$Y$8:$Y$35</definedName>
    <definedName name="__________________Int4" localSheetId="0">[3]Resumen!$Y$8:$Y$35</definedName>
    <definedName name="__________________Int4" localSheetId="2">[3]Resumen!$Y$8:$Y$35</definedName>
    <definedName name="__________________Int4" localSheetId="6">[4]Resumen!$Y$8:$Y$35</definedName>
    <definedName name="__________________Int4">[3]Resumen!$Y$8:$Y$35</definedName>
    <definedName name="_________________ANO2" localSheetId="1">'[6]GTOS PERSONAL COL Y CR'!$C$5</definedName>
    <definedName name="_________________ANO2" localSheetId="7">'[7]GTOS PERSONAL COL Y CR'!$C$5</definedName>
    <definedName name="_________________ANO2" localSheetId="4">'[8]GTOS PERSONAL COL Y CR'!$C$5</definedName>
    <definedName name="_________________ANO2" localSheetId="5">'[7]GTOS PERSONAL COL Y CR'!$C$5</definedName>
    <definedName name="_________________ANO2" localSheetId="0">'[6]GTOS PERSONAL COL Y CR'!$C$5</definedName>
    <definedName name="_________________ANO2" localSheetId="2">'[6]GTOS PERSONAL COL Y CR'!$C$5</definedName>
    <definedName name="_________________ANO2" localSheetId="6">'[7]GTOS PERSONAL COL Y CR'!$C$5</definedName>
    <definedName name="_________________ANO2">'[6]GTOS PERSONAL COL Y CR'!$C$5</definedName>
    <definedName name="_________________DIA19" localSheetId="1">#REF!</definedName>
    <definedName name="_________________DIA19" localSheetId="7">#REF!</definedName>
    <definedName name="_________________DIA19" localSheetId="4">#REF!</definedName>
    <definedName name="_________________DIA19" localSheetId="5">#REF!</definedName>
    <definedName name="_________________DIA19" localSheetId="0">#REF!</definedName>
    <definedName name="_________________DIA19" localSheetId="2">#REF!</definedName>
    <definedName name="_________________DIA19" localSheetId="6">#REF!</definedName>
    <definedName name="_________________DIA19">#REF!</definedName>
    <definedName name="_________________Int1" localSheetId="1">[3]Resumen!$M$8:$M$35</definedName>
    <definedName name="_________________Int1" localSheetId="7">[4]Resumen!$M$8:$M$35</definedName>
    <definedName name="_________________Int1" localSheetId="4">[5]Resumen!$M$8:$M$35</definedName>
    <definedName name="_________________Int1" localSheetId="5">[4]Resumen!$M$8:$M$35</definedName>
    <definedName name="_________________Int1" localSheetId="0">[3]Resumen!$M$8:$M$35</definedName>
    <definedName name="_________________Int1" localSheetId="2">[3]Resumen!$M$8:$M$35</definedName>
    <definedName name="_________________Int1" localSheetId="6">[4]Resumen!$M$8:$M$35</definedName>
    <definedName name="_________________Int1">[3]Resumen!$M$8:$M$35</definedName>
    <definedName name="_________________Int2" localSheetId="1">[3]Resumen!$Q$8:$Q$35</definedName>
    <definedName name="_________________Int2" localSheetId="7">[4]Resumen!$Q$8:$Q$35</definedName>
    <definedName name="_________________Int2" localSheetId="4">[5]Resumen!$Q$8:$Q$35</definedName>
    <definedName name="_________________Int2" localSheetId="5">[4]Resumen!$Q$8:$Q$35</definedName>
    <definedName name="_________________Int2" localSheetId="0">[3]Resumen!$Q$8:$Q$35</definedName>
    <definedName name="_________________Int2" localSheetId="2">[3]Resumen!$Q$8:$Q$35</definedName>
    <definedName name="_________________Int2" localSheetId="6">[4]Resumen!$Q$8:$Q$35</definedName>
    <definedName name="_________________Int2">[3]Resumen!$Q$8:$Q$35</definedName>
    <definedName name="_________________Int3" localSheetId="1">[3]Resumen!$U$8:$U$35</definedName>
    <definedName name="_________________Int3" localSheetId="7">[4]Resumen!$U$8:$U$35</definedName>
    <definedName name="_________________Int3" localSheetId="4">[5]Resumen!$U$8:$U$35</definedName>
    <definedName name="_________________Int3" localSheetId="5">[4]Resumen!$U$8:$U$35</definedName>
    <definedName name="_________________Int3" localSheetId="0">[3]Resumen!$U$8:$U$35</definedName>
    <definedName name="_________________Int3" localSheetId="2">[3]Resumen!$U$8:$U$35</definedName>
    <definedName name="_________________Int3" localSheetId="6">[4]Resumen!$U$8:$U$35</definedName>
    <definedName name="_________________Int3">[3]Resumen!$U$8:$U$35</definedName>
    <definedName name="_________________Int4" localSheetId="1">[3]Resumen!$Y$8:$Y$35</definedName>
    <definedName name="_________________Int4" localSheetId="7">[4]Resumen!$Y$8:$Y$35</definedName>
    <definedName name="_________________Int4" localSheetId="4">[5]Resumen!$Y$8:$Y$35</definedName>
    <definedName name="_________________Int4" localSheetId="5">[4]Resumen!$Y$8:$Y$35</definedName>
    <definedName name="_________________Int4" localSheetId="0">[3]Resumen!$Y$8:$Y$35</definedName>
    <definedName name="_________________Int4" localSheetId="2">[3]Resumen!$Y$8:$Y$35</definedName>
    <definedName name="_________________Int4" localSheetId="6">[4]Resumen!$Y$8:$Y$35</definedName>
    <definedName name="_________________Int4">[3]Resumen!$Y$8:$Y$35</definedName>
    <definedName name="________________ANO2" localSheetId="1">'[6]GTOS PERSONAL COL Y CR'!$C$5</definedName>
    <definedName name="________________ANO2" localSheetId="7">'[7]GTOS PERSONAL COL Y CR'!$C$5</definedName>
    <definedName name="________________ANO2" localSheetId="4">'[8]GTOS PERSONAL COL Y CR'!$C$5</definedName>
    <definedName name="________________ANO2" localSheetId="5">'[7]GTOS PERSONAL COL Y CR'!$C$5</definedName>
    <definedName name="________________ANO2" localSheetId="0">'[6]GTOS PERSONAL COL Y CR'!$C$5</definedName>
    <definedName name="________________ANO2" localSheetId="2">'[6]GTOS PERSONAL COL Y CR'!$C$5</definedName>
    <definedName name="________________ANO2" localSheetId="6">'[7]GTOS PERSONAL COL Y CR'!$C$5</definedName>
    <definedName name="________________ANO2">'[6]GTOS PERSONAL COL Y CR'!$C$5</definedName>
    <definedName name="________________DIA19" localSheetId="1">#REF!</definedName>
    <definedName name="________________DIA19" localSheetId="7">#REF!</definedName>
    <definedName name="________________DIA19" localSheetId="4">#REF!</definedName>
    <definedName name="________________DIA19" localSheetId="5">#REF!</definedName>
    <definedName name="________________DIA19" localSheetId="0">#REF!</definedName>
    <definedName name="________________DIA19" localSheetId="2">#REF!</definedName>
    <definedName name="________________DIA19" localSheetId="6">#REF!</definedName>
    <definedName name="________________DIA19">#REF!</definedName>
    <definedName name="________________Int1" localSheetId="1">[3]Resumen!$M$8:$M$35</definedName>
    <definedName name="________________Int1" localSheetId="7">[4]Resumen!$M$8:$M$35</definedName>
    <definedName name="________________Int1" localSheetId="4">[5]Resumen!$M$8:$M$35</definedName>
    <definedName name="________________Int1" localSheetId="5">[4]Resumen!$M$8:$M$35</definedName>
    <definedName name="________________Int1" localSheetId="0">[3]Resumen!$M$8:$M$35</definedName>
    <definedName name="________________Int1" localSheetId="2">[3]Resumen!$M$8:$M$35</definedName>
    <definedName name="________________Int1" localSheetId="6">[4]Resumen!$M$8:$M$35</definedName>
    <definedName name="________________Int1">[3]Resumen!$M$8:$M$35</definedName>
    <definedName name="________________Int2" localSheetId="1">[3]Resumen!$Q$8:$Q$35</definedName>
    <definedName name="________________Int2" localSheetId="7">[4]Resumen!$Q$8:$Q$35</definedName>
    <definedName name="________________Int2" localSheetId="4">[5]Resumen!$Q$8:$Q$35</definedName>
    <definedName name="________________Int2" localSheetId="5">[4]Resumen!$Q$8:$Q$35</definedName>
    <definedName name="________________Int2" localSheetId="0">[3]Resumen!$Q$8:$Q$35</definedName>
    <definedName name="________________Int2" localSheetId="2">[3]Resumen!$Q$8:$Q$35</definedName>
    <definedName name="________________Int2" localSheetId="6">[4]Resumen!$Q$8:$Q$35</definedName>
    <definedName name="________________Int2">[3]Resumen!$Q$8:$Q$35</definedName>
    <definedName name="________________Int3" localSheetId="1">[3]Resumen!$U$8:$U$35</definedName>
    <definedName name="________________Int3" localSheetId="7">[4]Resumen!$U$8:$U$35</definedName>
    <definedName name="________________Int3" localSheetId="4">[5]Resumen!$U$8:$U$35</definedName>
    <definedName name="________________Int3" localSheetId="5">[4]Resumen!$U$8:$U$35</definedName>
    <definedName name="________________Int3" localSheetId="0">[3]Resumen!$U$8:$U$35</definedName>
    <definedName name="________________Int3" localSheetId="2">[3]Resumen!$U$8:$U$35</definedName>
    <definedName name="________________Int3" localSheetId="6">[4]Resumen!$U$8:$U$35</definedName>
    <definedName name="________________Int3">[3]Resumen!$U$8:$U$35</definedName>
    <definedName name="________________Int4" localSheetId="1">[3]Resumen!$Y$8:$Y$35</definedName>
    <definedName name="________________Int4" localSheetId="7">[4]Resumen!$Y$8:$Y$35</definedName>
    <definedName name="________________Int4" localSheetId="4">[5]Resumen!$Y$8:$Y$35</definedName>
    <definedName name="________________Int4" localSheetId="5">[4]Resumen!$Y$8:$Y$35</definedName>
    <definedName name="________________Int4" localSheetId="0">[3]Resumen!$Y$8:$Y$35</definedName>
    <definedName name="________________Int4" localSheetId="2">[3]Resumen!$Y$8:$Y$35</definedName>
    <definedName name="________________Int4" localSheetId="6">[4]Resumen!$Y$8:$Y$35</definedName>
    <definedName name="________________Int4">[3]Resumen!$Y$8:$Y$35</definedName>
    <definedName name="_______________ANO2" localSheetId="1">'[6]GTOS PERSONAL COL Y CR'!$C$5</definedName>
    <definedName name="_______________ANO2" localSheetId="7">'[7]GTOS PERSONAL COL Y CR'!$C$5</definedName>
    <definedName name="_______________ANO2" localSheetId="4">'[8]GTOS PERSONAL COL Y CR'!$C$5</definedName>
    <definedName name="_______________ANO2" localSheetId="5">'[7]GTOS PERSONAL COL Y CR'!$C$5</definedName>
    <definedName name="_______________ANO2" localSheetId="0">'[6]GTOS PERSONAL COL Y CR'!$C$5</definedName>
    <definedName name="_______________ANO2" localSheetId="2">'[6]GTOS PERSONAL COL Y CR'!$C$5</definedName>
    <definedName name="_______________ANO2" localSheetId="6">'[7]GTOS PERSONAL COL Y CR'!$C$5</definedName>
    <definedName name="_______________ANO2">'[6]GTOS PERSONAL COL Y CR'!$C$5</definedName>
    <definedName name="_______________DIA19" localSheetId="1">#REF!</definedName>
    <definedName name="_______________DIA19" localSheetId="7">#REF!</definedName>
    <definedName name="_______________DIA19" localSheetId="4">#REF!</definedName>
    <definedName name="_______________DIA19" localSheetId="5">#REF!</definedName>
    <definedName name="_______________DIA19" localSheetId="0">#REF!</definedName>
    <definedName name="_______________DIA19" localSheetId="2">#REF!</definedName>
    <definedName name="_______________DIA19" localSheetId="6">#REF!</definedName>
    <definedName name="_______________DIA19">#REF!</definedName>
    <definedName name="_______________Int1" localSheetId="1">[3]Resumen!$M$8:$M$35</definedName>
    <definedName name="_______________Int1" localSheetId="7">[4]Resumen!$M$8:$M$35</definedName>
    <definedName name="_______________Int1" localSheetId="4">[5]Resumen!$M$8:$M$35</definedName>
    <definedName name="_______________Int1" localSheetId="5">[4]Resumen!$M$8:$M$35</definedName>
    <definedName name="_______________Int1" localSheetId="0">[3]Resumen!$M$8:$M$35</definedName>
    <definedName name="_______________Int1" localSheetId="2">[3]Resumen!$M$8:$M$35</definedName>
    <definedName name="_______________Int1" localSheetId="6">[4]Resumen!$M$8:$M$35</definedName>
    <definedName name="_______________Int1">[3]Resumen!$M$8:$M$35</definedName>
    <definedName name="_______________Int2" localSheetId="1">[3]Resumen!$Q$8:$Q$35</definedName>
    <definedName name="_______________Int2" localSheetId="7">[4]Resumen!$Q$8:$Q$35</definedName>
    <definedName name="_______________Int2" localSheetId="4">[5]Resumen!$Q$8:$Q$35</definedName>
    <definedName name="_______________Int2" localSheetId="5">[4]Resumen!$Q$8:$Q$35</definedName>
    <definedName name="_______________Int2" localSheetId="0">[3]Resumen!$Q$8:$Q$35</definedName>
    <definedName name="_______________Int2" localSheetId="2">[3]Resumen!$Q$8:$Q$35</definedName>
    <definedName name="_______________Int2" localSheetId="6">[4]Resumen!$Q$8:$Q$35</definedName>
    <definedName name="_______________Int2">[3]Resumen!$Q$8:$Q$35</definedName>
    <definedName name="_______________Int3" localSheetId="1">[3]Resumen!$U$8:$U$35</definedName>
    <definedName name="_______________Int3" localSheetId="7">[4]Resumen!$U$8:$U$35</definedName>
    <definedName name="_______________Int3" localSheetId="4">[5]Resumen!$U$8:$U$35</definedName>
    <definedName name="_______________Int3" localSheetId="5">[4]Resumen!$U$8:$U$35</definedName>
    <definedName name="_______________Int3" localSheetId="0">[3]Resumen!$U$8:$U$35</definedName>
    <definedName name="_______________Int3" localSheetId="2">[3]Resumen!$U$8:$U$35</definedName>
    <definedName name="_______________Int3" localSheetId="6">[4]Resumen!$U$8:$U$35</definedName>
    <definedName name="_______________Int3">[3]Resumen!$U$8:$U$35</definedName>
    <definedName name="_______________Int4" localSheetId="1">[3]Resumen!$Y$8:$Y$35</definedName>
    <definedName name="_______________Int4" localSheetId="7">[4]Resumen!$Y$8:$Y$35</definedName>
    <definedName name="_______________Int4" localSheetId="4">[5]Resumen!$Y$8:$Y$35</definedName>
    <definedName name="_______________Int4" localSheetId="5">[4]Resumen!$Y$8:$Y$35</definedName>
    <definedName name="_______________Int4" localSheetId="0">[3]Resumen!$Y$8:$Y$35</definedName>
    <definedName name="_______________Int4" localSheetId="2">[3]Resumen!$Y$8:$Y$35</definedName>
    <definedName name="_______________Int4" localSheetId="6">[4]Resumen!$Y$8:$Y$35</definedName>
    <definedName name="_______________Int4">[3]Resumen!$Y$8:$Y$35</definedName>
    <definedName name="______________ANO2" localSheetId="1">'[6]GTOS PERSONAL COL Y CR'!$C$5</definedName>
    <definedName name="______________ANO2" localSheetId="7">'[7]GTOS PERSONAL COL Y CR'!$C$5</definedName>
    <definedName name="______________ANO2" localSheetId="4">'[8]GTOS PERSONAL COL Y CR'!$C$5</definedName>
    <definedName name="______________ANO2" localSheetId="5">'[7]GTOS PERSONAL COL Y CR'!$C$5</definedName>
    <definedName name="______________ANO2" localSheetId="0">'[6]GTOS PERSONAL COL Y CR'!$C$5</definedName>
    <definedName name="______________ANO2" localSheetId="2">'[6]GTOS PERSONAL COL Y CR'!$C$5</definedName>
    <definedName name="______________ANO2" localSheetId="6">'[7]GTOS PERSONAL COL Y CR'!$C$5</definedName>
    <definedName name="______________ANO2">'[6]GTOS PERSONAL COL Y CR'!$C$5</definedName>
    <definedName name="______________DIA19" localSheetId="1">#REF!</definedName>
    <definedName name="______________DIA19" localSheetId="7">#REF!</definedName>
    <definedName name="______________DIA19" localSheetId="4">#REF!</definedName>
    <definedName name="______________DIA19" localSheetId="5">#REF!</definedName>
    <definedName name="______________DIA19" localSheetId="0">#REF!</definedName>
    <definedName name="______________DIA19" localSheetId="2">#REF!</definedName>
    <definedName name="______________DIA19" localSheetId="6">#REF!</definedName>
    <definedName name="______________DIA19">#REF!</definedName>
    <definedName name="______________Int1" localSheetId="1">[3]Resumen!$M$8:$M$35</definedName>
    <definedName name="______________Int1" localSheetId="7">[4]Resumen!$M$8:$M$35</definedName>
    <definedName name="______________Int1" localSheetId="4">[5]Resumen!$M$8:$M$35</definedName>
    <definedName name="______________Int1" localSheetId="5">[4]Resumen!$M$8:$M$35</definedName>
    <definedName name="______________Int1" localSheetId="0">[3]Resumen!$M$8:$M$35</definedName>
    <definedName name="______________Int1" localSheetId="2">[3]Resumen!$M$8:$M$35</definedName>
    <definedName name="______________Int1" localSheetId="6">[4]Resumen!$M$8:$M$35</definedName>
    <definedName name="______________Int1">[3]Resumen!$M$8:$M$35</definedName>
    <definedName name="______________Int2" localSheetId="1">[3]Resumen!$Q$8:$Q$35</definedName>
    <definedName name="______________Int2" localSheetId="7">[4]Resumen!$Q$8:$Q$35</definedName>
    <definedName name="______________Int2" localSheetId="4">[5]Resumen!$Q$8:$Q$35</definedName>
    <definedName name="______________Int2" localSheetId="5">[4]Resumen!$Q$8:$Q$35</definedName>
    <definedName name="______________Int2" localSheetId="0">[3]Resumen!$Q$8:$Q$35</definedName>
    <definedName name="______________Int2" localSheetId="2">[3]Resumen!$Q$8:$Q$35</definedName>
    <definedName name="______________Int2" localSheetId="6">[4]Resumen!$Q$8:$Q$35</definedName>
    <definedName name="______________Int2">[3]Resumen!$Q$8:$Q$35</definedName>
    <definedName name="______________Int3" localSheetId="1">[3]Resumen!$U$8:$U$35</definedName>
    <definedName name="______________Int3" localSheetId="7">[4]Resumen!$U$8:$U$35</definedName>
    <definedName name="______________Int3" localSheetId="4">[5]Resumen!$U$8:$U$35</definedName>
    <definedName name="______________Int3" localSheetId="5">[4]Resumen!$U$8:$U$35</definedName>
    <definedName name="______________Int3" localSheetId="0">[3]Resumen!$U$8:$U$35</definedName>
    <definedName name="______________Int3" localSheetId="2">[3]Resumen!$U$8:$U$35</definedName>
    <definedName name="______________Int3" localSheetId="6">[4]Resumen!$U$8:$U$35</definedName>
    <definedName name="______________Int3">[3]Resumen!$U$8:$U$35</definedName>
    <definedName name="______________Int4" localSheetId="1">[3]Resumen!$Y$8:$Y$35</definedName>
    <definedName name="______________Int4" localSheetId="7">[4]Resumen!$Y$8:$Y$35</definedName>
    <definedName name="______________Int4" localSheetId="4">[5]Resumen!$Y$8:$Y$35</definedName>
    <definedName name="______________Int4" localSheetId="5">[4]Resumen!$Y$8:$Y$35</definedName>
    <definedName name="______________Int4" localSheetId="0">[3]Resumen!$Y$8:$Y$35</definedName>
    <definedName name="______________Int4" localSheetId="2">[3]Resumen!$Y$8:$Y$35</definedName>
    <definedName name="______________Int4" localSheetId="6">[4]Resumen!$Y$8:$Y$35</definedName>
    <definedName name="______________Int4">[3]Resumen!$Y$8:$Y$35</definedName>
    <definedName name="_____________ANO2" localSheetId="1">'[6]GTOS PERSONAL COL Y CR'!$C$5</definedName>
    <definedName name="_____________ANO2" localSheetId="7">'[7]GTOS PERSONAL COL Y CR'!$C$5</definedName>
    <definedName name="_____________ANO2" localSheetId="4">'[8]GTOS PERSONAL COL Y CR'!$C$5</definedName>
    <definedName name="_____________ANO2" localSheetId="5">'[7]GTOS PERSONAL COL Y CR'!$C$5</definedName>
    <definedName name="_____________ANO2" localSheetId="0">'[6]GTOS PERSONAL COL Y CR'!$C$5</definedName>
    <definedName name="_____________ANO2" localSheetId="2">'[6]GTOS PERSONAL COL Y CR'!$C$5</definedName>
    <definedName name="_____________ANO2" localSheetId="6">'[7]GTOS PERSONAL COL Y CR'!$C$5</definedName>
    <definedName name="_____________ANO2">'[6]GTOS PERSONAL COL Y CR'!$C$5</definedName>
    <definedName name="_____________DIA19" localSheetId="1">#REF!</definedName>
    <definedName name="_____________DIA19" localSheetId="7">#REF!</definedName>
    <definedName name="_____________DIA19" localSheetId="4">#REF!</definedName>
    <definedName name="_____________DIA19" localSheetId="5">#REF!</definedName>
    <definedName name="_____________DIA19" localSheetId="0">#REF!</definedName>
    <definedName name="_____________DIA19" localSheetId="2">#REF!</definedName>
    <definedName name="_____________DIA19" localSheetId="6">#REF!</definedName>
    <definedName name="_____________DIA19">#REF!</definedName>
    <definedName name="_____________Int1" localSheetId="1">[3]Resumen!$M$8:$M$35</definedName>
    <definedName name="_____________Int1" localSheetId="7">[4]Resumen!$M$8:$M$35</definedName>
    <definedName name="_____________Int1" localSheetId="4">[5]Resumen!$M$8:$M$35</definedName>
    <definedName name="_____________Int1" localSheetId="5">[4]Resumen!$M$8:$M$35</definedName>
    <definedName name="_____________Int1" localSheetId="0">[3]Resumen!$M$8:$M$35</definedName>
    <definedName name="_____________Int1" localSheetId="2">[3]Resumen!$M$8:$M$35</definedName>
    <definedName name="_____________Int1" localSheetId="6">[4]Resumen!$M$8:$M$35</definedName>
    <definedName name="_____________Int1">[3]Resumen!$M$8:$M$35</definedName>
    <definedName name="_____________Int2" localSheetId="1">[3]Resumen!$Q$8:$Q$35</definedName>
    <definedName name="_____________Int2" localSheetId="7">[4]Resumen!$Q$8:$Q$35</definedName>
    <definedName name="_____________Int2" localSheetId="4">[5]Resumen!$Q$8:$Q$35</definedName>
    <definedName name="_____________Int2" localSheetId="5">[4]Resumen!$Q$8:$Q$35</definedName>
    <definedName name="_____________Int2" localSheetId="0">[3]Resumen!$Q$8:$Q$35</definedName>
    <definedName name="_____________Int2" localSheetId="2">[3]Resumen!$Q$8:$Q$35</definedName>
    <definedName name="_____________Int2" localSheetId="6">[4]Resumen!$Q$8:$Q$35</definedName>
    <definedName name="_____________Int2">[3]Resumen!$Q$8:$Q$35</definedName>
    <definedName name="_____________Int3" localSheetId="1">[3]Resumen!$U$8:$U$35</definedName>
    <definedName name="_____________Int3" localSheetId="7">[4]Resumen!$U$8:$U$35</definedName>
    <definedName name="_____________Int3" localSheetId="4">[5]Resumen!$U$8:$U$35</definedName>
    <definedName name="_____________Int3" localSheetId="5">[4]Resumen!$U$8:$U$35</definedName>
    <definedName name="_____________Int3" localSheetId="0">[3]Resumen!$U$8:$U$35</definedName>
    <definedName name="_____________Int3" localSheetId="2">[3]Resumen!$U$8:$U$35</definedName>
    <definedName name="_____________Int3" localSheetId="6">[4]Resumen!$U$8:$U$35</definedName>
    <definedName name="_____________Int3">[3]Resumen!$U$8:$U$35</definedName>
    <definedName name="_____________Int4" localSheetId="1">[3]Resumen!$Y$8:$Y$35</definedName>
    <definedName name="_____________Int4" localSheetId="7">[4]Resumen!$Y$8:$Y$35</definedName>
    <definedName name="_____________Int4" localSheetId="4">[5]Resumen!$Y$8:$Y$35</definedName>
    <definedName name="_____________Int4" localSheetId="5">[4]Resumen!$Y$8:$Y$35</definedName>
    <definedName name="_____________Int4" localSheetId="0">[3]Resumen!$Y$8:$Y$35</definedName>
    <definedName name="_____________Int4" localSheetId="2">[3]Resumen!$Y$8:$Y$35</definedName>
    <definedName name="_____________Int4" localSheetId="6">[4]Resumen!$Y$8:$Y$35</definedName>
    <definedName name="_____________Int4">[3]Resumen!$Y$8:$Y$35</definedName>
    <definedName name="____________ANO2" localSheetId="1">'[6]GTOS PERSONAL COL Y CR'!$C$5</definedName>
    <definedName name="____________ANO2" localSheetId="7">'[7]GTOS PERSONAL COL Y CR'!$C$5</definedName>
    <definedName name="____________ANO2" localSheetId="4">'[8]GTOS PERSONAL COL Y CR'!$C$5</definedName>
    <definedName name="____________ANO2" localSheetId="5">'[7]GTOS PERSONAL COL Y CR'!$C$5</definedName>
    <definedName name="____________ANO2" localSheetId="0">'[6]GTOS PERSONAL COL Y CR'!$C$5</definedName>
    <definedName name="____________ANO2" localSheetId="2">'[6]GTOS PERSONAL COL Y CR'!$C$5</definedName>
    <definedName name="____________ANO2" localSheetId="6">'[7]GTOS PERSONAL COL Y CR'!$C$5</definedName>
    <definedName name="____________ANO2">'[6]GTOS PERSONAL COL Y CR'!$C$5</definedName>
    <definedName name="____________DIA19" localSheetId="1">#REF!</definedName>
    <definedName name="____________DIA19" localSheetId="7">#REF!</definedName>
    <definedName name="____________DIA19" localSheetId="4">#REF!</definedName>
    <definedName name="____________DIA19" localSheetId="5">#REF!</definedName>
    <definedName name="____________DIA19" localSheetId="0">#REF!</definedName>
    <definedName name="____________DIA19" localSheetId="2">#REF!</definedName>
    <definedName name="____________DIA19" localSheetId="6">#REF!</definedName>
    <definedName name="____________DIA19">#REF!</definedName>
    <definedName name="____________Int1" localSheetId="1">[3]Resumen!$M$8:$M$35</definedName>
    <definedName name="____________Int1" localSheetId="7">[4]Resumen!$M$8:$M$35</definedName>
    <definedName name="____________Int1" localSheetId="4">[5]Resumen!$M$8:$M$35</definedName>
    <definedName name="____________Int1" localSheetId="5">[4]Resumen!$M$8:$M$35</definedName>
    <definedName name="____________Int1" localSheetId="0">[3]Resumen!$M$8:$M$35</definedName>
    <definedName name="____________Int1" localSheetId="2">[3]Resumen!$M$8:$M$35</definedName>
    <definedName name="____________Int1" localSheetId="6">[4]Resumen!$M$8:$M$35</definedName>
    <definedName name="____________Int1">[3]Resumen!$M$8:$M$35</definedName>
    <definedName name="____________Int2" localSheetId="1">[3]Resumen!$Q$8:$Q$35</definedName>
    <definedName name="____________Int2" localSheetId="7">[4]Resumen!$Q$8:$Q$35</definedName>
    <definedName name="____________Int2" localSheetId="4">[5]Resumen!$Q$8:$Q$35</definedName>
    <definedName name="____________Int2" localSheetId="5">[4]Resumen!$Q$8:$Q$35</definedName>
    <definedName name="____________Int2" localSheetId="0">[3]Resumen!$Q$8:$Q$35</definedName>
    <definedName name="____________Int2" localSheetId="2">[3]Resumen!$Q$8:$Q$35</definedName>
    <definedName name="____________Int2" localSheetId="6">[4]Resumen!$Q$8:$Q$35</definedName>
    <definedName name="____________Int2">[3]Resumen!$Q$8:$Q$35</definedName>
    <definedName name="____________Int3" localSheetId="1">[3]Resumen!$U$8:$U$35</definedName>
    <definedName name="____________Int3" localSheetId="7">[4]Resumen!$U$8:$U$35</definedName>
    <definedName name="____________Int3" localSheetId="4">[5]Resumen!$U$8:$U$35</definedName>
    <definedName name="____________Int3" localSheetId="5">[4]Resumen!$U$8:$U$35</definedName>
    <definedName name="____________Int3" localSheetId="0">[3]Resumen!$U$8:$U$35</definedName>
    <definedName name="____________Int3" localSheetId="2">[3]Resumen!$U$8:$U$35</definedName>
    <definedName name="____________Int3" localSheetId="6">[4]Resumen!$U$8:$U$35</definedName>
    <definedName name="____________Int3">[3]Resumen!$U$8:$U$35</definedName>
    <definedName name="____________Int4" localSheetId="1">[3]Resumen!$Y$8:$Y$35</definedName>
    <definedName name="____________Int4" localSheetId="7">[4]Resumen!$Y$8:$Y$35</definedName>
    <definedName name="____________Int4" localSheetId="4">[5]Resumen!$Y$8:$Y$35</definedName>
    <definedName name="____________Int4" localSheetId="5">[4]Resumen!$Y$8:$Y$35</definedName>
    <definedName name="____________Int4" localSheetId="0">[3]Resumen!$Y$8:$Y$35</definedName>
    <definedName name="____________Int4" localSheetId="2">[3]Resumen!$Y$8:$Y$35</definedName>
    <definedName name="____________Int4" localSheetId="6">[4]Resumen!$Y$8:$Y$35</definedName>
    <definedName name="____________Int4">[3]Resumen!$Y$8:$Y$35</definedName>
    <definedName name="___________ANO2" localSheetId="1">'[6]GTOS PERSONAL COL Y CR'!$C$5</definedName>
    <definedName name="___________ANO2" localSheetId="7">'[7]GTOS PERSONAL COL Y CR'!$C$5</definedName>
    <definedName name="___________ANO2" localSheetId="4">'[8]GTOS PERSONAL COL Y CR'!$C$5</definedName>
    <definedName name="___________ANO2" localSheetId="5">'[7]GTOS PERSONAL COL Y CR'!$C$5</definedName>
    <definedName name="___________ANO2" localSheetId="0">'[6]GTOS PERSONAL COL Y CR'!$C$5</definedName>
    <definedName name="___________ANO2" localSheetId="2">'[6]GTOS PERSONAL COL Y CR'!$C$5</definedName>
    <definedName name="___________ANO2" localSheetId="6">'[7]GTOS PERSONAL COL Y CR'!$C$5</definedName>
    <definedName name="___________ANO2">'[6]GTOS PERSONAL COL Y CR'!$C$5</definedName>
    <definedName name="___________DIA19" localSheetId="1">#REF!</definedName>
    <definedName name="___________DIA19" localSheetId="7">#REF!</definedName>
    <definedName name="___________DIA19" localSheetId="4">#REF!</definedName>
    <definedName name="___________DIA19" localSheetId="5">#REF!</definedName>
    <definedName name="___________DIA19" localSheetId="0">#REF!</definedName>
    <definedName name="___________DIA19" localSheetId="2">#REF!</definedName>
    <definedName name="___________DIA19" localSheetId="6">#REF!</definedName>
    <definedName name="___________DIA19">#REF!</definedName>
    <definedName name="___________Int1" localSheetId="1">[3]Resumen!$M$8:$M$35</definedName>
    <definedName name="___________Int1" localSheetId="7">[4]Resumen!$M$8:$M$35</definedName>
    <definedName name="___________Int1" localSheetId="4">[5]Resumen!$M$8:$M$35</definedName>
    <definedName name="___________Int1" localSheetId="5">[4]Resumen!$M$8:$M$35</definedName>
    <definedName name="___________Int1" localSheetId="0">[3]Resumen!$M$8:$M$35</definedName>
    <definedName name="___________Int1" localSheetId="2">[3]Resumen!$M$8:$M$35</definedName>
    <definedName name="___________Int1" localSheetId="6">[4]Resumen!$M$8:$M$35</definedName>
    <definedName name="___________Int1">[3]Resumen!$M$8:$M$35</definedName>
    <definedName name="___________Int2" localSheetId="1">[3]Resumen!$Q$8:$Q$35</definedName>
    <definedName name="___________Int2" localSheetId="7">[4]Resumen!$Q$8:$Q$35</definedName>
    <definedName name="___________Int2" localSheetId="4">[5]Resumen!$Q$8:$Q$35</definedName>
    <definedName name="___________Int2" localSheetId="5">[4]Resumen!$Q$8:$Q$35</definedName>
    <definedName name="___________Int2" localSheetId="0">[3]Resumen!$Q$8:$Q$35</definedName>
    <definedName name="___________Int2" localSheetId="2">[3]Resumen!$Q$8:$Q$35</definedName>
    <definedName name="___________Int2" localSheetId="6">[4]Resumen!$Q$8:$Q$35</definedName>
    <definedName name="___________Int2">[3]Resumen!$Q$8:$Q$35</definedName>
    <definedName name="___________Int3" localSheetId="1">[3]Resumen!$U$8:$U$35</definedName>
    <definedName name="___________Int3" localSheetId="7">[4]Resumen!$U$8:$U$35</definedName>
    <definedName name="___________Int3" localSheetId="4">[5]Resumen!$U$8:$U$35</definedName>
    <definedName name="___________Int3" localSheetId="5">[4]Resumen!$U$8:$U$35</definedName>
    <definedName name="___________Int3" localSheetId="0">[3]Resumen!$U$8:$U$35</definedName>
    <definedName name="___________Int3" localSheetId="2">[3]Resumen!$U$8:$U$35</definedName>
    <definedName name="___________Int3" localSheetId="6">[4]Resumen!$U$8:$U$35</definedName>
    <definedName name="___________Int3">[3]Resumen!$U$8:$U$35</definedName>
    <definedName name="___________Int4" localSheetId="1">[3]Resumen!$Y$8:$Y$35</definedName>
    <definedName name="___________Int4" localSheetId="7">[4]Resumen!$Y$8:$Y$35</definedName>
    <definedName name="___________Int4" localSheetId="4">[5]Resumen!$Y$8:$Y$35</definedName>
    <definedName name="___________Int4" localSheetId="5">[4]Resumen!$Y$8:$Y$35</definedName>
    <definedName name="___________Int4" localSheetId="0">[3]Resumen!$Y$8:$Y$35</definedName>
    <definedName name="___________Int4" localSheetId="2">[3]Resumen!$Y$8:$Y$35</definedName>
    <definedName name="___________Int4" localSheetId="6">[4]Resumen!$Y$8:$Y$35</definedName>
    <definedName name="___________Int4">[3]Resumen!$Y$8:$Y$35</definedName>
    <definedName name="__________ANO2" localSheetId="1">'[6]GTOS PERSONAL COL Y CR'!$C$5</definedName>
    <definedName name="__________ANO2" localSheetId="7">'[7]GTOS PERSONAL COL Y CR'!$C$5</definedName>
    <definedName name="__________ANO2" localSheetId="4">'[8]GTOS PERSONAL COL Y CR'!$C$5</definedName>
    <definedName name="__________ANO2" localSheetId="5">'[7]GTOS PERSONAL COL Y CR'!$C$5</definedName>
    <definedName name="__________ANO2" localSheetId="0">'[6]GTOS PERSONAL COL Y CR'!$C$5</definedName>
    <definedName name="__________ANO2" localSheetId="2">'[6]GTOS PERSONAL COL Y CR'!$C$5</definedName>
    <definedName name="__________ANO2" localSheetId="6">'[7]GTOS PERSONAL COL Y CR'!$C$5</definedName>
    <definedName name="__________ANO2">'[6]GTOS PERSONAL COL Y CR'!$C$5</definedName>
    <definedName name="__________DIA19" localSheetId="1">#REF!</definedName>
    <definedName name="__________DIA19" localSheetId="7">#REF!</definedName>
    <definedName name="__________DIA19" localSheetId="4">#REF!</definedName>
    <definedName name="__________DIA19" localSheetId="5">#REF!</definedName>
    <definedName name="__________DIA19" localSheetId="0">#REF!</definedName>
    <definedName name="__________DIA19" localSheetId="2">#REF!</definedName>
    <definedName name="__________DIA19" localSheetId="6">#REF!</definedName>
    <definedName name="__________DIA19">#REF!</definedName>
    <definedName name="__________Int1">[9]Resumen!$M$8:$M$35</definedName>
    <definedName name="__________Int2">[9]Resumen!$Q$8:$Q$35</definedName>
    <definedName name="__________Int3">[9]Resumen!$U$8:$U$35</definedName>
    <definedName name="__________Int4">[9]Resumen!$Y$8:$Y$35</definedName>
    <definedName name="_________ANO2" localSheetId="1">'[6]GTOS PERSONAL COL Y CR'!$C$5</definedName>
    <definedName name="_________ANO2" localSheetId="7">'[7]GTOS PERSONAL COL Y CR'!$C$5</definedName>
    <definedName name="_________ANO2" localSheetId="4">'[8]GTOS PERSONAL COL Y CR'!$C$5</definedName>
    <definedName name="_________ANO2" localSheetId="5">'[7]GTOS PERSONAL COL Y CR'!$C$5</definedName>
    <definedName name="_________ANO2" localSheetId="0">'[6]GTOS PERSONAL COL Y CR'!$C$5</definedName>
    <definedName name="_________ANO2" localSheetId="2">'[6]GTOS PERSONAL COL Y CR'!$C$5</definedName>
    <definedName name="_________ANO2" localSheetId="6">'[7]GTOS PERSONAL COL Y CR'!$C$5</definedName>
    <definedName name="_________ANO2">'[6]GTOS PERSONAL COL Y CR'!$C$5</definedName>
    <definedName name="_________DIA19" localSheetId="1">#REF!</definedName>
    <definedName name="_________DIA19" localSheetId="7">#REF!</definedName>
    <definedName name="_________DIA19" localSheetId="4">#REF!</definedName>
    <definedName name="_________DIA19" localSheetId="5">#REF!</definedName>
    <definedName name="_________DIA19" localSheetId="0">#REF!</definedName>
    <definedName name="_________DIA19" localSheetId="2">#REF!</definedName>
    <definedName name="_________DIA19" localSheetId="6">#REF!</definedName>
    <definedName name="_________DIA19">#REF!</definedName>
    <definedName name="_________Int1" localSheetId="1">[3]Resumen!$M$8:$M$35</definedName>
    <definedName name="_________Int1" localSheetId="7">[4]Resumen!$M$8:$M$35</definedName>
    <definedName name="_________Int1" localSheetId="4">[5]Resumen!$M$8:$M$35</definedName>
    <definedName name="_________Int1" localSheetId="5">[4]Resumen!$M$8:$M$35</definedName>
    <definedName name="_________Int1" localSheetId="0">[3]Resumen!$M$8:$M$35</definedName>
    <definedName name="_________Int1" localSheetId="2">[3]Resumen!$M$8:$M$35</definedName>
    <definedName name="_________Int1" localSheetId="6">[4]Resumen!$M$8:$M$35</definedName>
    <definedName name="_________Int1">[3]Resumen!$M$8:$M$35</definedName>
    <definedName name="_________Int2" localSheetId="1">[3]Resumen!$Q$8:$Q$35</definedName>
    <definedName name="_________Int2" localSheetId="7">[4]Resumen!$Q$8:$Q$35</definedName>
    <definedName name="_________Int2" localSheetId="4">[5]Resumen!$Q$8:$Q$35</definedName>
    <definedName name="_________Int2" localSheetId="5">[4]Resumen!$Q$8:$Q$35</definedName>
    <definedName name="_________Int2" localSheetId="0">[3]Resumen!$Q$8:$Q$35</definedName>
    <definedName name="_________Int2" localSheetId="2">[3]Resumen!$Q$8:$Q$35</definedName>
    <definedName name="_________Int2" localSheetId="6">[4]Resumen!$Q$8:$Q$35</definedName>
    <definedName name="_________Int2">[3]Resumen!$Q$8:$Q$35</definedName>
    <definedName name="_________Int3" localSheetId="1">[3]Resumen!$U$8:$U$35</definedName>
    <definedName name="_________Int3" localSheetId="7">[4]Resumen!$U$8:$U$35</definedName>
    <definedName name="_________Int3" localSheetId="4">[5]Resumen!$U$8:$U$35</definedName>
    <definedName name="_________Int3" localSheetId="5">[4]Resumen!$U$8:$U$35</definedName>
    <definedName name="_________Int3" localSheetId="0">[3]Resumen!$U$8:$U$35</definedName>
    <definedName name="_________Int3" localSheetId="2">[3]Resumen!$U$8:$U$35</definedName>
    <definedName name="_________Int3" localSheetId="6">[4]Resumen!$U$8:$U$35</definedName>
    <definedName name="_________Int3">[3]Resumen!$U$8:$U$35</definedName>
    <definedName name="_________Int4" localSheetId="1">[3]Resumen!$Y$8:$Y$35</definedName>
    <definedName name="_________Int4" localSheetId="7">[4]Resumen!$Y$8:$Y$35</definedName>
    <definedName name="_________Int4" localSheetId="4">[5]Resumen!$Y$8:$Y$35</definedName>
    <definedName name="_________Int4" localSheetId="5">[4]Resumen!$Y$8:$Y$35</definedName>
    <definedName name="_________Int4" localSheetId="0">[3]Resumen!$Y$8:$Y$35</definedName>
    <definedName name="_________Int4" localSheetId="2">[3]Resumen!$Y$8:$Y$35</definedName>
    <definedName name="_________Int4" localSheetId="6">[4]Resumen!$Y$8:$Y$35</definedName>
    <definedName name="_________Int4">[3]Resumen!$Y$8:$Y$35</definedName>
    <definedName name="________ANO2" localSheetId="1">'[6]GTOS PERSONAL COL Y CR'!$C$5</definedName>
    <definedName name="________ANO2" localSheetId="7">'[7]GTOS PERSONAL COL Y CR'!$C$5</definedName>
    <definedName name="________ANO2" localSheetId="4">'[8]GTOS PERSONAL COL Y CR'!$C$5</definedName>
    <definedName name="________ANO2" localSheetId="5">'[7]GTOS PERSONAL COL Y CR'!$C$5</definedName>
    <definedName name="________ANO2" localSheetId="0">'[6]GTOS PERSONAL COL Y CR'!$C$5</definedName>
    <definedName name="________ANO2" localSheetId="2">'[6]GTOS PERSONAL COL Y CR'!$C$5</definedName>
    <definedName name="________ANO2" localSheetId="6">'[7]GTOS PERSONAL COL Y CR'!$C$5</definedName>
    <definedName name="________ANO2">'[6]GTOS PERSONAL COL Y CR'!$C$5</definedName>
    <definedName name="________DIA19" localSheetId="1">#REF!</definedName>
    <definedName name="________DIA19" localSheetId="7">#REF!</definedName>
    <definedName name="________DIA19" localSheetId="4">#REF!</definedName>
    <definedName name="________DIA19" localSheetId="5">#REF!</definedName>
    <definedName name="________DIA19" localSheetId="0">#REF!</definedName>
    <definedName name="________DIA19" localSheetId="2">#REF!</definedName>
    <definedName name="________DIA19" localSheetId="6">#REF!</definedName>
    <definedName name="________DIA19">#REF!</definedName>
    <definedName name="________Int1" localSheetId="1">[3]Resumen!$M$8:$M$35</definedName>
    <definedName name="________Int1" localSheetId="7">[4]Resumen!$M$8:$M$35</definedName>
    <definedName name="________Int1" localSheetId="4">[5]Resumen!$M$8:$M$35</definedName>
    <definedName name="________Int1" localSheetId="5">[4]Resumen!$M$8:$M$35</definedName>
    <definedName name="________Int1" localSheetId="0">[3]Resumen!$M$8:$M$35</definedName>
    <definedName name="________Int1" localSheetId="2">[3]Resumen!$M$8:$M$35</definedName>
    <definedName name="________Int1" localSheetId="6">[4]Resumen!$M$8:$M$35</definedName>
    <definedName name="________Int1">[3]Resumen!$M$8:$M$35</definedName>
    <definedName name="________Int2" localSheetId="1">[3]Resumen!$Q$8:$Q$35</definedName>
    <definedName name="________Int2" localSheetId="7">[4]Resumen!$Q$8:$Q$35</definedName>
    <definedName name="________Int2" localSheetId="4">[5]Resumen!$Q$8:$Q$35</definedName>
    <definedName name="________Int2" localSheetId="5">[4]Resumen!$Q$8:$Q$35</definedName>
    <definedName name="________Int2" localSheetId="0">[3]Resumen!$Q$8:$Q$35</definedName>
    <definedName name="________Int2" localSheetId="2">[3]Resumen!$Q$8:$Q$35</definedName>
    <definedName name="________Int2" localSheetId="6">[4]Resumen!$Q$8:$Q$35</definedName>
    <definedName name="________Int2">[3]Resumen!$Q$8:$Q$35</definedName>
    <definedName name="________Int3" localSheetId="1">[3]Resumen!$U$8:$U$35</definedName>
    <definedName name="________Int3" localSheetId="7">[4]Resumen!$U$8:$U$35</definedName>
    <definedName name="________Int3" localSheetId="4">[5]Resumen!$U$8:$U$35</definedName>
    <definedName name="________Int3" localSheetId="5">[4]Resumen!$U$8:$U$35</definedName>
    <definedName name="________Int3" localSheetId="0">[3]Resumen!$U$8:$U$35</definedName>
    <definedName name="________Int3" localSheetId="2">[3]Resumen!$U$8:$U$35</definedName>
    <definedName name="________Int3" localSheetId="6">[4]Resumen!$U$8:$U$35</definedName>
    <definedName name="________Int3">[3]Resumen!$U$8:$U$35</definedName>
    <definedName name="________Int4" localSheetId="1">[3]Resumen!$Y$8:$Y$35</definedName>
    <definedName name="________Int4" localSheetId="7">[4]Resumen!$Y$8:$Y$35</definedName>
    <definedName name="________Int4" localSheetId="4">[5]Resumen!$Y$8:$Y$35</definedName>
    <definedName name="________Int4" localSheetId="5">[4]Resumen!$Y$8:$Y$35</definedName>
    <definedName name="________Int4" localSheetId="0">[3]Resumen!$Y$8:$Y$35</definedName>
    <definedName name="________Int4" localSheetId="2">[3]Resumen!$Y$8:$Y$35</definedName>
    <definedName name="________Int4" localSheetId="6">[4]Resumen!$Y$8:$Y$35</definedName>
    <definedName name="________Int4">[3]Resumen!$Y$8:$Y$35</definedName>
    <definedName name="_______ANO2" localSheetId="1">'[6]GTOS PERSONAL COL Y CR'!$C$5</definedName>
    <definedName name="_______ANO2" localSheetId="7">'[7]GTOS PERSONAL COL Y CR'!$C$5</definedName>
    <definedName name="_______ANO2" localSheetId="4">'[8]GTOS PERSONAL COL Y CR'!$C$5</definedName>
    <definedName name="_______ANO2" localSheetId="5">'[7]GTOS PERSONAL COL Y CR'!$C$5</definedName>
    <definedName name="_______ANO2" localSheetId="0">'[6]GTOS PERSONAL COL Y CR'!$C$5</definedName>
    <definedName name="_______ANO2" localSheetId="2">'[6]GTOS PERSONAL COL Y CR'!$C$5</definedName>
    <definedName name="_______ANO2" localSheetId="6">'[7]GTOS PERSONAL COL Y CR'!$C$5</definedName>
    <definedName name="_______ANO2">'[6]GTOS PERSONAL COL Y CR'!$C$5</definedName>
    <definedName name="_______DIA19" localSheetId="1">#REF!</definedName>
    <definedName name="_______DIA19" localSheetId="7">#REF!</definedName>
    <definedName name="_______DIA19" localSheetId="4">#REF!</definedName>
    <definedName name="_______DIA19" localSheetId="5">#REF!</definedName>
    <definedName name="_______DIA19" localSheetId="0">#REF!</definedName>
    <definedName name="_______DIA19" localSheetId="2">#REF!</definedName>
    <definedName name="_______DIA19" localSheetId="6">#REF!</definedName>
    <definedName name="_______DIA19">#REF!</definedName>
    <definedName name="_______Int1" localSheetId="1">[3]Resumen!$M$8:$M$35</definedName>
    <definedName name="_______Int1" localSheetId="7">[4]Resumen!$M$8:$M$35</definedName>
    <definedName name="_______Int1" localSheetId="4">[5]Resumen!$M$8:$M$35</definedName>
    <definedName name="_______Int1" localSheetId="5">[4]Resumen!$M$8:$M$35</definedName>
    <definedName name="_______Int1" localSheetId="0">[3]Resumen!$M$8:$M$35</definedName>
    <definedName name="_______Int1" localSheetId="2">[3]Resumen!$M$8:$M$35</definedName>
    <definedName name="_______Int1" localSheetId="6">[4]Resumen!$M$8:$M$35</definedName>
    <definedName name="_______Int1">[3]Resumen!$M$8:$M$35</definedName>
    <definedName name="_______Int2" localSheetId="1">[3]Resumen!$Q$8:$Q$35</definedName>
    <definedName name="_______Int2" localSheetId="7">[4]Resumen!$Q$8:$Q$35</definedName>
    <definedName name="_______Int2" localSheetId="4">[5]Resumen!$Q$8:$Q$35</definedName>
    <definedName name="_______Int2" localSheetId="5">[4]Resumen!$Q$8:$Q$35</definedName>
    <definedName name="_______Int2" localSheetId="0">[3]Resumen!$Q$8:$Q$35</definedName>
    <definedName name="_______Int2" localSheetId="2">[3]Resumen!$Q$8:$Q$35</definedName>
    <definedName name="_______Int2" localSheetId="6">[4]Resumen!$Q$8:$Q$35</definedName>
    <definedName name="_______Int2">[3]Resumen!$Q$8:$Q$35</definedName>
    <definedName name="_______Int3" localSheetId="1">[3]Resumen!$U$8:$U$35</definedName>
    <definedName name="_______Int3" localSheetId="7">[4]Resumen!$U$8:$U$35</definedName>
    <definedName name="_______Int3" localSheetId="4">[5]Resumen!$U$8:$U$35</definedName>
    <definedName name="_______Int3" localSheetId="5">[4]Resumen!$U$8:$U$35</definedName>
    <definedName name="_______Int3" localSheetId="0">[3]Resumen!$U$8:$U$35</definedName>
    <definedName name="_______Int3" localSheetId="2">[3]Resumen!$U$8:$U$35</definedName>
    <definedName name="_______Int3" localSheetId="6">[4]Resumen!$U$8:$U$35</definedName>
    <definedName name="_______Int3">[3]Resumen!$U$8:$U$35</definedName>
    <definedName name="_______Int4" localSheetId="1">[3]Resumen!$Y$8:$Y$35</definedName>
    <definedName name="_______Int4" localSheetId="7">[4]Resumen!$Y$8:$Y$35</definedName>
    <definedName name="_______Int4" localSheetId="4">[5]Resumen!$Y$8:$Y$35</definedName>
    <definedName name="_______Int4" localSheetId="5">[4]Resumen!$Y$8:$Y$35</definedName>
    <definedName name="_______Int4" localSheetId="0">[3]Resumen!$Y$8:$Y$35</definedName>
    <definedName name="_______Int4" localSheetId="2">[3]Resumen!$Y$8:$Y$35</definedName>
    <definedName name="_______Int4" localSheetId="6">[4]Resumen!$Y$8:$Y$35</definedName>
    <definedName name="_______Int4">[3]Resumen!$Y$8:$Y$35</definedName>
    <definedName name="______ANO2" localSheetId="1">'[6]GTOS PERSONAL COL Y CR'!$C$5</definedName>
    <definedName name="______ANO2" localSheetId="7">'[7]GTOS PERSONAL COL Y CR'!$C$5</definedName>
    <definedName name="______ANO2" localSheetId="4">'[8]GTOS PERSONAL COL Y CR'!$C$5</definedName>
    <definedName name="______ANO2" localSheetId="5">'[7]GTOS PERSONAL COL Y CR'!$C$5</definedName>
    <definedName name="______ANO2" localSheetId="0">'[6]GTOS PERSONAL COL Y CR'!$C$5</definedName>
    <definedName name="______ANO2" localSheetId="2">'[6]GTOS PERSONAL COL Y CR'!$C$5</definedName>
    <definedName name="______ANO2" localSheetId="6">'[7]GTOS PERSONAL COL Y CR'!$C$5</definedName>
    <definedName name="______ANO2">'[6]GTOS PERSONAL COL Y CR'!$C$5</definedName>
    <definedName name="______DIA19" localSheetId="1">#REF!</definedName>
    <definedName name="______DIA19" localSheetId="7">#REF!</definedName>
    <definedName name="______DIA19" localSheetId="4">#REF!</definedName>
    <definedName name="______DIA19" localSheetId="5">#REF!</definedName>
    <definedName name="______DIA19" localSheetId="0">#REF!</definedName>
    <definedName name="______DIA19" localSheetId="2">#REF!</definedName>
    <definedName name="______DIA19" localSheetId="6">#REF!</definedName>
    <definedName name="______DIA19">#REF!</definedName>
    <definedName name="______Int1">[9]Resumen!$M$8:$M$35</definedName>
    <definedName name="______Int2">[9]Resumen!$Q$8:$Q$35</definedName>
    <definedName name="______Int3">[9]Resumen!$U$8:$U$35</definedName>
    <definedName name="______Int4">[9]Resumen!$Y$8:$Y$35</definedName>
    <definedName name="_____ANO2" localSheetId="1">'[6]GTOS PERSONAL COL Y CR'!$C$5</definedName>
    <definedName name="_____ANO2" localSheetId="7">'[7]GTOS PERSONAL COL Y CR'!$C$5</definedName>
    <definedName name="_____ANO2" localSheetId="4">'[8]GTOS PERSONAL COL Y CR'!$C$5</definedName>
    <definedName name="_____ANO2" localSheetId="5">'[7]GTOS PERSONAL COL Y CR'!$C$5</definedName>
    <definedName name="_____ANO2" localSheetId="0">'[6]GTOS PERSONAL COL Y CR'!$C$5</definedName>
    <definedName name="_____ANO2" localSheetId="2">'[6]GTOS PERSONAL COL Y CR'!$C$5</definedName>
    <definedName name="_____ANO2" localSheetId="6">'[7]GTOS PERSONAL COL Y CR'!$C$5</definedName>
    <definedName name="_____ANO2">'[6]GTOS PERSONAL COL Y CR'!$C$5</definedName>
    <definedName name="_____DIA19" localSheetId="1">#REF!</definedName>
    <definedName name="_____DIA19" localSheetId="7">#REF!</definedName>
    <definedName name="_____DIA19" localSheetId="4">#REF!</definedName>
    <definedName name="_____DIA19" localSheetId="5">#REF!</definedName>
    <definedName name="_____DIA19" localSheetId="0">#REF!</definedName>
    <definedName name="_____DIA19" localSheetId="2">#REF!</definedName>
    <definedName name="_____DIA19" localSheetId="6">#REF!</definedName>
    <definedName name="_____DIA19">#REF!</definedName>
    <definedName name="_____Int1">[9]Resumen!$M$8:$M$35</definedName>
    <definedName name="_____Int2">[9]Resumen!$Q$8:$Q$35</definedName>
    <definedName name="_____Int3">[9]Resumen!$U$8:$U$35</definedName>
    <definedName name="_____Int4">[9]Resumen!$Y$8:$Y$35</definedName>
    <definedName name="____ANO2" localSheetId="1">'[6]GTOS PERSONAL COL Y CR'!$C$5</definedName>
    <definedName name="____ANO2" localSheetId="7">'[7]GTOS PERSONAL COL Y CR'!$C$5</definedName>
    <definedName name="____ANO2" localSheetId="4">'[8]GTOS PERSONAL COL Y CR'!$C$5</definedName>
    <definedName name="____ANO2" localSheetId="5">'[7]GTOS PERSONAL COL Y CR'!$C$5</definedName>
    <definedName name="____ANO2" localSheetId="0">'[6]GTOS PERSONAL COL Y CR'!$C$5</definedName>
    <definedName name="____ANO2" localSheetId="2">'[6]GTOS PERSONAL COL Y CR'!$C$5</definedName>
    <definedName name="____ANO2" localSheetId="6">'[7]GTOS PERSONAL COL Y CR'!$C$5</definedName>
    <definedName name="____ANO2">'[6]GTOS PERSONAL COL Y CR'!$C$5</definedName>
    <definedName name="____DIA19" localSheetId="1">#REF!</definedName>
    <definedName name="____DIA19" localSheetId="7">#REF!</definedName>
    <definedName name="____DIA19" localSheetId="4">#REF!</definedName>
    <definedName name="____DIA19" localSheetId="5">#REF!</definedName>
    <definedName name="____DIA19" localSheetId="0">#REF!</definedName>
    <definedName name="____DIA19" localSheetId="2">#REF!</definedName>
    <definedName name="____DIA19" localSheetId="6">#REF!</definedName>
    <definedName name="____DIA19">#REF!</definedName>
    <definedName name="____Int1">[10]Resumen!$M$8:$M$35</definedName>
    <definedName name="____Int2">[10]Resumen!$Q$8:$Q$35</definedName>
    <definedName name="____Int3">[10]Resumen!$U$8:$U$35</definedName>
    <definedName name="____Int4">[10]Resumen!$Y$8:$Y$35</definedName>
    <definedName name="___ANO2" localSheetId="1">'[6]GTOS PERSONAL COL Y CR'!$C$5</definedName>
    <definedName name="___ANO2" localSheetId="7">'[7]GTOS PERSONAL COL Y CR'!$C$5</definedName>
    <definedName name="___ANO2" localSheetId="4">'[8]GTOS PERSONAL COL Y CR'!$C$5</definedName>
    <definedName name="___ANO2" localSheetId="5">'[7]GTOS PERSONAL COL Y CR'!$C$5</definedName>
    <definedName name="___ANO2" localSheetId="0">'[6]GTOS PERSONAL COL Y CR'!$C$5</definedName>
    <definedName name="___ANO2" localSheetId="2">'[6]GTOS PERSONAL COL Y CR'!$C$5</definedName>
    <definedName name="___ANO2" localSheetId="6">'[7]GTOS PERSONAL COL Y CR'!$C$5</definedName>
    <definedName name="___ANO2">'[6]GTOS PERSONAL COL Y CR'!$C$5</definedName>
    <definedName name="___DIA19" localSheetId="1">#REF!</definedName>
    <definedName name="___DIA19" localSheetId="7">#REF!</definedName>
    <definedName name="___DIA19" localSheetId="4">#REF!</definedName>
    <definedName name="___DIA19" localSheetId="5">#REF!</definedName>
    <definedName name="___DIA19" localSheetId="0">#REF!</definedName>
    <definedName name="___DIA19" localSheetId="2">#REF!</definedName>
    <definedName name="___DIA19" localSheetId="6">#REF!</definedName>
    <definedName name="___DIA19">#REF!</definedName>
    <definedName name="___Int1">[9]Resumen!$M$8:$M$35</definedName>
    <definedName name="___Int2">[9]Resumen!$Q$8:$Q$35</definedName>
    <definedName name="___Int3">[9]Resumen!$U$8:$U$35</definedName>
    <definedName name="___Int4">[9]Resumen!$Y$8:$Y$35</definedName>
    <definedName name="__123Graph_A" localSheetId="1" hidden="1">#REF!</definedName>
    <definedName name="__123Graph_A" localSheetId="7" hidden="1">#REF!</definedName>
    <definedName name="__123Graph_A" localSheetId="4" hidden="1">#REF!</definedName>
    <definedName name="__123Graph_A" localSheetId="5" hidden="1">#REF!</definedName>
    <definedName name="__123Graph_A" localSheetId="0" hidden="1">#REF!</definedName>
    <definedName name="__123Graph_A" localSheetId="2" hidden="1">#REF!</definedName>
    <definedName name="__123Graph_A" localSheetId="6" hidden="1">#REF!</definedName>
    <definedName name="__123Graph_A" hidden="1">#REF!</definedName>
    <definedName name="__123Graph_ABANDA" localSheetId="1" hidden="1">#REF!</definedName>
    <definedName name="__123Graph_ABANDA" localSheetId="7" hidden="1">#REF!</definedName>
    <definedName name="__123Graph_ABANDA" localSheetId="4" hidden="1">#REF!</definedName>
    <definedName name="__123Graph_ABANDA" localSheetId="5" hidden="1">#REF!</definedName>
    <definedName name="__123Graph_ABANDA" localSheetId="0" hidden="1">#REF!</definedName>
    <definedName name="__123Graph_ABANDA" localSheetId="2" hidden="1">#REF!</definedName>
    <definedName name="__123Graph_ABANDA" localSheetId="6" hidden="1">#REF!</definedName>
    <definedName name="__123Graph_ABANDA" hidden="1">#REF!</definedName>
    <definedName name="__123Graph_ABANDA1" localSheetId="1" hidden="1">#REF!</definedName>
    <definedName name="__123Graph_ABANDA1" localSheetId="7" hidden="1">#REF!</definedName>
    <definedName name="__123Graph_ABANDA1" localSheetId="4" hidden="1">#REF!</definedName>
    <definedName name="__123Graph_ABANDA1" localSheetId="5" hidden="1">#REF!</definedName>
    <definedName name="__123Graph_ABANDA1" localSheetId="0" hidden="1">#REF!</definedName>
    <definedName name="__123Graph_ABANDA1" localSheetId="2" hidden="1">#REF!</definedName>
    <definedName name="__123Graph_ABANDA1" localSheetId="6" hidden="1">#REF!</definedName>
    <definedName name="__123Graph_ABANDA1" hidden="1">#REF!</definedName>
    <definedName name="__123Graph_ABANDA2" localSheetId="1" hidden="1">#REF!</definedName>
    <definedName name="__123Graph_ABANDA2" localSheetId="7" hidden="1">#REF!</definedName>
    <definedName name="__123Graph_ABANDA2" localSheetId="6" hidden="1">#REF!</definedName>
    <definedName name="__123Graph_ABANDA2" hidden="1">#REF!</definedName>
    <definedName name="__123Graph_ABANDA3" localSheetId="1" hidden="1">#REF!</definedName>
    <definedName name="__123Graph_ABANDA3" localSheetId="7" hidden="1">#REF!</definedName>
    <definedName name="__123Graph_ABANDA3" localSheetId="6" hidden="1">#REF!</definedName>
    <definedName name="__123Graph_ABANDA3" hidden="1">#REF!</definedName>
    <definedName name="__123Graph_ATRM" localSheetId="1" hidden="1">#REF!</definedName>
    <definedName name="__123Graph_ATRM" localSheetId="7" hidden="1">#REF!</definedName>
    <definedName name="__123Graph_ATRM" localSheetId="6" hidden="1">#REF!</definedName>
    <definedName name="__123Graph_ATRM" hidden="1">#REF!</definedName>
    <definedName name="__123Graph_B" localSheetId="1" hidden="1">#REF!</definedName>
    <definedName name="__123Graph_B" localSheetId="7" hidden="1">#REF!</definedName>
    <definedName name="__123Graph_B" localSheetId="6" hidden="1">#REF!</definedName>
    <definedName name="__123Graph_B" hidden="1">#REF!</definedName>
    <definedName name="__123Graph_BBANDA" localSheetId="1" hidden="1">#REF!</definedName>
    <definedName name="__123Graph_BBANDA" localSheetId="7" hidden="1">#REF!</definedName>
    <definedName name="__123Graph_BBANDA" localSheetId="6" hidden="1">#REF!</definedName>
    <definedName name="__123Graph_BBANDA" hidden="1">#REF!</definedName>
    <definedName name="__123Graph_BBANDA1" localSheetId="1" hidden="1">#REF!</definedName>
    <definedName name="__123Graph_BBANDA1" localSheetId="7" hidden="1">#REF!</definedName>
    <definedName name="__123Graph_BBANDA1" localSheetId="6" hidden="1">#REF!</definedName>
    <definedName name="__123Graph_BBANDA1" hidden="1">#REF!</definedName>
    <definedName name="__123Graph_BBANDA2" localSheetId="1" hidden="1">#REF!</definedName>
    <definedName name="__123Graph_BBANDA2" localSheetId="7" hidden="1">#REF!</definedName>
    <definedName name="__123Graph_BBANDA2" localSheetId="6" hidden="1">#REF!</definedName>
    <definedName name="__123Graph_BBANDA2" hidden="1">#REF!</definedName>
    <definedName name="__123Graph_BBANDA3" localSheetId="1" hidden="1">#REF!</definedName>
    <definedName name="__123Graph_BBANDA3" localSheetId="7" hidden="1">#REF!</definedName>
    <definedName name="__123Graph_BBANDA3" localSheetId="6" hidden="1">#REF!</definedName>
    <definedName name="__123Graph_BBANDA3" hidden="1">#REF!</definedName>
    <definedName name="__123Graph_BTRM" localSheetId="1" hidden="1">#REF!</definedName>
    <definedName name="__123Graph_BTRM" localSheetId="7" hidden="1">#REF!</definedName>
    <definedName name="__123Graph_BTRM" localSheetId="6" hidden="1">#REF!</definedName>
    <definedName name="__123Graph_BTRM" hidden="1">#REF!</definedName>
    <definedName name="__123Graph_C" localSheetId="1" hidden="1">#REF!</definedName>
    <definedName name="__123Graph_C" localSheetId="7" hidden="1">#REF!</definedName>
    <definedName name="__123Graph_C" localSheetId="6" hidden="1">#REF!</definedName>
    <definedName name="__123Graph_C" hidden="1">#REF!</definedName>
    <definedName name="__123Graph_CBANDA" localSheetId="1" hidden="1">#REF!</definedName>
    <definedName name="__123Graph_CBANDA" localSheetId="7" hidden="1">#REF!</definedName>
    <definedName name="__123Graph_CBANDA" localSheetId="6" hidden="1">#REF!</definedName>
    <definedName name="__123Graph_CBANDA" hidden="1">#REF!</definedName>
    <definedName name="__123Graph_CBANDA1" localSheetId="1" hidden="1">#REF!</definedName>
    <definedName name="__123Graph_CBANDA1" localSheetId="7" hidden="1">#REF!</definedName>
    <definedName name="__123Graph_CBANDA1" localSheetId="6" hidden="1">#REF!</definedName>
    <definedName name="__123Graph_CBANDA1" hidden="1">#REF!</definedName>
    <definedName name="__123Graph_CBANDA2" localSheetId="1" hidden="1">#REF!</definedName>
    <definedName name="__123Graph_CBANDA2" localSheetId="7" hidden="1">#REF!</definedName>
    <definedName name="__123Graph_CBANDA2" localSheetId="6" hidden="1">#REF!</definedName>
    <definedName name="__123Graph_CBANDA2" hidden="1">#REF!</definedName>
    <definedName name="__123Graph_CBANDA3" localSheetId="1" hidden="1">#REF!</definedName>
    <definedName name="__123Graph_CBANDA3" localSheetId="7" hidden="1">#REF!</definedName>
    <definedName name="__123Graph_CBANDA3" localSheetId="6" hidden="1">#REF!</definedName>
    <definedName name="__123Graph_CBANDA3" hidden="1">#REF!</definedName>
    <definedName name="__123Graph_CTRM" localSheetId="1" hidden="1">#REF!</definedName>
    <definedName name="__123Graph_CTRM" localSheetId="7" hidden="1">#REF!</definedName>
    <definedName name="__123Graph_CTRM" localSheetId="6" hidden="1">#REF!</definedName>
    <definedName name="__123Graph_CTRM" hidden="1">#REF!</definedName>
    <definedName name="__123Graph_X" localSheetId="1" hidden="1">#REF!</definedName>
    <definedName name="__123Graph_X" localSheetId="7" hidden="1">#REF!</definedName>
    <definedName name="__123Graph_X" localSheetId="6" hidden="1">#REF!</definedName>
    <definedName name="__123Graph_X" hidden="1">#REF!</definedName>
    <definedName name="__123Graph_XBANDA" localSheetId="1" hidden="1">#REF!</definedName>
    <definedName name="__123Graph_XBANDA" localSheetId="7" hidden="1">#REF!</definedName>
    <definedName name="__123Graph_XBANDA" localSheetId="6" hidden="1">#REF!</definedName>
    <definedName name="__123Graph_XBANDA" hidden="1">#REF!</definedName>
    <definedName name="__123Graph_XBANDA1" localSheetId="1" hidden="1">#REF!</definedName>
    <definedName name="__123Graph_XBANDA1" localSheetId="7" hidden="1">#REF!</definedName>
    <definedName name="__123Graph_XBANDA1" localSheetId="6" hidden="1">#REF!</definedName>
    <definedName name="__123Graph_XBANDA1" hidden="1">#REF!</definedName>
    <definedName name="__123Graph_XBANDA2" localSheetId="1" hidden="1">#REF!</definedName>
    <definedName name="__123Graph_XBANDA2" localSheetId="7" hidden="1">#REF!</definedName>
    <definedName name="__123Graph_XBANDA2" localSheetId="6" hidden="1">#REF!</definedName>
    <definedName name="__123Graph_XBANDA2" hidden="1">#REF!</definedName>
    <definedName name="__123Graph_XBANDA3" localSheetId="1" hidden="1">#REF!</definedName>
    <definedName name="__123Graph_XBANDA3" localSheetId="7" hidden="1">#REF!</definedName>
    <definedName name="__123Graph_XBANDA3" localSheetId="6" hidden="1">#REF!</definedName>
    <definedName name="__123Graph_XBANDA3" hidden="1">#REF!</definedName>
    <definedName name="__123Graph_XTRM" localSheetId="1" hidden="1">#REF!</definedName>
    <definedName name="__123Graph_XTRM" localSheetId="7" hidden="1">#REF!</definedName>
    <definedName name="__123Graph_XTRM" localSheetId="6" hidden="1">#REF!</definedName>
    <definedName name="__123Graph_XTRM" hidden="1">#REF!</definedName>
    <definedName name="__ANO2" localSheetId="1">'[6]GTOS PERSONAL COL Y CR'!$C$5</definedName>
    <definedName name="__ANO2" localSheetId="7">'[7]GTOS PERSONAL COL Y CR'!$C$5</definedName>
    <definedName name="__ANO2" localSheetId="4">'[8]GTOS PERSONAL COL Y CR'!$C$5</definedName>
    <definedName name="__ANO2" localSheetId="5">'[7]GTOS PERSONAL COL Y CR'!$C$5</definedName>
    <definedName name="__ANO2" localSheetId="0">'[6]GTOS PERSONAL COL Y CR'!$C$5</definedName>
    <definedName name="__ANO2" localSheetId="2">'[6]GTOS PERSONAL COL Y CR'!$C$5</definedName>
    <definedName name="__ANO2" localSheetId="6">'[7]GTOS PERSONAL COL Y CR'!$C$5</definedName>
    <definedName name="__ANO2">'[6]GTOS PERSONAL COL Y CR'!$C$5</definedName>
    <definedName name="__bookmark_1">#REF!</definedName>
    <definedName name="__DIA19" localSheetId="1">#REF!</definedName>
    <definedName name="__DIA19" localSheetId="7">#REF!</definedName>
    <definedName name="__DIA19" localSheetId="4">#REF!</definedName>
    <definedName name="__DIA19" localSheetId="5">#REF!</definedName>
    <definedName name="__DIA19" localSheetId="0">#REF!</definedName>
    <definedName name="__DIA19" localSheetId="2">#REF!</definedName>
    <definedName name="__DIA19" localSheetId="6">#REF!</definedName>
    <definedName name="__DIA19">#REF!</definedName>
    <definedName name="__Int1">[9]Resumen!$M$8:$M$35</definedName>
    <definedName name="__Int2">[9]Resumen!$Q$8:$Q$35</definedName>
    <definedName name="__Int3">[9]Resumen!$U$8:$U$35</definedName>
    <definedName name="__Int4">[9]Resumen!$Y$8:$Y$35</definedName>
    <definedName name="_15246" localSheetId="1" hidden="1">#REF!</definedName>
    <definedName name="_15246" localSheetId="7" hidden="1">#REF!</definedName>
    <definedName name="_15246" localSheetId="4" hidden="1">#REF!</definedName>
    <definedName name="_15246" localSheetId="5" hidden="1">#REF!</definedName>
    <definedName name="_15246" localSheetId="0" hidden="1">#REF!</definedName>
    <definedName name="_15246" localSheetId="2" hidden="1">#REF!</definedName>
    <definedName name="_15246" localSheetId="6" hidden="1">#REF!</definedName>
    <definedName name="_15246" hidden="1">#REF!</definedName>
    <definedName name="_1990" localSheetId="1">#REF!</definedName>
    <definedName name="_1990" localSheetId="7">#REF!</definedName>
    <definedName name="_1990" localSheetId="4">#REF!</definedName>
    <definedName name="_1990" localSheetId="5">#REF!</definedName>
    <definedName name="_1990" localSheetId="0">#REF!</definedName>
    <definedName name="_1990" localSheetId="2">#REF!</definedName>
    <definedName name="_1990" localSheetId="6">#REF!</definedName>
    <definedName name="_1990">#REF!</definedName>
    <definedName name="_99FOR1" localSheetId="1">#REF!</definedName>
    <definedName name="_99FOR1" localSheetId="7">#REF!</definedName>
    <definedName name="_99FOR1" localSheetId="4">#REF!</definedName>
    <definedName name="_99FOR1" localSheetId="5">#REF!</definedName>
    <definedName name="_99FOR1" localSheetId="0">#REF!</definedName>
    <definedName name="_99FOR1" localSheetId="2">#REF!</definedName>
    <definedName name="_99FOR1" localSheetId="6">#REF!</definedName>
    <definedName name="_99FOR1">#REF!</definedName>
    <definedName name="_99FOR2" localSheetId="1">#REF!</definedName>
    <definedName name="_99FOR2" localSheetId="7">#REF!</definedName>
    <definedName name="_99FOR2" localSheetId="6">#REF!</definedName>
    <definedName name="_99FOR2">#REF!</definedName>
    <definedName name="_99FOR3" localSheetId="1">#REF!</definedName>
    <definedName name="_99FOR3" localSheetId="7">#REF!</definedName>
    <definedName name="_99FOR3" localSheetId="6">#REF!</definedName>
    <definedName name="_99FOR3">#REF!</definedName>
    <definedName name="_99FOR4" localSheetId="1">#REF!</definedName>
    <definedName name="_99FOR4" localSheetId="7">#REF!</definedName>
    <definedName name="_99FOR4" localSheetId="6">#REF!</definedName>
    <definedName name="_99FOR4">#REF!</definedName>
    <definedName name="_AAE1065" localSheetId="1">[11]PCCODICIEMBRE!#REF!</definedName>
    <definedName name="_AAE1065" localSheetId="7">[11]PCCODICIEMBRE!#REF!</definedName>
    <definedName name="_AAE1065" localSheetId="4">[11]PCCODICIEMBRE!#REF!</definedName>
    <definedName name="_AAE1065" localSheetId="5">[11]PCCODICIEMBRE!#REF!</definedName>
    <definedName name="_AAE1065" localSheetId="0">[11]PCCODICIEMBRE!#REF!</definedName>
    <definedName name="_AAE1065" localSheetId="2">[11]PCCODICIEMBRE!#REF!</definedName>
    <definedName name="_AAE1065" localSheetId="6">[11]PCCODICIEMBRE!#REF!</definedName>
    <definedName name="_AAE1065">[11]PCCODICIEMBRE!#REF!</definedName>
    <definedName name="_ANO2" localSheetId="1">'[6]GTOS PERSONAL COL Y CR'!$C$5</definedName>
    <definedName name="_ANO2" localSheetId="7">'[7]GTOS PERSONAL COL Y CR'!$C$5</definedName>
    <definedName name="_ANO2" localSheetId="4">'[8]GTOS PERSONAL COL Y CR'!$C$5</definedName>
    <definedName name="_ANO2" localSheetId="5">'[7]GTOS PERSONAL COL Y CR'!$C$5</definedName>
    <definedName name="_ANO2" localSheetId="0">'[6]GTOS PERSONAL COL Y CR'!$C$5</definedName>
    <definedName name="_ANO2" localSheetId="2">'[6]GTOS PERSONAL COL Y CR'!$C$5</definedName>
    <definedName name="_ANO2" localSheetId="6">'[7]GTOS PERSONAL COL Y CR'!$C$5</definedName>
    <definedName name="_ANO2">'[6]GTOS PERSONAL COL Y CR'!$C$5</definedName>
    <definedName name="_DIA19" localSheetId="1">#REF!</definedName>
    <definedName name="_DIA19" localSheetId="7">#REF!</definedName>
    <definedName name="_DIA19" localSheetId="4">#REF!</definedName>
    <definedName name="_DIA19" localSheetId="5">#REF!</definedName>
    <definedName name="_DIA19" localSheetId="0">#REF!</definedName>
    <definedName name="_DIA19" localSheetId="2">#REF!</definedName>
    <definedName name="_DIA19" localSheetId="6">#REF!</definedName>
    <definedName name="_DIA19">#REF!</definedName>
    <definedName name="_Fill" localSheetId="1" hidden="1">#REF!</definedName>
    <definedName name="_Fill" localSheetId="7" hidden="1">#REF!</definedName>
    <definedName name="_Fill" localSheetId="4" hidden="1">#REF!</definedName>
    <definedName name="_Fill" localSheetId="5" hidden="1">#REF!</definedName>
    <definedName name="_Fill" localSheetId="0" hidden="1">#REF!</definedName>
    <definedName name="_Fill" localSheetId="2" hidden="1">#REF!</definedName>
    <definedName name="_Fill" localSheetId="6" hidden="1">#REF!</definedName>
    <definedName name="_Fill" hidden="1">#REF!</definedName>
    <definedName name="_xlnm._FilterDatabase" localSheetId="3" hidden="1">'Banco Colpatria Def'!$B$18:$I$57</definedName>
    <definedName name="_xlnm._FilterDatabase" localSheetId="1" hidden="1">'Banco de Bogotá 0553 '!$A$18:$R$105</definedName>
    <definedName name="_xlnm._FilterDatabase" localSheetId="0" hidden="1">'Bancolombia Cta 1331  '!$A$18:$P$577</definedName>
    <definedName name="_xlnm._FilterDatabase" localSheetId="2" hidden="1">'Bancolombia Cta 690 '!$B$18:$L$18</definedName>
    <definedName name="_xlnm._FilterDatabase" localSheetId="6" hidden="1">'Mercado Pago'!$B$16:$I$33</definedName>
    <definedName name="_Int1">[9]Resumen!$M$8:$M$35</definedName>
    <definedName name="_Int2">[9]Resumen!$Q$8:$Q$35</definedName>
    <definedName name="_Int3">[9]Resumen!$U$8:$U$35</definedName>
    <definedName name="_Int4">[9]Resumen!$Y$8:$Y$35</definedName>
    <definedName name="_Key1" localSheetId="1" hidden="1">#REF!</definedName>
    <definedName name="_Key1" localSheetId="7" hidden="1">#REF!</definedName>
    <definedName name="_Key1" localSheetId="4" hidden="1">#REF!</definedName>
    <definedName name="_Key1" localSheetId="5" hidden="1">#REF!</definedName>
    <definedName name="_Key1" localSheetId="0" hidden="1">#REF!</definedName>
    <definedName name="_Key1" localSheetId="2" hidden="1">#REF!</definedName>
    <definedName name="_Key1" localSheetId="6" hidden="1">#REF!</definedName>
    <definedName name="_Key1" hidden="1">#REF!</definedName>
    <definedName name="_Order1" hidden="1">255</definedName>
    <definedName name="_Order2" hidden="1">255</definedName>
    <definedName name="_Parse_Out" localSheetId="1" hidden="1">#REF!</definedName>
    <definedName name="_Parse_Out" localSheetId="7" hidden="1">#REF!</definedName>
    <definedName name="_Parse_Out" localSheetId="4" hidden="1">#REF!</definedName>
    <definedName name="_Parse_Out" localSheetId="5" hidden="1">#REF!</definedName>
    <definedName name="_Parse_Out" localSheetId="0" hidden="1">#REF!</definedName>
    <definedName name="_Parse_Out" localSheetId="2" hidden="1">#REF!</definedName>
    <definedName name="_Parse_Out" localSheetId="6" hidden="1">#REF!</definedName>
    <definedName name="_Parse_Out" hidden="1">#REF!</definedName>
    <definedName name="_Parse_Out1" localSheetId="1" hidden="1">#REF!</definedName>
    <definedName name="_Parse_Out1" localSheetId="7" hidden="1">#REF!</definedName>
    <definedName name="_Parse_Out1" localSheetId="4" hidden="1">#REF!</definedName>
    <definedName name="_Parse_Out1" localSheetId="5" hidden="1">#REF!</definedName>
    <definedName name="_Parse_Out1" localSheetId="0" hidden="1">#REF!</definedName>
    <definedName name="_Parse_Out1" localSheetId="2" hidden="1">#REF!</definedName>
    <definedName name="_Parse_Out1" localSheetId="6" hidden="1">#REF!</definedName>
    <definedName name="_Parse_Out1" hidden="1">#REF!</definedName>
    <definedName name="_PAS1990" localSheetId="1">#REF!</definedName>
    <definedName name="_PAS1990" localSheetId="7">#REF!</definedName>
    <definedName name="_PAS1990" localSheetId="4">#REF!</definedName>
    <definedName name="_PAS1990" localSheetId="5">#REF!</definedName>
    <definedName name="_PAS1990" localSheetId="0">#REF!</definedName>
    <definedName name="_PAS1990" localSheetId="2">#REF!</definedName>
    <definedName name="_PAS1990" localSheetId="6">#REF!</definedName>
    <definedName name="_PAS1990">#REF!</definedName>
    <definedName name="_PYG1990" localSheetId="1">#REF!</definedName>
    <definedName name="_PYG1990" localSheetId="7">#REF!</definedName>
    <definedName name="_PYG1990" localSheetId="6">#REF!</definedName>
    <definedName name="_PYG1990">#REF!</definedName>
    <definedName name="_PYG1999">[12]RESULTADOS!$O$1:$R$63</definedName>
    <definedName name="_pyg2">[13]BALANCEETB!$B$2:$H$60</definedName>
    <definedName name="_Regression_Int">1</definedName>
    <definedName name="_SAP1" localSheetId="1">#REF!</definedName>
    <definedName name="_SAP1" localSheetId="7">#REF!</definedName>
    <definedName name="_SAP1" localSheetId="4">#REF!</definedName>
    <definedName name="_SAP1" localSheetId="5">#REF!</definedName>
    <definedName name="_SAP1" localSheetId="0">#REF!</definedName>
    <definedName name="_SAP1" localSheetId="2">#REF!</definedName>
    <definedName name="_SAP1" localSheetId="6">#REF!</definedName>
    <definedName name="_SAP1">#REF!</definedName>
    <definedName name="_Sort" localSheetId="1" hidden="1">#REF!</definedName>
    <definedName name="_Sort" localSheetId="7" hidden="1">#REF!</definedName>
    <definedName name="_Sort" localSheetId="4" hidden="1">#REF!</definedName>
    <definedName name="_Sort" localSheetId="5" hidden="1">#REF!</definedName>
    <definedName name="_Sort" localSheetId="0" hidden="1">#REF!</definedName>
    <definedName name="_Sort" localSheetId="2" hidden="1">#REF!</definedName>
    <definedName name="_Sort" localSheetId="6" hidden="1">#REF!</definedName>
    <definedName name="_Sort" hidden="1">#REF!</definedName>
    <definedName name="_trm1" localSheetId="1">#REF!</definedName>
    <definedName name="_trm1" localSheetId="7">#REF!</definedName>
    <definedName name="_trm1" localSheetId="4">#REF!</definedName>
    <definedName name="_trm1" localSheetId="5">#REF!</definedName>
    <definedName name="_trm1" localSheetId="0">#REF!</definedName>
    <definedName name="_trm1" localSheetId="2">#REF!</definedName>
    <definedName name="_trm1" localSheetId="6">#REF!</definedName>
    <definedName name="_trm1">#REF!</definedName>
    <definedName name="A" localSheetId="1">#REF!</definedName>
    <definedName name="A" localSheetId="7">#REF!</definedName>
    <definedName name="A" localSheetId="6">#REF!</definedName>
    <definedName name="A">#REF!</definedName>
    <definedName name="A_impresión_IM" localSheetId="1">#REF!</definedName>
    <definedName name="A_impresión_IM" localSheetId="7">#REF!</definedName>
    <definedName name="A_impresión_IM" localSheetId="6">#REF!</definedName>
    <definedName name="A_impresión_IM">#REF!</definedName>
    <definedName name="A_impresión_IM1" localSheetId="1">#REF!</definedName>
    <definedName name="A_impresión_IM1" localSheetId="7">#REF!</definedName>
    <definedName name="A_impresión_IM1" localSheetId="6">#REF!</definedName>
    <definedName name="A_impresión_IM1">#REF!</definedName>
    <definedName name="à10" localSheetId="1">#REF!</definedName>
    <definedName name="à10" localSheetId="7">#REF!</definedName>
    <definedName name="à10" localSheetId="6">#REF!</definedName>
    <definedName name="à10">#REF!</definedName>
    <definedName name="AAE1065_15" localSheetId="1">[14]PCCODICIEMBRE!#REF!</definedName>
    <definedName name="AAE1065_15" localSheetId="7">[14]PCCODICIEMBRE!#REF!</definedName>
    <definedName name="AAE1065_15" localSheetId="4">[14]PCCODICIEMBRE!#REF!</definedName>
    <definedName name="AAE1065_15" localSheetId="5">[14]PCCODICIEMBRE!#REF!</definedName>
    <definedName name="AAE1065_15" localSheetId="0">[14]PCCODICIEMBRE!#REF!</definedName>
    <definedName name="AAE1065_15" localSheetId="2">[14]PCCODICIEMBRE!#REF!</definedName>
    <definedName name="AAE1065_15" localSheetId="6">[14]PCCODICIEMBRE!#REF!</definedName>
    <definedName name="AAE1065_15">[14]PCCODICIEMBRE!#REF!</definedName>
    <definedName name="AAE1065_21" localSheetId="1">[15]PCCODICIEMBRE!#REF!</definedName>
    <definedName name="AAE1065_21" localSheetId="7">[15]PCCODICIEMBRE!#REF!</definedName>
    <definedName name="AAE1065_21" localSheetId="4">[15]PCCODICIEMBRE!#REF!</definedName>
    <definedName name="AAE1065_21" localSheetId="5">[15]PCCODICIEMBRE!#REF!</definedName>
    <definedName name="AAE1065_21" localSheetId="0">[15]PCCODICIEMBRE!#REF!</definedName>
    <definedName name="AAE1065_21" localSheetId="2">[15]PCCODICIEMBRE!#REF!</definedName>
    <definedName name="AAE1065_21" localSheetId="6">[15]PCCODICIEMBRE!#REF!</definedName>
    <definedName name="AAE1065_21">[15]PCCODICIEMBRE!#REF!</definedName>
    <definedName name="AAE1065_22" localSheetId="1">[15]PCCODICIEMBRE!#REF!</definedName>
    <definedName name="AAE1065_22" localSheetId="7">[15]PCCODICIEMBRE!#REF!</definedName>
    <definedName name="AAE1065_22" localSheetId="4">[15]PCCODICIEMBRE!#REF!</definedName>
    <definedName name="AAE1065_22" localSheetId="5">[15]PCCODICIEMBRE!#REF!</definedName>
    <definedName name="AAE1065_22" localSheetId="0">[15]PCCODICIEMBRE!#REF!</definedName>
    <definedName name="AAE1065_22" localSheetId="2">[15]PCCODICIEMBRE!#REF!</definedName>
    <definedName name="AAE1065_22" localSheetId="6">[15]PCCODICIEMBRE!#REF!</definedName>
    <definedName name="AAE1065_22">[15]PCCODICIEMBRE!#REF!</definedName>
    <definedName name="ABRIL05" localSheetId="1">#REF!</definedName>
    <definedName name="ABRIL05" localSheetId="7">#REF!</definedName>
    <definedName name="ABRIL05" localSheetId="4">#REF!</definedName>
    <definedName name="ABRIL05" localSheetId="5">#REF!</definedName>
    <definedName name="ABRIL05" localSheetId="0">#REF!</definedName>
    <definedName name="ABRIL05" localSheetId="2">#REF!</definedName>
    <definedName name="ABRIL05" localSheetId="6">#REF!</definedName>
    <definedName name="ABRIL05">#REF!</definedName>
    <definedName name="ADDSDS" localSheetId="1">[3]Resumen!$U$8:$U$35</definedName>
    <definedName name="ADDSDS" localSheetId="7">[4]Resumen!$U$8:$U$35</definedName>
    <definedName name="ADDSDS" localSheetId="4">[5]Resumen!$U$8:$U$35</definedName>
    <definedName name="ADDSDS" localSheetId="5">[4]Resumen!$U$8:$U$35</definedName>
    <definedName name="ADDSDS" localSheetId="0">[3]Resumen!$U$8:$U$35</definedName>
    <definedName name="ADDSDS" localSheetId="2">[3]Resumen!$U$8:$U$35</definedName>
    <definedName name="ADDSDS" localSheetId="6">[4]Resumen!$U$8:$U$35</definedName>
    <definedName name="ADDSDS">[3]Resumen!$U$8:$U$35</definedName>
    <definedName name="AF">[16]AF!$C$1:$AA$65536</definedName>
    <definedName name="ANEXO21" localSheetId="1">#REF!</definedName>
    <definedName name="ANEXO21" localSheetId="7">#REF!</definedName>
    <definedName name="ANEXO21" localSheetId="4">#REF!</definedName>
    <definedName name="ANEXO21" localSheetId="5">#REF!</definedName>
    <definedName name="ANEXO21" localSheetId="0">#REF!</definedName>
    <definedName name="ANEXO21" localSheetId="2">#REF!</definedName>
    <definedName name="ANEXO21" localSheetId="6">#REF!</definedName>
    <definedName name="ANEXO21">#REF!</definedName>
    <definedName name="AÑO1">'[17]RESUMEN PYG ACUM CONSOLID'!$A$5</definedName>
    <definedName name="AÑO2">'[17]RESUMEN PYG ACUM CONSOLID'!$A$8</definedName>
    <definedName name="AÑOACT" localSheetId="1">#REF!</definedName>
    <definedName name="AÑOACT" localSheetId="7">#REF!</definedName>
    <definedName name="AÑOACT" localSheetId="4">#REF!</definedName>
    <definedName name="AÑOACT" localSheetId="5">#REF!</definedName>
    <definedName name="AÑOACT" localSheetId="0">#REF!</definedName>
    <definedName name="AÑOACT" localSheetId="2">#REF!</definedName>
    <definedName name="AÑOACT" localSheetId="6">#REF!</definedName>
    <definedName name="AÑOACT">#REF!</definedName>
    <definedName name="AÑOANT" localSheetId="1">#REF!</definedName>
    <definedName name="AÑOANT" localSheetId="7">#REF!</definedName>
    <definedName name="AÑOANT" localSheetId="4">#REF!</definedName>
    <definedName name="AÑOANT" localSheetId="5">#REF!</definedName>
    <definedName name="AÑOANT" localSheetId="0">#REF!</definedName>
    <definedName name="AÑOANT" localSheetId="2">#REF!</definedName>
    <definedName name="AÑOANT" localSheetId="6">#REF!</definedName>
    <definedName name="AÑOANT">#REF!</definedName>
    <definedName name="AREA">[18]MOVIMIENTO!$D$8:$D$27,[18]MOVIMIENTO!$D$37:$D$52,[18]MOVIMIENTO!$D$29:$D$35,[18]MOVIMIENTO!$D$54:$D$70,[18]MOVIMIENTO!$D$72:$D$75,[18]MOVIMIENTO!$D$77:$D$85,[18]MOVIMIENTO!$D$87:$D$96</definedName>
    <definedName name="Area_de_impresión" localSheetId="1">#REF!</definedName>
    <definedName name="Area_de_impresión" localSheetId="7">#REF!</definedName>
    <definedName name="Area_de_impresión" localSheetId="4">#REF!</definedName>
    <definedName name="Area_de_impresión" localSheetId="5">#REF!</definedName>
    <definedName name="Area_de_impresión" localSheetId="0">#REF!</definedName>
    <definedName name="Area_de_impresión" localSheetId="2">#REF!</definedName>
    <definedName name="Area_de_impresión" localSheetId="6">#REF!</definedName>
    <definedName name="Area_de_impresión">#REF!</definedName>
    <definedName name="_xlnm.Print_Area" localSheetId="3">'Banco Colpatria Def'!$A$1:$I$63</definedName>
    <definedName name="_xlnm.Print_Area" localSheetId="1">'Banco de Bogotá 0553 '!$A$1:$L$105</definedName>
    <definedName name="_xlnm.Print_Area" localSheetId="7">'Banco de Bogotá Aho. 095000 '!$A$1:$I$45</definedName>
    <definedName name="_xlnm.Print_Area" localSheetId="4">'Banco de Bogota E-commerce'!$A$1:$I$52</definedName>
    <definedName name="_xlnm.Print_Area" localSheetId="5">'Banco Itaú Aho. 39292-44 '!$A$1:$I$45</definedName>
    <definedName name="_xlnm.Print_Area" localSheetId="0">'Bancolombia Cta 1331  '!$A$1:$L$598</definedName>
    <definedName name="_xlnm.Print_Area" localSheetId="2">'Bancolombia Cta 690 '!$A$1:$L$550</definedName>
    <definedName name="_xlnm.Print_Area" localSheetId="6">'Mercado Pago'!$A$1:$I$53</definedName>
    <definedName name="_xlnm.Print_Area">#REF!</definedName>
    <definedName name="AREAS" localSheetId="1">#REF!</definedName>
    <definedName name="AREAS" localSheetId="7">#REF!</definedName>
    <definedName name="AREAS" localSheetId="4">#REF!</definedName>
    <definedName name="AREAS" localSheetId="5">#REF!</definedName>
    <definedName name="AREAS" localSheetId="0">#REF!</definedName>
    <definedName name="AREAS" localSheetId="2">#REF!</definedName>
    <definedName name="AREAS" localSheetId="6">#REF!</definedName>
    <definedName name="AREAS">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1" hidden="1">#REF!</definedName>
    <definedName name="AS2TickmarkLS" localSheetId="7" hidden="1">#REF!</definedName>
    <definedName name="AS2TickmarkLS" localSheetId="4" hidden="1">#REF!</definedName>
    <definedName name="AS2TickmarkLS" localSheetId="5" hidden="1">#REF!</definedName>
    <definedName name="AS2TickmarkLS" localSheetId="0" hidden="1">#REF!</definedName>
    <definedName name="AS2TickmarkLS" localSheetId="2" hidden="1">#REF!</definedName>
    <definedName name="AS2TickmarkLS" localSheetId="6" hidden="1">#REF!</definedName>
    <definedName name="AS2TickmarkLS" hidden="1">#REF!</definedName>
    <definedName name="AS2VersionLS" hidden="1">300</definedName>
    <definedName name="_xlnm.Auto_Open" localSheetId="1">#REF!</definedName>
    <definedName name="_xlnm.Auto_Open" localSheetId="7">#REF!</definedName>
    <definedName name="_xlnm.Auto_Open" localSheetId="4">#REF!</definedName>
    <definedName name="_xlnm.Auto_Open" localSheetId="5">#REF!</definedName>
    <definedName name="_xlnm.Auto_Open" localSheetId="0">#REF!</definedName>
    <definedName name="_xlnm.Auto_Open" localSheetId="2">#REF!</definedName>
    <definedName name="_xlnm.Auto_Open" localSheetId="6">#REF!</definedName>
    <definedName name="_xlnm.Auto_Open">#REF!</definedName>
    <definedName name="B" localSheetId="1">#REF!</definedName>
    <definedName name="B" localSheetId="7">#REF!</definedName>
    <definedName name="B" localSheetId="4">#REF!</definedName>
    <definedName name="B" localSheetId="5">#REF!</definedName>
    <definedName name="B" localSheetId="0">#REF!</definedName>
    <definedName name="B" localSheetId="2">#REF!</definedName>
    <definedName name="B" localSheetId="6">#REF!</definedName>
    <definedName name="B">#REF!</definedName>
    <definedName name="balance" localSheetId="1">#REF!</definedName>
    <definedName name="balance" localSheetId="7">#REF!</definedName>
    <definedName name="balance" localSheetId="5">#REF!</definedName>
    <definedName name="balance" localSheetId="0">#REF!</definedName>
    <definedName name="balance" localSheetId="2">#REF!</definedName>
    <definedName name="balance" localSheetId="6">#REF!</definedName>
    <definedName name="balance">#REF!</definedName>
    <definedName name="baln97" localSheetId="1">#REF!</definedName>
    <definedName name="baln97" localSheetId="7">#REF!</definedName>
    <definedName name="baln97" localSheetId="6">#REF!</definedName>
    <definedName name="baln97">#REF!</definedName>
    <definedName name="BALO" localSheetId="1">'[19]Serie TRM'!#REF!</definedName>
    <definedName name="BALO" localSheetId="7">'[20]Serie TRM'!#REF!</definedName>
    <definedName name="BALO" localSheetId="4">'[21]Serie TRM'!#REF!</definedName>
    <definedName name="BALO" localSheetId="5">'[20]Serie TRM'!#REF!</definedName>
    <definedName name="BALO" localSheetId="0">'[19]Serie TRM'!#REF!</definedName>
    <definedName name="BALO" localSheetId="2">'[19]Serie TRM'!#REF!</definedName>
    <definedName name="BALO" localSheetId="6">'[20]Serie TRM'!#REF!</definedName>
    <definedName name="BALO">'[19]Serie TRM'!#REF!</definedName>
    <definedName name="BASE" localSheetId="1">#REF!</definedName>
    <definedName name="BASE" localSheetId="7">#REF!</definedName>
    <definedName name="BASE" localSheetId="4">#REF!</definedName>
    <definedName name="BASE" localSheetId="5">#REF!</definedName>
    <definedName name="BASE" localSheetId="0">#REF!</definedName>
    <definedName name="BASE" localSheetId="2">#REF!</definedName>
    <definedName name="BASE" localSheetId="6">#REF!</definedName>
    <definedName name="BASE">#REF!</definedName>
    <definedName name="_xlnm.Database" localSheetId="1">#REF!</definedName>
    <definedName name="_xlnm.Database" localSheetId="7">#REF!</definedName>
    <definedName name="_xlnm.Database" localSheetId="4">#REF!</definedName>
    <definedName name="_xlnm.Database" localSheetId="5">#REF!</definedName>
    <definedName name="_xlnm.Database" localSheetId="0">#REF!</definedName>
    <definedName name="_xlnm.Database" localSheetId="2">#REF!</definedName>
    <definedName name="_xlnm.Database" localSheetId="6">#REF!</definedName>
    <definedName name="_xlnm.Database">#REF!</definedName>
    <definedName name="BCUS" localSheetId="1">'[22]B.C.'!#REF!</definedName>
    <definedName name="BCUS" localSheetId="7">'[22]B.C.'!#REF!</definedName>
    <definedName name="BCUS" localSheetId="4">'[22]B.C.'!#REF!</definedName>
    <definedName name="BCUS" localSheetId="5">'[22]B.C.'!#REF!</definedName>
    <definedName name="BCUS" localSheetId="0">'[22]B.C.'!#REF!</definedName>
    <definedName name="BCUS" localSheetId="2">'[22]B.C.'!#REF!</definedName>
    <definedName name="BCUS" localSheetId="6">'[22]B.C.'!#REF!</definedName>
    <definedName name="BCUS">'[22]B.C.'!#REF!</definedName>
    <definedName name="BG_Del" hidden="1">15</definedName>
    <definedName name="BG_Ins" hidden="1">4</definedName>
    <definedName name="BG_Mod" hidden="1">6</definedName>
    <definedName name="BuscarActivos">#N/A</definedName>
    <definedName name="cadena" localSheetId="1">#REF!</definedName>
    <definedName name="cadena" localSheetId="7">#REF!</definedName>
    <definedName name="cadena" localSheetId="4">#REF!</definedName>
    <definedName name="cadena" localSheetId="5">#REF!</definedName>
    <definedName name="cadena" localSheetId="0">#REF!</definedName>
    <definedName name="cadena" localSheetId="2">#REF!</definedName>
    <definedName name="cadena" localSheetId="6">#REF!</definedName>
    <definedName name="cadena">#REF!</definedName>
    <definedName name="Caus1">[9]Resumen!$AI$8:$AI$35</definedName>
    <definedName name="Caus2">[9]Resumen!$AK$8:$AK$35</definedName>
    <definedName name="Caus3">[9]Resumen!$AM$8:$AM$35</definedName>
    <definedName name="Caus4">[9]Resumen!$AO$8:$AO$35</definedName>
    <definedName name="cc" localSheetId="1">#REF!</definedName>
    <definedName name="cc" localSheetId="7">#REF!</definedName>
    <definedName name="cc" localSheetId="4">#REF!</definedName>
    <definedName name="cc" localSheetId="5">#REF!</definedName>
    <definedName name="cc" localSheetId="0">#REF!</definedName>
    <definedName name="cc" localSheetId="2">#REF!</definedName>
    <definedName name="cc" localSheetId="6">#REF!</definedName>
    <definedName name="cc">#REF!</definedName>
    <definedName name="CLAUDIA">[23]DIC2003!$A$1:$O$57</definedName>
    <definedName name="Código">[24]Códigos!$F$3:$N$42</definedName>
    <definedName name="CODIGO2">'[24]Derechos imp.'!$A$1:$B$26</definedName>
    <definedName name="comercial" localSheetId="1">#REF!</definedName>
    <definedName name="comercial" localSheetId="7">#REF!</definedName>
    <definedName name="comercial" localSheetId="4">#REF!</definedName>
    <definedName name="comercial" localSheetId="5">#REF!</definedName>
    <definedName name="comercial" localSheetId="0">#REF!</definedName>
    <definedName name="comercial" localSheetId="2">#REF!</definedName>
    <definedName name="comercial" localSheetId="6">#REF!</definedName>
    <definedName name="comercial">#REF!</definedName>
    <definedName name="completo" localSheetId="1">#REF!</definedName>
    <definedName name="completo" localSheetId="7">#REF!</definedName>
    <definedName name="completo" localSheetId="4">#REF!</definedName>
    <definedName name="completo" localSheetId="5">#REF!</definedName>
    <definedName name="completo" localSheetId="0">#REF!</definedName>
    <definedName name="completo" localSheetId="2">#REF!</definedName>
    <definedName name="completo" localSheetId="6">#REF!</definedName>
    <definedName name="completo">#REF!</definedName>
    <definedName name="Conceptos" localSheetId="1">#REF!</definedName>
    <definedName name="Conceptos" localSheetId="7">#REF!</definedName>
    <definedName name="Conceptos" localSheetId="4">#REF!</definedName>
    <definedName name="Conceptos" localSheetId="5">#REF!</definedName>
    <definedName name="Conceptos" localSheetId="0">#REF!</definedName>
    <definedName name="Conceptos" localSheetId="2">#REF!</definedName>
    <definedName name="Conceptos" localSheetId="6">#REF!</definedName>
    <definedName name="Conceptos">#REF!</definedName>
    <definedName name="consumos">[25]consumos!$A$4:$E$830</definedName>
    <definedName name="contingencia" localSheetId="1">#REF!</definedName>
    <definedName name="contingencia" localSheetId="7">#REF!</definedName>
    <definedName name="contingencia" localSheetId="4">#REF!</definedName>
    <definedName name="contingencia" localSheetId="5">#REF!</definedName>
    <definedName name="contingencia" localSheetId="0">#REF!</definedName>
    <definedName name="contingencia" localSheetId="2">#REF!</definedName>
    <definedName name="contingencia" localSheetId="6">#REF!</definedName>
    <definedName name="contingencia">#REF!</definedName>
    <definedName name="CONTRATO" localSheetId="1">#REF!</definedName>
    <definedName name="CONTRATO" localSheetId="7">#REF!</definedName>
    <definedName name="CONTRATO" localSheetId="4">#REF!</definedName>
    <definedName name="CONTRATO" localSheetId="5">#REF!</definedName>
    <definedName name="CONTRATO" localSheetId="0">#REF!</definedName>
    <definedName name="CONTRATO" localSheetId="2">#REF!</definedName>
    <definedName name="CONTRATO" localSheetId="6">#REF!</definedName>
    <definedName name="CONTRATO">#REF!</definedName>
    <definedName name="COPIAS" localSheetId="1">[1]EFSV0695!#REF!</definedName>
    <definedName name="COPIAS" localSheetId="7">[1]EFSV0695!#REF!</definedName>
    <definedName name="COPIAS" localSheetId="4">[1]EFSV0695!#REF!</definedName>
    <definedName name="COPIAS" localSheetId="5">[1]EFSV0695!#REF!</definedName>
    <definedName name="COPIAS" localSheetId="0">[1]EFSV0695!#REF!</definedName>
    <definedName name="COPIAS" localSheetId="2">[1]EFSV0695!#REF!</definedName>
    <definedName name="COPIAS" localSheetId="6">[1]EFSV0695!#REF!</definedName>
    <definedName name="COPIAS">[1]EFSV0695!#REF!</definedName>
    <definedName name="Cortemes">[9]Resumen!$B$4</definedName>
    <definedName name="COSTARICA" localSheetId="1" hidden="1">#REF!</definedName>
    <definedName name="COSTARICA" localSheetId="7" hidden="1">#REF!</definedName>
    <definedName name="COSTARICA" localSheetId="4" hidden="1">#REF!</definedName>
    <definedName name="COSTARICA" localSheetId="5" hidden="1">#REF!</definedName>
    <definedName name="COSTARICA" localSheetId="0" hidden="1">#REF!</definedName>
    <definedName name="COSTARICA" localSheetId="2" hidden="1">#REF!</definedName>
    <definedName name="COSTARICA" localSheetId="6" hidden="1">#REF!</definedName>
    <definedName name="COSTARICA" hidden="1">#REF!</definedName>
    <definedName name="COUNTER" localSheetId="1">[1]EFSV0695!#REF!</definedName>
    <definedName name="COUNTER" localSheetId="7">[1]EFSV0695!#REF!</definedName>
    <definedName name="COUNTER" localSheetId="4">[1]EFSV0695!#REF!</definedName>
    <definedName name="COUNTER" localSheetId="5">[1]EFSV0695!#REF!</definedName>
    <definedName name="COUNTER" localSheetId="0">[1]EFSV0695!#REF!</definedName>
    <definedName name="COUNTER" localSheetId="2">[1]EFSV0695!#REF!</definedName>
    <definedName name="COUNTER" localSheetId="6">[1]EFSV0695!#REF!</definedName>
    <definedName name="COUNTER">[1]EFSV0695!#REF!</definedName>
    <definedName name="CPFinal" localSheetId="1">#REF!</definedName>
    <definedName name="CPFinal" localSheetId="7">#REF!</definedName>
    <definedName name="CPFinal" localSheetId="4">#REF!</definedName>
    <definedName name="CPFinal" localSheetId="5">#REF!</definedName>
    <definedName name="CPFinal" localSheetId="0">#REF!</definedName>
    <definedName name="CPFinal" localSheetId="2">#REF!</definedName>
    <definedName name="CPFinal" localSheetId="6">#REF!</definedName>
    <definedName name="CPFinal">#REF!</definedName>
    <definedName name="CPInicio" localSheetId="1">#REF!</definedName>
    <definedName name="CPInicio" localSheetId="7">#REF!</definedName>
    <definedName name="CPInicio" localSheetId="4">#REF!</definedName>
    <definedName name="CPInicio" localSheetId="5">#REF!</definedName>
    <definedName name="CPInicio" localSheetId="0">#REF!</definedName>
    <definedName name="CPInicio" localSheetId="2">#REF!</definedName>
    <definedName name="CPInicio" localSheetId="6">#REF!</definedName>
    <definedName name="CPInicio">#REF!</definedName>
    <definedName name="CUCUTA" localSheetId="1">#REF!</definedName>
    <definedName name="CUCUTA" localSheetId="7">#REF!</definedName>
    <definedName name="CUCUTA" localSheetId="4">#REF!</definedName>
    <definedName name="CUCUTA" localSheetId="5">#REF!</definedName>
    <definedName name="CUCUTA" localSheetId="0">#REF!</definedName>
    <definedName name="CUCUTA" localSheetId="2">#REF!</definedName>
    <definedName name="CUCUTA" localSheetId="6">#REF!</definedName>
    <definedName name="CUCUTA">#REF!</definedName>
    <definedName name="CUOTAS" localSheetId="1">#REF!</definedName>
    <definedName name="CUOTAS" localSheetId="7">#REF!</definedName>
    <definedName name="CUOTAS" localSheetId="6">#REF!</definedName>
    <definedName name="CUOTAS">#REF!</definedName>
    <definedName name="CURRENCIES" localSheetId="1">[26]Bitácora!$W$28:$W$33</definedName>
    <definedName name="CURRENCIES" localSheetId="7">[27]Bitácora!$W$28:$W$33</definedName>
    <definedName name="CURRENCIES" localSheetId="4">[27]Bitácora!$W$28:$W$33</definedName>
    <definedName name="CURRENCIES" localSheetId="5">[27]Bitácora!$W$28:$W$33</definedName>
    <definedName name="CURRENCIES" localSheetId="0">[26]Bitácora!$W$28:$W$33</definedName>
    <definedName name="CURRENCIES" localSheetId="2">[26]Bitácora!$W$28:$W$33</definedName>
    <definedName name="CURRENCIES" localSheetId="6">[26]Bitácora!$W$28:$W$33</definedName>
    <definedName name="CURRENCIES">[26]Bitácora!$W$28:$W$33</definedName>
    <definedName name="cvart" localSheetId="1">#REF!</definedName>
    <definedName name="cvart" localSheetId="7">#REF!</definedName>
    <definedName name="cvart" localSheetId="4">#REF!</definedName>
    <definedName name="cvart" localSheetId="5">#REF!</definedName>
    <definedName name="cvart" localSheetId="0">#REF!</definedName>
    <definedName name="cvart" localSheetId="2">#REF!</definedName>
    <definedName name="cvart" localSheetId="6">#REF!</definedName>
    <definedName name="cvart">#REF!</definedName>
    <definedName name="CXCA" localSheetId="1">#REF!</definedName>
    <definedName name="CXCA" localSheetId="7">#REF!</definedName>
    <definedName name="CXCA" localSheetId="4">#REF!</definedName>
    <definedName name="CXCA" localSheetId="5">#REF!</definedName>
    <definedName name="CXCA" localSheetId="0">#REF!</definedName>
    <definedName name="CXCA" localSheetId="2">#REF!</definedName>
    <definedName name="CXCA" localSheetId="6">#REF!</definedName>
    <definedName name="CXCA">#REF!</definedName>
    <definedName name="CXCC" localSheetId="1">#REF!</definedName>
    <definedName name="CXCC" localSheetId="7">#REF!</definedName>
    <definedName name="CXCC" localSheetId="4">#REF!</definedName>
    <definedName name="CXCC" localSheetId="5">#REF!</definedName>
    <definedName name="CXCC" localSheetId="0">#REF!</definedName>
    <definedName name="CXCC" localSheetId="2">#REF!</definedName>
    <definedName name="CXCC" localSheetId="6">#REF!</definedName>
    <definedName name="CXCC">#REF!</definedName>
    <definedName name="CXPE" localSheetId="1">#REF!</definedName>
    <definedName name="CXPE" localSheetId="7">#REF!</definedName>
    <definedName name="CXPE" localSheetId="6">#REF!</definedName>
    <definedName name="CXPE">#REF!</definedName>
    <definedName name="CXPEE1" localSheetId="1">#REF!</definedName>
    <definedName name="CXPEE1" localSheetId="7">#REF!</definedName>
    <definedName name="CXPEE1" localSheetId="6">#REF!</definedName>
    <definedName name="CXPEE1">#REF!</definedName>
    <definedName name="CXPN" localSheetId="1">#REF!</definedName>
    <definedName name="CXPN" localSheetId="7">#REF!</definedName>
    <definedName name="CXPN" localSheetId="6">#REF!</definedName>
    <definedName name="CXPN">#REF!</definedName>
    <definedName name="D" localSheetId="1">#REF!</definedName>
    <definedName name="D" localSheetId="7">#REF!</definedName>
    <definedName name="D" localSheetId="6">#REF!</definedName>
    <definedName name="D">#REF!</definedName>
    <definedName name="DASDASD" localSheetId="1">#REF!</definedName>
    <definedName name="DASDASD" localSheetId="7">#REF!</definedName>
    <definedName name="DASDASD" localSheetId="6">#REF!</definedName>
    <definedName name="DASDASD">#REF!</definedName>
    <definedName name="DASDASDSAD" localSheetId="1">#REF!</definedName>
    <definedName name="DASDASDSAD" localSheetId="7">#REF!</definedName>
    <definedName name="DASDASDSAD" localSheetId="6">#REF!</definedName>
    <definedName name="DASDASDSAD">#REF!</definedName>
    <definedName name="datos" localSheetId="1">#REF!</definedName>
    <definedName name="datos" localSheetId="7">#REF!</definedName>
    <definedName name="datos" localSheetId="6">#REF!</definedName>
    <definedName name="datos">#REF!</definedName>
    <definedName name="DATOSEMPLEADOS">[28]EPS!$A:$E</definedName>
    <definedName name="DESCR" localSheetId="1">#REF!</definedName>
    <definedName name="DESCR" localSheetId="7">#REF!</definedName>
    <definedName name="DESCR" localSheetId="4">#REF!</definedName>
    <definedName name="DESCR" localSheetId="5">#REF!</definedName>
    <definedName name="DESCR" localSheetId="0">#REF!</definedName>
    <definedName name="DESCR" localSheetId="2">#REF!</definedName>
    <definedName name="DESCR" localSheetId="6">#REF!</definedName>
    <definedName name="DESCR">#REF!</definedName>
    <definedName name="DESCTO" localSheetId="1">#REF!</definedName>
    <definedName name="DESCTO" localSheetId="7">#REF!</definedName>
    <definedName name="DESCTO" localSheetId="4">#REF!</definedName>
    <definedName name="DESCTO" localSheetId="5">#REF!</definedName>
    <definedName name="DESCTO" localSheetId="0">#REF!</definedName>
    <definedName name="DESCTO" localSheetId="2">#REF!</definedName>
    <definedName name="DESCTO" localSheetId="6">#REF!</definedName>
    <definedName name="DESCTO">#REF!</definedName>
    <definedName name="dev" localSheetId="1">#REF!</definedName>
    <definedName name="dev" localSheetId="7">#REF!</definedName>
    <definedName name="dev" localSheetId="4">#REF!</definedName>
    <definedName name="dev" localSheetId="5">#REF!</definedName>
    <definedName name="dev" localSheetId="0">#REF!</definedName>
    <definedName name="dev" localSheetId="2">#REF!</definedName>
    <definedName name="dev" localSheetId="6">#REF!</definedName>
    <definedName name="dev">#REF!</definedName>
    <definedName name="dev1ano" localSheetId="1">#REF!</definedName>
    <definedName name="dev1ano" localSheetId="7">#REF!</definedName>
    <definedName name="dev1ano" localSheetId="6">#REF!</definedName>
    <definedName name="dev1ano">#REF!</definedName>
    <definedName name="DEVACUM1" localSheetId="1">#REF!</definedName>
    <definedName name="DEVACUM1" localSheetId="7">#REF!</definedName>
    <definedName name="DEVACUM1" localSheetId="6">#REF!</definedName>
    <definedName name="DEVACUM1">#REF!</definedName>
    <definedName name="devaluacion" localSheetId="1">#REF!</definedName>
    <definedName name="devaluacion" localSheetId="7">#REF!</definedName>
    <definedName name="devaluacion" localSheetId="6">#REF!</definedName>
    <definedName name="devaluacion">#REF!</definedName>
    <definedName name="devano" localSheetId="1">#REF!</definedName>
    <definedName name="devano" localSheetId="7">#REF!</definedName>
    <definedName name="devano" localSheetId="6">#REF!</definedName>
    <definedName name="devano">#REF!</definedName>
    <definedName name="devano1" localSheetId="1" hidden="1">#REF!</definedName>
    <definedName name="devano1" localSheetId="7" hidden="1">#REF!</definedName>
    <definedName name="devano1" localSheetId="6" hidden="1">#REF!</definedName>
    <definedName name="devano1" hidden="1">#REF!</definedName>
    <definedName name="DevAñoComII" localSheetId="1">#REF!</definedName>
    <definedName name="DevAñoComII" localSheetId="7">#REF!</definedName>
    <definedName name="DevAñoComII" localSheetId="6">#REF!</definedName>
    <definedName name="DevAñoComII">#REF!</definedName>
    <definedName name="DFASFSDF" localSheetId="1">#REF!</definedName>
    <definedName name="DFASFSDF" localSheetId="7">#REF!</definedName>
    <definedName name="DFASFSDF" localSheetId="6">#REF!</definedName>
    <definedName name="DFASFSDF">#REF!</definedName>
    <definedName name="dfdfdf" localSheetId="1">'[2]Serie TRM'!#REF!</definedName>
    <definedName name="dfdfdf" localSheetId="7">'[2]Serie TRM'!#REF!</definedName>
    <definedName name="dfdfdf" localSheetId="4">'[2]Serie TRM'!#REF!</definedName>
    <definedName name="dfdfdf" localSheetId="5">'[2]Serie TRM'!#REF!</definedName>
    <definedName name="dfdfdf" localSheetId="0">'[2]Serie TRM'!#REF!</definedName>
    <definedName name="dfdfdf" localSheetId="2">'[2]Serie TRM'!#REF!</definedName>
    <definedName name="dfdfdf" localSheetId="6">'[2]Serie TRM'!#REF!</definedName>
    <definedName name="dfdfdf">'[2]Serie TRM'!#REF!</definedName>
    <definedName name="DFSDFSDF" localSheetId="1" hidden="1">#REF!</definedName>
    <definedName name="DFSDFSDF" localSheetId="7" hidden="1">#REF!</definedName>
    <definedName name="DFSDFSDF" localSheetId="4" hidden="1">#REF!</definedName>
    <definedName name="DFSDFSDF" localSheetId="5" hidden="1">#REF!</definedName>
    <definedName name="DFSDFSDF" localSheetId="0" hidden="1">#REF!</definedName>
    <definedName name="DFSDFSDF" localSheetId="2" hidden="1">#REF!</definedName>
    <definedName name="DFSDFSDF" localSheetId="6" hidden="1">#REF!</definedName>
    <definedName name="DFSDFSDF" hidden="1">#REF!</definedName>
    <definedName name="DifCambio98" localSheetId="1">[29]base!#REF!</definedName>
    <definedName name="DifCambio98" localSheetId="7">[29]base!#REF!</definedName>
    <definedName name="DifCambio98" localSheetId="4">[29]base!#REF!</definedName>
    <definedName name="DifCambio98" localSheetId="5">[29]base!#REF!</definedName>
    <definedName name="DifCambio98" localSheetId="0">[29]base!#REF!</definedName>
    <definedName name="DifCambio98" localSheetId="2">[29]base!#REF!</definedName>
    <definedName name="DifCambio98" localSheetId="6">[29]base!#REF!</definedName>
    <definedName name="DifCambio98">[29]base!#REF!</definedName>
    <definedName name="Diferidos" localSheetId="1">#REF!</definedName>
    <definedName name="Diferidos" localSheetId="7">#REF!</definedName>
    <definedName name="Diferidos" localSheetId="4">#REF!</definedName>
    <definedName name="Diferidos" localSheetId="5">#REF!</definedName>
    <definedName name="Diferidos" localSheetId="0">#REF!</definedName>
    <definedName name="Diferidos" localSheetId="2">#REF!</definedName>
    <definedName name="Diferidos" localSheetId="6">#REF!</definedName>
    <definedName name="Diferidos">#REF!</definedName>
    <definedName name="DO" localSheetId="1">[1]EFSV0695!#REF!</definedName>
    <definedName name="DO" localSheetId="7">[1]EFSV0695!#REF!</definedName>
    <definedName name="DO" localSheetId="4">[1]EFSV0695!#REF!</definedName>
    <definedName name="DO" localSheetId="5">[1]EFSV0695!#REF!</definedName>
    <definedName name="DO" localSheetId="0">[1]EFSV0695!#REF!</definedName>
    <definedName name="DO" localSheetId="2">[1]EFSV0695!#REF!</definedName>
    <definedName name="DO" localSheetId="6">[1]EFSV0695!#REF!</definedName>
    <definedName name="DO">[1]EFSV0695!#REF!</definedName>
    <definedName name="DOS" localSheetId="1">#REF!</definedName>
    <definedName name="DOS" localSheetId="7">#REF!</definedName>
    <definedName name="DOS" localSheetId="4">#REF!</definedName>
    <definedName name="DOS" localSheetId="5">#REF!</definedName>
    <definedName name="DOS" localSheetId="0">#REF!</definedName>
    <definedName name="DOS" localSheetId="2">#REF!</definedName>
    <definedName name="DOS" localSheetId="6">#REF!</definedName>
    <definedName name="DOS">#REF!</definedName>
    <definedName name="dsdsd" localSheetId="1">#REF!</definedName>
    <definedName name="dsdsd" localSheetId="7">#REF!</definedName>
    <definedName name="dsdsd" localSheetId="4">#REF!</definedName>
    <definedName name="dsdsd" localSheetId="5">#REF!</definedName>
    <definedName name="dsdsd" localSheetId="0">#REF!</definedName>
    <definedName name="dsdsd" localSheetId="2">#REF!</definedName>
    <definedName name="dsdsd" localSheetId="6">#REF!</definedName>
    <definedName name="dsdsd">#REF!</definedName>
    <definedName name="EgrFin98" localSheetId="1">[29]base!#REF!</definedName>
    <definedName name="EgrFin98" localSheetId="7">[29]base!#REF!</definedName>
    <definedName name="EgrFin98" localSheetId="4">[29]base!#REF!</definedName>
    <definedName name="EgrFin98" localSheetId="5">[29]base!#REF!</definedName>
    <definedName name="EgrFin98" localSheetId="0">[29]base!#REF!</definedName>
    <definedName name="EgrFin98" localSheetId="2">[29]base!#REF!</definedName>
    <definedName name="EgrFin98" localSheetId="6">[29]base!#REF!</definedName>
    <definedName name="EgrFin98">[29]base!#REF!</definedName>
    <definedName name="EPS">'[28]JUNIO '!$N$2:$N$1048576</definedName>
    <definedName name="EPSJULIO">[28]JULIO!$N$3:$N$1048576</definedName>
    <definedName name="Excel_BuiltIn__FilterDatabase_1" localSheetId="1">[11]PCCODISC05!#REF!</definedName>
    <definedName name="Excel_BuiltIn__FilterDatabase_1" localSheetId="7">[11]PCCODISC05!#REF!</definedName>
    <definedName name="Excel_BuiltIn__FilterDatabase_1" localSheetId="4">[11]PCCODISC05!#REF!</definedName>
    <definedName name="Excel_BuiltIn__FilterDatabase_1" localSheetId="5">[11]PCCODISC05!#REF!</definedName>
    <definedName name="Excel_BuiltIn__FilterDatabase_1" localSheetId="0">[11]PCCODISC05!#REF!</definedName>
    <definedName name="Excel_BuiltIn__FilterDatabase_1" localSheetId="2">[11]PCCODISC05!#REF!</definedName>
    <definedName name="Excel_BuiltIn__FilterDatabase_1" localSheetId="6">[11]PCCODISC05!#REF!</definedName>
    <definedName name="Excel_BuiltIn__FilterDatabase_1">[11]PCCODISC05!#REF!</definedName>
    <definedName name="Excel_BuiltIn__FilterDatabase_2" localSheetId="1">[11]PCCOOCTDISC!#REF!</definedName>
    <definedName name="Excel_BuiltIn__FilterDatabase_2" localSheetId="7">[11]PCCOOCTDISC!#REF!</definedName>
    <definedName name="Excel_BuiltIn__FilterDatabase_2" localSheetId="4">[11]PCCOOCTDISC!#REF!</definedName>
    <definedName name="Excel_BuiltIn__FilterDatabase_2" localSheetId="5">[11]PCCOOCTDISC!#REF!</definedName>
    <definedName name="Excel_BuiltIn__FilterDatabase_2" localSheetId="0">[11]PCCOOCTDISC!#REF!</definedName>
    <definedName name="Excel_BuiltIn__FilterDatabase_2" localSheetId="2">[11]PCCOOCTDISC!#REF!</definedName>
    <definedName name="Excel_BuiltIn__FilterDatabase_2" localSheetId="6">[11]PCCOOCTDISC!#REF!</definedName>
    <definedName name="Excel_BuiltIn__FilterDatabase_2">[11]PCCOOCTDISC!#REF!</definedName>
    <definedName name="Excel_BuiltIn_Database" localSheetId="1">#REF!</definedName>
    <definedName name="Excel_BuiltIn_Database" localSheetId="7">#REF!</definedName>
    <definedName name="Excel_BuiltIn_Database" localSheetId="4">#REF!</definedName>
    <definedName name="Excel_BuiltIn_Database" localSheetId="5">#REF!</definedName>
    <definedName name="Excel_BuiltIn_Database" localSheetId="0">#REF!</definedName>
    <definedName name="Excel_BuiltIn_Database" localSheetId="2">#REF!</definedName>
    <definedName name="Excel_BuiltIn_Database" localSheetId="6">#REF!</definedName>
    <definedName name="Excel_BuiltIn_Database">#REF!</definedName>
    <definedName name="Excel_BuiltIn_Database_28" localSheetId="1">#REF!</definedName>
    <definedName name="Excel_BuiltIn_Database_28" localSheetId="7">#REF!</definedName>
    <definedName name="Excel_BuiltIn_Database_28" localSheetId="4">#REF!</definedName>
    <definedName name="Excel_BuiltIn_Database_28" localSheetId="5">#REF!</definedName>
    <definedName name="Excel_BuiltIn_Database_28" localSheetId="0">#REF!</definedName>
    <definedName name="Excel_BuiltIn_Database_28" localSheetId="2">#REF!</definedName>
    <definedName name="Excel_BuiltIn_Database_28" localSheetId="6">#REF!</definedName>
    <definedName name="Excel_BuiltIn_Database_28">#REF!</definedName>
    <definedName name="Excel_BuiltIn_Database_4" localSheetId="1">#REF!</definedName>
    <definedName name="Excel_BuiltIn_Database_4" localSheetId="7">#REF!</definedName>
    <definedName name="Excel_BuiltIn_Database_4" localSheetId="4">#REF!</definedName>
    <definedName name="Excel_BuiltIn_Database_4" localSheetId="5">#REF!</definedName>
    <definedName name="Excel_BuiltIn_Database_4" localSheetId="0">#REF!</definedName>
    <definedName name="Excel_BuiltIn_Database_4" localSheetId="2">#REF!</definedName>
    <definedName name="Excel_BuiltIn_Database_4" localSheetId="6">#REF!</definedName>
    <definedName name="Excel_BuiltIn_Database_4">#REF!</definedName>
    <definedName name="Excel_BuiltIn_Database_5" localSheetId="1">#REF!</definedName>
    <definedName name="Excel_BuiltIn_Database_5" localSheetId="7">#REF!</definedName>
    <definedName name="Excel_BuiltIn_Database_5" localSheetId="6">#REF!</definedName>
    <definedName name="Excel_BuiltIn_Database_5">#REF!</definedName>
    <definedName name="Excel_BuiltIn_Print_Area">[13]BALANCEETB!$B$2:$H$60</definedName>
    <definedName name="Excel_BuiltIn_Print_Area_1" localSheetId="1">[11]PCCODISC05!#REF!</definedName>
    <definedName name="Excel_BuiltIn_Print_Area_1" localSheetId="7">[11]PCCODISC05!#REF!</definedName>
    <definedName name="Excel_BuiltIn_Print_Area_1" localSheetId="4">[11]PCCODISC05!#REF!</definedName>
    <definedName name="Excel_BuiltIn_Print_Area_1" localSheetId="5">[11]PCCODISC05!#REF!</definedName>
    <definedName name="Excel_BuiltIn_Print_Area_1" localSheetId="0">[11]PCCODISC05!#REF!</definedName>
    <definedName name="Excel_BuiltIn_Print_Area_1" localSheetId="2">[11]PCCODISC05!#REF!</definedName>
    <definedName name="Excel_BuiltIn_Print_Area_1" localSheetId="6">[11]PCCODISC05!#REF!</definedName>
    <definedName name="Excel_BuiltIn_Print_Area_1">[11]PCCODISC05!#REF!</definedName>
    <definedName name="Excel_BuiltIn_Print_Area_1_1" localSheetId="1">#REF!</definedName>
    <definedName name="Excel_BuiltIn_Print_Area_1_1" localSheetId="7">#REF!</definedName>
    <definedName name="Excel_BuiltIn_Print_Area_1_1" localSheetId="4">#REF!</definedName>
    <definedName name="Excel_BuiltIn_Print_Area_1_1" localSheetId="5">#REF!</definedName>
    <definedName name="Excel_BuiltIn_Print_Area_1_1" localSheetId="0">#REF!</definedName>
    <definedName name="Excel_BuiltIn_Print_Area_1_1" localSheetId="2">#REF!</definedName>
    <definedName name="Excel_BuiltIn_Print_Area_1_1" localSheetId="6">#REF!</definedName>
    <definedName name="Excel_BuiltIn_Print_Area_1_1">#REF!</definedName>
    <definedName name="Excel_BuiltIn_Print_Area_1_1_21" localSheetId="1">#REF!</definedName>
    <definedName name="Excel_BuiltIn_Print_Area_1_1_21" localSheetId="7">#REF!</definedName>
    <definedName name="Excel_BuiltIn_Print_Area_1_1_21" localSheetId="4">#REF!</definedName>
    <definedName name="Excel_BuiltIn_Print_Area_1_1_21" localSheetId="5">#REF!</definedName>
    <definedName name="Excel_BuiltIn_Print_Area_1_1_21" localSheetId="0">#REF!</definedName>
    <definedName name="Excel_BuiltIn_Print_Area_1_1_21" localSheetId="2">#REF!</definedName>
    <definedName name="Excel_BuiltIn_Print_Area_1_1_21" localSheetId="6">#REF!</definedName>
    <definedName name="Excel_BuiltIn_Print_Area_1_1_21">#REF!</definedName>
    <definedName name="Excel_BuiltIn_Print_Area_1_1_22" localSheetId="1">#REF!</definedName>
    <definedName name="Excel_BuiltIn_Print_Area_1_1_22" localSheetId="7">#REF!</definedName>
    <definedName name="Excel_BuiltIn_Print_Area_1_1_22" localSheetId="4">#REF!</definedName>
    <definedName name="Excel_BuiltIn_Print_Area_1_1_22" localSheetId="5">#REF!</definedName>
    <definedName name="Excel_BuiltIn_Print_Area_1_1_22" localSheetId="0">#REF!</definedName>
    <definedName name="Excel_BuiltIn_Print_Area_1_1_22" localSheetId="2">#REF!</definedName>
    <definedName name="Excel_BuiltIn_Print_Area_1_1_22" localSheetId="6">#REF!</definedName>
    <definedName name="Excel_BuiltIn_Print_Area_1_1_22">#REF!</definedName>
    <definedName name="Excel_BuiltIn_Print_Area_2" localSheetId="1">#REF!</definedName>
    <definedName name="Excel_BuiltIn_Print_Area_2" localSheetId="7">#REF!</definedName>
    <definedName name="Excel_BuiltIn_Print_Area_2" localSheetId="6">#REF!</definedName>
    <definedName name="Excel_BuiltIn_Print_Area_2">#REF!</definedName>
    <definedName name="Excel_BuiltIn_Print_Titles">[13]PYGETB!$1:$6</definedName>
    <definedName name="EXPORTACION" localSheetId="1">#REF!</definedName>
    <definedName name="EXPORTACION" localSheetId="7">#REF!</definedName>
    <definedName name="EXPORTACION" localSheetId="4">#REF!</definedName>
    <definedName name="EXPORTACION" localSheetId="5">#REF!</definedName>
    <definedName name="EXPORTACION" localSheetId="0">#REF!</definedName>
    <definedName name="EXPORTACION" localSheetId="2">#REF!</definedName>
    <definedName name="EXPORTACION" localSheetId="6">#REF!</definedName>
    <definedName name="EXPORTACION">#REF!</definedName>
    <definedName name="fbg" localSheetId="1">#REF!</definedName>
    <definedName name="fbg" localSheetId="7">#REF!</definedName>
    <definedName name="fbg" localSheetId="4">#REF!</definedName>
    <definedName name="fbg" localSheetId="5">#REF!</definedName>
    <definedName name="fbg" localSheetId="0">#REF!</definedName>
    <definedName name="fbg" localSheetId="2">#REF!</definedName>
    <definedName name="fbg" localSheetId="6">#REF!</definedName>
    <definedName name="fbg">#REF!</definedName>
    <definedName name="FCP" localSheetId="1">#REF!</definedName>
    <definedName name="FCP" localSheetId="7">#REF!</definedName>
    <definedName name="FCP" localSheetId="5">#REF!</definedName>
    <definedName name="FCP" localSheetId="0">#REF!</definedName>
    <definedName name="FCP" localSheetId="2">#REF!</definedName>
    <definedName name="FCP" localSheetId="6">#REF!</definedName>
    <definedName name="FCP">#REF!</definedName>
    <definedName name="FDDFFD" localSheetId="1" hidden="1">#REF!</definedName>
    <definedName name="FDDFFD" localSheetId="7" hidden="1">#REF!</definedName>
    <definedName name="FDDFFD" localSheetId="6" hidden="1">#REF!</definedName>
    <definedName name="FDDFFD" hidden="1">#REF!</definedName>
    <definedName name="FDFD" localSheetId="1" hidden="1">#REF!</definedName>
    <definedName name="FDFD" localSheetId="7" hidden="1">#REF!</definedName>
    <definedName name="FDFD" localSheetId="6" hidden="1">#REF!</definedName>
    <definedName name="FDFD" hidden="1">#REF!</definedName>
    <definedName name="FDSSSS" localSheetId="1" hidden="1">#REF!</definedName>
    <definedName name="FDSSSS" localSheetId="7" hidden="1">#REF!</definedName>
    <definedName name="FDSSSS" localSheetId="6" hidden="1">#REF!</definedName>
    <definedName name="FDSSSS" hidden="1">#REF!</definedName>
    <definedName name="Fecha1">[9]Resumen!$J$8:$J$35</definedName>
    <definedName name="Fecha2">[9]Resumen!$N$8:$N$35</definedName>
    <definedName name="Fecha3">[9]Resumen!$R$8:$R$35</definedName>
    <definedName name="Fecha4">[9]Resumen!$V$8:$V$35</definedName>
    <definedName name="fgfvvdv" localSheetId="1">#REF!</definedName>
    <definedName name="fgfvvdv" localSheetId="7">#REF!</definedName>
    <definedName name="fgfvvdv" localSheetId="4">#REF!</definedName>
    <definedName name="fgfvvdv" localSheetId="5">#REF!</definedName>
    <definedName name="fgfvvdv" localSheetId="0">#REF!</definedName>
    <definedName name="fgfvvdv" localSheetId="2">#REF!</definedName>
    <definedName name="fgfvvdv" localSheetId="6">#REF!</definedName>
    <definedName name="fgfvvdv">#REF!</definedName>
    <definedName name="Fi">[9]Resumen!$D$8:$D$35</definedName>
    <definedName name="fila" localSheetId="1">#REF!</definedName>
    <definedName name="fila" localSheetId="7">#REF!</definedName>
    <definedName name="fila" localSheetId="4">#REF!</definedName>
    <definedName name="fila" localSheetId="5">#REF!</definedName>
    <definedName name="fila" localSheetId="0">#REF!</definedName>
    <definedName name="fila" localSheetId="2">#REF!</definedName>
    <definedName name="fila" localSheetId="6">#REF!</definedName>
    <definedName name="fila">#REF!</definedName>
    <definedName name="FILLL" localSheetId="1" hidden="1">#REF!</definedName>
    <definedName name="FILLL" localSheetId="7" hidden="1">#REF!</definedName>
    <definedName name="FILLL" localSheetId="4" hidden="1">#REF!</definedName>
    <definedName name="FILLL" localSheetId="5" hidden="1">#REF!</definedName>
    <definedName name="FILLL" localSheetId="0" hidden="1">#REF!</definedName>
    <definedName name="FILLL" localSheetId="2" hidden="1">#REF!</definedName>
    <definedName name="FILLL" localSheetId="6" hidden="1">#REF!</definedName>
    <definedName name="FILLL" hidden="1">#REF!</definedName>
    <definedName name="FIN" localSheetId="1">'[30]TOTAL '!#REF!</definedName>
    <definedName name="FIN" localSheetId="7">'[30]TOTAL '!#REF!</definedName>
    <definedName name="FIN" localSheetId="4">'[30]TOTAL '!#REF!</definedName>
    <definedName name="FIN" localSheetId="5">'[30]TOTAL '!#REF!</definedName>
    <definedName name="FIN" localSheetId="0">'[30]TOTAL '!#REF!</definedName>
    <definedName name="FIN" localSheetId="2">'[30]TOTAL '!#REF!</definedName>
    <definedName name="FIN" localSheetId="6">'[30]TOTAL '!#REF!</definedName>
    <definedName name="FIN">'[30]TOTAL '!#REF!</definedName>
    <definedName name="FINAL" localSheetId="1">#REF!</definedName>
    <definedName name="FINAL" localSheetId="7">#REF!</definedName>
    <definedName name="FINAL" localSheetId="4">#REF!</definedName>
    <definedName name="FINAL" localSheetId="5">#REF!</definedName>
    <definedName name="FINAL" localSheetId="0">#REF!</definedName>
    <definedName name="FINAL" localSheetId="2">#REF!</definedName>
    <definedName name="FINAL" localSheetId="6">#REF!</definedName>
    <definedName name="FINAL">#REF!</definedName>
    <definedName name="Formula">[31]Formula!$B$1:$F$65536</definedName>
    <definedName name="ggff" localSheetId="1">#REF!</definedName>
    <definedName name="ggff" localSheetId="7">#REF!</definedName>
    <definedName name="ggff" localSheetId="4">#REF!</definedName>
    <definedName name="ggff" localSheetId="5">#REF!</definedName>
    <definedName name="ggff" localSheetId="0">#REF!</definedName>
    <definedName name="ggff" localSheetId="2">#REF!</definedName>
    <definedName name="ggff" localSheetId="6">#REF!</definedName>
    <definedName name="ggff">#REF!</definedName>
    <definedName name="ggii" localSheetId="1">#REF!</definedName>
    <definedName name="ggii" localSheetId="7">#REF!</definedName>
    <definedName name="ggii" localSheetId="4">#REF!</definedName>
    <definedName name="ggii" localSheetId="5">#REF!</definedName>
    <definedName name="ggii" localSheetId="0">#REF!</definedName>
    <definedName name="ggii" localSheetId="2">#REF!</definedName>
    <definedName name="ggii" localSheetId="6">#REF!</definedName>
    <definedName name="ggii">#REF!</definedName>
    <definedName name="GTG" localSheetId="1">#REF!</definedName>
    <definedName name="GTG" localSheetId="7">#REF!</definedName>
    <definedName name="GTG" localSheetId="4">#REF!</definedName>
    <definedName name="GTG" localSheetId="5">#REF!</definedName>
    <definedName name="GTG" localSheetId="0">#REF!</definedName>
    <definedName name="GTG" localSheetId="2">#REF!</definedName>
    <definedName name="GTG" localSheetId="6">#REF!</definedName>
    <definedName name="GTG">#REF!</definedName>
    <definedName name="hueco" localSheetId="1">#REF!</definedName>
    <definedName name="hueco" localSheetId="7">#REF!</definedName>
    <definedName name="hueco" localSheetId="6">#REF!</definedName>
    <definedName name="hueco">#REF!</definedName>
    <definedName name="Imprimir_área_IM" localSheetId="1">#REF!</definedName>
    <definedName name="Imprimir_área_IM" localSheetId="7">#REF!</definedName>
    <definedName name="Imprimir_área_IM" localSheetId="6">#REF!</definedName>
    <definedName name="Imprimir_área_IM">#REF!</definedName>
    <definedName name="INFC98" localSheetId="1">[29]base!#REF!</definedName>
    <definedName name="INFC98" localSheetId="7">[29]base!#REF!</definedName>
    <definedName name="INFC98" localSheetId="4">[29]base!#REF!</definedName>
    <definedName name="INFC98" localSheetId="5">[29]base!#REF!</definedName>
    <definedName name="INFC98" localSheetId="0">[29]base!#REF!</definedName>
    <definedName name="INFC98" localSheetId="2">[29]base!#REF!</definedName>
    <definedName name="INFC98" localSheetId="6">[29]base!#REF!</definedName>
    <definedName name="INFC98">[29]base!#REF!</definedName>
    <definedName name="INFC99" localSheetId="1">[29]base!#REF!</definedName>
    <definedName name="INFC99" localSheetId="7">[29]base!#REF!</definedName>
    <definedName name="INFC99" localSheetId="4">[29]base!#REF!</definedName>
    <definedName name="INFC99" localSheetId="5">[29]base!#REF!</definedName>
    <definedName name="INFC99" localSheetId="0">[29]base!#REF!</definedName>
    <definedName name="INFC99" localSheetId="2">[29]base!#REF!</definedName>
    <definedName name="INFC99" localSheetId="6">[29]base!#REF!</definedName>
    <definedName name="INFC99">[29]base!#REF!</definedName>
    <definedName name="IngFin98" localSheetId="1">[29]base!#REF!</definedName>
    <definedName name="IngFin98" localSheetId="7">[29]base!#REF!</definedName>
    <definedName name="IngFin98" localSheetId="4">[29]base!#REF!</definedName>
    <definedName name="IngFin98" localSheetId="5">[29]base!#REF!</definedName>
    <definedName name="IngFin98" localSheetId="0">[29]base!#REF!</definedName>
    <definedName name="IngFin98" localSheetId="2">[29]base!#REF!</definedName>
    <definedName name="IngFin98" localSheetId="6">[29]base!#REF!</definedName>
    <definedName name="IngFin98">[29]base!#REF!</definedName>
    <definedName name="Iniciomes">[9]Resumen!$B$3</definedName>
    <definedName name="inves" localSheetId="1">#REF!</definedName>
    <definedName name="inves" localSheetId="7">#REF!</definedName>
    <definedName name="inves" localSheetId="4">#REF!</definedName>
    <definedName name="inves" localSheetId="5">#REF!</definedName>
    <definedName name="inves" localSheetId="0">#REF!</definedName>
    <definedName name="inves" localSheetId="2">#REF!</definedName>
    <definedName name="inves" localSheetId="6">#REF!</definedName>
    <definedName name="inves">#REF!</definedName>
    <definedName name="investigacion" localSheetId="1">#REF!</definedName>
    <definedName name="investigacion" localSheetId="7">#REF!</definedName>
    <definedName name="investigacion" localSheetId="4">#REF!</definedName>
    <definedName name="investigacion" localSheetId="5">#REF!</definedName>
    <definedName name="investigacion" localSheetId="0">#REF!</definedName>
    <definedName name="investigacion" localSheetId="2">#REF!</definedName>
    <definedName name="investigacion" localSheetId="6">#REF!</definedName>
    <definedName name="investigacion">#REF!</definedName>
    <definedName name="IPC" localSheetId="1">#REF!</definedName>
    <definedName name="IPC" localSheetId="7">#REF!</definedName>
    <definedName name="IPC" localSheetId="4">#REF!</definedName>
    <definedName name="IPC" localSheetId="5">#REF!</definedName>
    <definedName name="IPC" localSheetId="0">#REF!</definedName>
    <definedName name="IPC" localSheetId="2">#REF!</definedName>
    <definedName name="IPC" localSheetId="6">#REF!</definedName>
    <definedName name="IPC">#REF!</definedName>
    <definedName name="Item">[24]Datos!$N$1:$AE$65536</definedName>
    <definedName name="junio" localSheetId="1">#REF!</definedName>
    <definedName name="junio" localSheetId="7">#REF!</definedName>
    <definedName name="junio" localSheetId="4">#REF!</definedName>
    <definedName name="junio" localSheetId="5">#REF!</definedName>
    <definedName name="junio" localSheetId="0">#REF!</definedName>
    <definedName name="junio" localSheetId="2">#REF!</definedName>
    <definedName name="junio" localSheetId="6">#REF!</definedName>
    <definedName name="junio">#REF!</definedName>
    <definedName name="JUNIO00" localSheetId="1">#REF!</definedName>
    <definedName name="JUNIO00" localSheetId="7">#REF!</definedName>
    <definedName name="JUNIO00" localSheetId="4">#REF!</definedName>
    <definedName name="JUNIO00" localSheetId="5">#REF!</definedName>
    <definedName name="JUNIO00" localSheetId="0">#REF!</definedName>
    <definedName name="JUNIO00" localSheetId="2">#REF!</definedName>
    <definedName name="JUNIO00" localSheetId="6">#REF!</definedName>
    <definedName name="JUNIO00">#REF!</definedName>
    <definedName name="junio15" localSheetId="1">#REF!</definedName>
    <definedName name="junio15" localSheetId="7">#REF!</definedName>
    <definedName name="junio15" localSheetId="4">#REF!</definedName>
    <definedName name="junio15" localSheetId="5">#REF!</definedName>
    <definedName name="junio15" localSheetId="0">#REF!</definedName>
    <definedName name="junio15" localSheetId="2">#REF!</definedName>
    <definedName name="junio15" localSheetId="6">#REF!</definedName>
    <definedName name="junio15">#REF!</definedName>
    <definedName name="K" localSheetId="1">#REF!</definedName>
    <definedName name="K" localSheetId="7">#REF!</definedName>
    <definedName name="K" localSheetId="6">#REF!</definedName>
    <definedName name="K">#REF!</definedName>
    <definedName name="kk" localSheetId="1">'[2]Serie TRM'!#REF!</definedName>
    <definedName name="kk" localSheetId="7">'[2]Serie TRM'!#REF!</definedName>
    <definedName name="kk" localSheetId="4">'[2]Serie TRM'!#REF!</definedName>
    <definedName name="kk" localSheetId="5">'[2]Serie TRM'!#REF!</definedName>
    <definedName name="kk" localSheetId="0">'[2]Serie TRM'!#REF!</definedName>
    <definedName name="kk" localSheetId="2">'[2]Serie TRM'!#REF!</definedName>
    <definedName name="kk" localSheetId="6">'[2]Serie TRM'!#REF!</definedName>
    <definedName name="kk">'[2]Serie TRM'!#REF!</definedName>
    <definedName name="LDFLFDLKDFDF" localSheetId="1">#REF!</definedName>
    <definedName name="LDFLFDLKDFDF" localSheetId="7">#REF!</definedName>
    <definedName name="LDFLFDLKDFDF" localSheetId="4">#REF!</definedName>
    <definedName name="LDFLFDLKDFDF" localSheetId="5">#REF!</definedName>
    <definedName name="LDFLFDLKDFDF" localSheetId="0">#REF!</definedName>
    <definedName name="LDFLFDLKDFDF" localSheetId="2">#REF!</definedName>
    <definedName name="LDFLFDLKDFDF" localSheetId="6">#REF!</definedName>
    <definedName name="LDFLFDLKDFDF">#REF!</definedName>
    <definedName name="lina" localSheetId="1">#REF!</definedName>
    <definedName name="lina" localSheetId="7">#REF!</definedName>
    <definedName name="lina" localSheetId="4">#REF!</definedName>
    <definedName name="lina" localSheetId="5">#REF!</definedName>
    <definedName name="lina" localSheetId="0">#REF!</definedName>
    <definedName name="lina" localSheetId="2">#REF!</definedName>
    <definedName name="lina" localSheetId="6">#REF!</definedName>
    <definedName name="lina">#REF!</definedName>
    <definedName name="liquidación">[24]Datos!$B$1:$V$65536</definedName>
    <definedName name="Macro" localSheetId="1">#REF!</definedName>
    <definedName name="Macro" localSheetId="7">#REF!</definedName>
    <definedName name="Macro" localSheetId="4">#REF!</definedName>
    <definedName name="Macro" localSheetId="5">#REF!</definedName>
    <definedName name="Macro" localSheetId="0">#REF!</definedName>
    <definedName name="Macro" localSheetId="2">#REF!</definedName>
    <definedName name="Macro" localSheetId="6">#REF!</definedName>
    <definedName name="Macro">#REF!</definedName>
    <definedName name="Macro1" localSheetId="1">#REF!</definedName>
    <definedName name="Macro1" localSheetId="7">#REF!</definedName>
    <definedName name="Macro1" localSheetId="4">#REF!</definedName>
    <definedName name="Macro1" localSheetId="5">#REF!</definedName>
    <definedName name="Macro1" localSheetId="0">#REF!</definedName>
    <definedName name="Macro1" localSheetId="2">#REF!</definedName>
    <definedName name="Macro1" localSheetId="6">#REF!</definedName>
    <definedName name="Macro1">#REF!</definedName>
    <definedName name="Macro10" localSheetId="1">#REF!</definedName>
    <definedName name="Macro10" localSheetId="7">#REF!</definedName>
    <definedName name="Macro10" localSheetId="4">#REF!</definedName>
    <definedName name="Macro10" localSheetId="5">#REF!</definedName>
    <definedName name="Macro10" localSheetId="0">#REF!</definedName>
    <definedName name="Macro10" localSheetId="2">#REF!</definedName>
    <definedName name="Macro10" localSheetId="6">#REF!</definedName>
    <definedName name="Macro10">#REF!</definedName>
    <definedName name="Macro11" localSheetId="1">#REF!</definedName>
    <definedName name="Macro11" localSheetId="7">#REF!</definedName>
    <definedName name="Macro11" localSheetId="4">#REF!</definedName>
    <definedName name="Macro11" localSheetId="0">#REF!</definedName>
    <definedName name="Macro11" localSheetId="2">#REF!</definedName>
    <definedName name="Macro11" localSheetId="6">#REF!</definedName>
    <definedName name="Macro11">#REF!</definedName>
    <definedName name="Macro12" localSheetId="1">#REF!</definedName>
    <definedName name="Macro12" localSheetId="7">#REF!</definedName>
    <definedName name="Macro12" localSheetId="4">#REF!</definedName>
    <definedName name="Macro12" localSheetId="0">#REF!</definedName>
    <definedName name="Macro12" localSheetId="2">#REF!</definedName>
    <definedName name="Macro12" localSheetId="6">#REF!</definedName>
    <definedName name="Macro12">#REF!</definedName>
    <definedName name="Macro13" localSheetId="1">#REF!</definedName>
    <definedName name="Macro13" localSheetId="7">#REF!</definedName>
    <definedName name="Macro13" localSheetId="4">#REF!</definedName>
    <definedName name="Macro13" localSheetId="0">#REF!</definedName>
    <definedName name="Macro13" localSheetId="2">#REF!</definedName>
    <definedName name="Macro13" localSheetId="6">#REF!</definedName>
    <definedName name="Macro13">#REF!</definedName>
    <definedName name="Macro14" localSheetId="1">#REF!</definedName>
    <definedName name="Macro14" localSheetId="7">#REF!</definedName>
    <definedName name="Macro14" localSheetId="4">#REF!</definedName>
    <definedName name="Macro14" localSheetId="0">#REF!</definedName>
    <definedName name="Macro14" localSheetId="2">#REF!</definedName>
    <definedName name="Macro14" localSheetId="6">#REF!</definedName>
    <definedName name="Macro14">#REF!</definedName>
    <definedName name="Macro15" localSheetId="1">#REF!</definedName>
    <definedName name="Macro15" localSheetId="7">#REF!</definedName>
    <definedName name="Macro15" localSheetId="4">#REF!</definedName>
    <definedName name="Macro15" localSheetId="0">#REF!</definedName>
    <definedName name="Macro15" localSheetId="2">#REF!</definedName>
    <definedName name="Macro15" localSheetId="6">#REF!</definedName>
    <definedName name="Macro15">#REF!</definedName>
    <definedName name="Macro16" localSheetId="1">#REF!</definedName>
    <definedName name="Macro16" localSheetId="7">#REF!</definedName>
    <definedName name="Macro16" localSheetId="4">#REF!</definedName>
    <definedName name="Macro16" localSheetId="0">#REF!</definedName>
    <definedName name="Macro16" localSheetId="2">#REF!</definedName>
    <definedName name="Macro16" localSheetId="6">#REF!</definedName>
    <definedName name="Macro16">#REF!</definedName>
    <definedName name="Macro17" localSheetId="1">#REF!</definedName>
    <definedName name="Macro17" localSheetId="7">#REF!</definedName>
    <definedName name="Macro17" localSheetId="4">#REF!</definedName>
    <definedName name="Macro17" localSheetId="0">#REF!</definedName>
    <definedName name="Macro17" localSheetId="2">#REF!</definedName>
    <definedName name="Macro17" localSheetId="6">#REF!</definedName>
    <definedName name="Macro17">#REF!</definedName>
    <definedName name="Macro18" localSheetId="1">#REF!</definedName>
    <definedName name="Macro18" localSheetId="7">#REF!</definedName>
    <definedName name="Macro18" localSheetId="4">#REF!</definedName>
    <definedName name="Macro18" localSheetId="0">#REF!</definedName>
    <definedName name="Macro18" localSheetId="2">#REF!</definedName>
    <definedName name="Macro18" localSheetId="6">#REF!</definedName>
    <definedName name="Macro18">#REF!</definedName>
    <definedName name="Macro19" localSheetId="1">#REF!</definedName>
    <definedName name="Macro19" localSheetId="7">#REF!</definedName>
    <definedName name="Macro19" localSheetId="4">#REF!</definedName>
    <definedName name="Macro19" localSheetId="0">#REF!</definedName>
    <definedName name="Macro19" localSheetId="2">#REF!</definedName>
    <definedName name="Macro19" localSheetId="6">#REF!</definedName>
    <definedName name="Macro19">#REF!</definedName>
    <definedName name="Macro2" localSheetId="1">#REF!</definedName>
    <definedName name="Macro2" localSheetId="7">#REF!</definedName>
    <definedName name="Macro2" localSheetId="4">#REF!</definedName>
    <definedName name="Macro2" localSheetId="0">#REF!</definedName>
    <definedName name="Macro2" localSheetId="2">#REF!</definedName>
    <definedName name="Macro2" localSheetId="6">#REF!</definedName>
    <definedName name="Macro2">#REF!</definedName>
    <definedName name="Macro20" localSheetId="1">#REF!</definedName>
    <definedName name="Macro20" localSheetId="7">#REF!</definedName>
    <definedName name="Macro20" localSheetId="4">#REF!</definedName>
    <definedName name="Macro20" localSheetId="0">#REF!</definedName>
    <definedName name="Macro20" localSheetId="2">#REF!</definedName>
    <definedName name="Macro20" localSheetId="6">#REF!</definedName>
    <definedName name="Macro20">#REF!</definedName>
    <definedName name="Macro21" localSheetId="1">#REF!</definedName>
    <definedName name="Macro21" localSheetId="7">#REF!</definedName>
    <definedName name="Macro21" localSheetId="4">#REF!</definedName>
    <definedName name="Macro21" localSheetId="0">#REF!</definedName>
    <definedName name="Macro21" localSheetId="2">#REF!</definedName>
    <definedName name="Macro21" localSheetId="6">#REF!</definedName>
    <definedName name="Macro21">#REF!</definedName>
    <definedName name="Macro22" localSheetId="1">#REF!</definedName>
    <definedName name="Macro22" localSheetId="7">#REF!</definedName>
    <definedName name="Macro22" localSheetId="4">#REF!</definedName>
    <definedName name="Macro22" localSheetId="0">#REF!</definedName>
    <definedName name="Macro22" localSheetId="2">#REF!</definedName>
    <definedName name="Macro22" localSheetId="6">#REF!</definedName>
    <definedName name="Macro22">#REF!</definedName>
    <definedName name="Macro23" localSheetId="1">#REF!</definedName>
    <definedName name="Macro23" localSheetId="7">#REF!</definedName>
    <definedName name="Macro23" localSheetId="4">#REF!</definedName>
    <definedName name="Macro23" localSheetId="0">#REF!</definedName>
    <definedName name="Macro23" localSheetId="2">#REF!</definedName>
    <definedName name="Macro23" localSheetId="6">#REF!</definedName>
    <definedName name="Macro23">#REF!</definedName>
    <definedName name="Macro24" localSheetId="1">#REF!</definedName>
    <definedName name="Macro24" localSheetId="7">#REF!</definedName>
    <definedName name="Macro24" localSheetId="4">#REF!</definedName>
    <definedName name="Macro24" localSheetId="0">#REF!</definedName>
    <definedName name="Macro24" localSheetId="2">#REF!</definedName>
    <definedName name="Macro24" localSheetId="6">#REF!</definedName>
    <definedName name="Macro24">#REF!</definedName>
    <definedName name="Macro25" localSheetId="1">#REF!</definedName>
    <definedName name="Macro25" localSheetId="7">#REF!</definedName>
    <definedName name="Macro25" localSheetId="4">#REF!</definedName>
    <definedName name="Macro25" localSheetId="0">#REF!</definedName>
    <definedName name="Macro25" localSheetId="2">#REF!</definedName>
    <definedName name="Macro25" localSheetId="6">#REF!</definedName>
    <definedName name="Macro25">#REF!</definedName>
    <definedName name="Macro256" localSheetId="1">#REF!</definedName>
    <definedName name="Macro256" localSheetId="7">#REF!</definedName>
    <definedName name="Macro256" localSheetId="4">#REF!</definedName>
    <definedName name="Macro256" localSheetId="0">#REF!</definedName>
    <definedName name="Macro256" localSheetId="2">#REF!</definedName>
    <definedName name="Macro256" localSheetId="6">#REF!</definedName>
    <definedName name="Macro256">#REF!</definedName>
    <definedName name="Macro26" localSheetId="1">#REF!</definedName>
    <definedName name="Macro26" localSheetId="7">#REF!</definedName>
    <definedName name="Macro26" localSheetId="4">#REF!</definedName>
    <definedName name="Macro26" localSheetId="0">#REF!</definedName>
    <definedName name="Macro26" localSheetId="2">#REF!</definedName>
    <definedName name="Macro26" localSheetId="6">#REF!</definedName>
    <definedName name="Macro26">#REF!</definedName>
    <definedName name="Macro27" localSheetId="1">#REF!</definedName>
    <definedName name="Macro27" localSheetId="7">#REF!</definedName>
    <definedName name="Macro27" localSheetId="4">#REF!</definedName>
    <definedName name="Macro27" localSheetId="0">#REF!</definedName>
    <definedName name="Macro27" localSheetId="2">#REF!</definedName>
    <definedName name="Macro27" localSheetId="6">#REF!</definedName>
    <definedName name="Macro27">#REF!</definedName>
    <definedName name="Macro28" localSheetId="1">#REF!</definedName>
    <definedName name="Macro28" localSheetId="7">#REF!</definedName>
    <definedName name="Macro28" localSheetId="4">#REF!</definedName>
    <definedName name="Macro28" localSheetId="0">#REF!</definedName>
    <definedName name="Macro28" localSheetId="2">#REF!</definedName>
    <definedName name="Macro28" localSheetId="6">#REF!</definedName>
    <definedName name="Macro28">#REF!</definedName>
    <definedName name="Macro29" localSheetId="1">#REF!</definedName>
    <definedName name="Macro29" localSheetId="7">#REF!</definedName>
    <definedName name="Macro29" localSheetId="4">#REF!</definedName>
    <definedName name="Macro29" localSheetId="0">#REF!</definedName>
    <definedName name="Macro29" localSheetId="2">#REF!</definedName>
    <definedName name="Macro29" localSheetId="6">#REF!</definedName>
    <definedName name="Macro29">#REF!</definedName>
    <definedName name="Macro3" localSheetId="1">#REF!</definedName>
    <definedName name="Macro3" localSheetId="7">#REF!</definedName>
    <definedName name="Macro3" localSheetId="4">#REF!</definedName>
    <definedName name="Macro3" localSheetId="0">#REF!</definedName>
    <definedName name="Macro3" localSheetId="2">#REF!</definedName>
    <definedName name="Macro3" localSheetId="6">#REF!</definedName>
    <definedName name="Macro3">#REF!</definedName>
    <definedName name="Macro30" localSheetId="1">#REF!</definedName>
    <definedName name="Macro30" localSheetId="7">#REF!</definedName>
    <definedName name="Macro30" localSheetId="4">#REF!</definedName>
    <definedName name="Macro30" localSheetId="0">#REF!</definedName>
    <definedName name="Macro30" localSheetId="2">#REF!</definedName>
    <definedName name="Macro30" localSheetId="6">#REF!</definedName>
    <definedName name="Macro30">#REF!</definedName>
    <definedName name="Macro31" localSheetId="1">#REF!</definedName>
    <definedName name="Macro31" localSheetId="7">#REF!</definedName>
    <definedName name="Macro31" localSheetId="4">#REF!</definedName>
    <definedName name="Macro31" localSheetId="0">#REF!</definedName>
    <definedName name="Macro31" localSheetId="2">#REF!</definedName>
    <definedName name="Macro31" localSheetId="6">#REF!</definedName>
    <definedName name="Macro31">#REF!</definedName>
    <definedName name="Macro32" localSheetId="1">#REF!</definedName>
    <definedName name="Macro32" localSheetId="7">#REF!</definedName>
    <definedName name="Macro32" localSheetId="4">#REF!</definedName>
    <definedName name="Macro32" localSheetId="0">#REF!</definedName>
    <definedName name="Macro32" localSheetId="2">#REF!</definedName>
    <definedName name="Macro32" localSheetId="6">#REF!</definedName>
    <definedName name="Macro32">#REF!</definedName>
    <definedName name="Macro33" localSheetId="1">#REF!</definedName>
    <definedName name="Macro33" localSheetId="7">#REF!</definedName>
    <definedName name="Macro33" localSheetId="4">#REF!</definedName>
    <definedName name="Macro33" localSheetId="0">#REF!</definedName>
    <definedName name="Macro33" localSheetId="2">#REF!</definedName>
    <definedName name="Macro33" localSheetId="6">#REF!</definedName>
    <definedName name="Macro33">#REF!</definedName>
    <definedName name="Macro34" localSheetId="1">#REF!</definedName>
    <definedName name="Macro34" localSheetId="7">#REF!</definedName>
    <definedName name="Macro34" localSheetId="4">#REF!</definedName>
    <definedName name="Macro34" localSheetId="0">#REF!</definedName>
    <definedName name="Macro34" localSheetId="2">#REF!</definedName>
    <definedName name="Macro34" localSheetId="6">#REF!</definedName>
    <definedName name="Macro34">#REF!</definedName>
    <definedName name="Macro35" localSheetId="1">#REF!</definedName>
    <definedName name="Macro35" localSheetId="7">#REF!</definedName>
    <definedName name="Macro35" localSheetId="4">#REF!</definedName>
    <definedName name="Macro35" localSheetId="0">#REF!</definedName>
    <definedName name="Macro35" localSheetId="2">#REF!</definedName>
    <definedName name="Macro35" localSheetId="6">#REF!</definedName>
    <definedName name="Macro35">#REF!</definedName>
    <definedName name="Macro4" localSheetId="1">#REF!</definedName>
    <definedName name="Macro4" localSheetId="7">#REF!</definedName>
    <definedName name="Macro4" localSheetId="4">#REF!</definedName>
    <definedName name="Macro4" localSheetId="0">#REF!</definedName>
    <definedName name="Macro4" localSheetId="2">#REF!</definedName>
    <definedName name="Macro4" localSheetId="6">#REF!</definedName>
    <definedName name="Macro4">#REF!</definedName>
    <definedName name="Macro5" localSheetId="1">#REF!</definedName>
    <definedName name="Macro5" localSheetId="7">#REF!</definedName>
    <definedName name="Macro5" localSheetId="4">#REF!</definedName>
    <definedName name="Macro5" localSheetId="0">#REF!</definedName>
    <definedName name="Macro5" localSheetId="2">#REF!</definedName>
    <definedName name="Macro5" localSheetId="6">#REF!</definedName>
    <definedName name="Macro5">#REF!</definedName>
    <definedName name="Macro6" localSheetId="1">#REF!</definedName>
    <definedName name="Macro6" localSheetId="7">#REF!</definedName>
    <definedName name="Macro6" localSheetId="4">#REF!</definedName>
    <definedName name="Macro6" localSheetId="0">#REF!</definedName>
    <definedName name="Macro6" localSheetId="2">#REF!</definedName>
    <definedName name="Macro6" localSheetId="6">#REF!</definedName>
    <definedName name="Macro6">#REF!</definedName>
    <definedName name="Macro7" localSheetId="1">#REF!</definedName>
    <definedName name="Macro7" localSheetId="7">#REF!</definedName>
    <definedName name="Macro7" localSheetId="4">#REF!</definedName>
    <definedName name="Macro7" localSheetId="0">#REF!</definedName>
    <definedName name="Macro7" localSheetId="2">#REF!</definedName>
    <definedName name="Macro7" localSheetId="6">#REF!</definedName>
    <definedName name="Macro7">#REF!</definedName>
    <definedName name="Macro8" localSheetId="1">#REF!</definedName>
    <definedName name="Macro8" localSheetId="7">#REF!</definedName>
    <definedName name="Macro8" localSheetId="4">#REF!</definedName>
    <definedName name="Macro8" localSheetId="0">#REF!</definedName>
    <definedName name="Macro8" localSheetId="2">#REF!</definedName>
    <definedName name="Macro8" localSheetId="6">#REF!</definedName>
    <definedName name="Macro8">#REF!</definedName>
    <definedName name="Macro9" localSheetId="1">#REF!</definedName>
    <definedName name="Macro9" localSheetId="7">#REF!</definedName>
    <definedName name="Macro9" localSheetId="4">#REF!</definedName>
    <definedName name="Macro9" localSheetId="0">#REF!</definedName>
    <definedName name="Macro9" localSheetId="2">#REF!</definedName>
    <definedName name="Macro9" localSheetId="6">#REF!</definedName>
    <definedName name="Macro9">#REF!</definedName>
    <definedName name="MAYO" localSheetId="1">#REF!</definedName>
    <definedName name="MAYO" localSheetId="7">#REF!</definedName>
    <definedName name="MAYO" localSheetId="4">#REF!</definedName>
    <definedName name="MAYO" localSheetId="0">#REF!</definedName>
    <definedName name="MAYO" localSheetId="2">#REF!</definedName>
    <definedName name="MAYO" localSheetId="6">#REF!</definedName>
    <definedName name="MAYO">#REF!</definedName>
    <definedName name="mercadeo" localSheetId="1">#REF!</definedName>
    <definedName name="mercadeo" localSheetId="7">#REF!</definedName>
    <definedName name="mercadeo" localSheetId="6">#REF!</definedName>
    <definedName name="mercadeo">#REF!</definedName>
    <definedName name="MESES" localSheetId="1">[32]Costos!#REF!</definedName>
    <definedName name="MESES" localSheetId="7">[32]Costos!#REF!</definedName>
    <definedName name="MESES" localSheetId="4">[32]Costos!#REF!</definedName>
    <definedName name="MESES" localSheetId="5">[32]Costos!#REF!</definedName>
    <definedName name="MESES" localSheetId="0">[32]Costos!#REF!</definedName>
    <definedName name="MESES" localSheetId="2">[32]Costos!#REF!</definedName>
    <definedName name="MESES" localSheetId="6">[32]Costos!#REF!</definedName>
    <definedName name="MESES">[32]Costos!#REF!</definedName>
    <definedName name="MESES_27" localSheetId="1">[32]Costos!#REF!</definedName>
    <definedName name="MESES_27" localSheetId="7">[32]Costos!#REF!</definedName>
    <definedName name="MESES_27" localSheetId="4">[32]Costos!#REF!</definedName>
    <definedName name="MESES_27" localSheetId="5">[32]Costos!#REF!</definedName>
    <definedName name="MESES_27" localSheetId="0">[32]Costos!#REF!</definedName>
    <definedName name="MESES_27" localSheetId="2">[32]Costos!#REF!</definedName>
    <definedName name="MESES_27" localSheetId="6">[32]Costos!#REF!</definedName>
    <definedName name="MESES_27">[32]Costos!#REF!</definedName>
    <definedName name="MESES_28" localSheetId="1">[33]Costos!#REF!</definedName>
    <definedName name="MESES_28" localSheetId="7">[33]Costos!#REF!</definedName>
    <definedName name="MESES_28" localSheetId="4">[33]Costos!#REF!</definedName>
    <definedName name="MESES_28" localSheetId="5">[33]Costos!#REF!</definedName>
    <definedName name="MESES_28" localSheetId="0">[33]Costos!#REF!</definedName>
    <definedName name="MESES_28" localSheetId="2">[33]Costos!#REF!</definedName>
    <definedName name="MESES_28" localSheetId="6">[33]Costos!#REF!</definedName>
    <definedName name="MESES_28">[33]Costos!#REF!</definedName>
    <definedName name="MESES_4" localSheetId="1">[33]Costos!#REF!</definedName>
    <definedName name="MESES_4" localSheetId="7">[33]Costos!#REF!</definedName>
    <definedName name="MESES_4" localSheetId="4">[33]Costos!#REF!</definedName>
    <definedName name="MESES_4" localSheetId="5">[33]Costos!#REF!</definedName>
    <definedName name="MESES_4" localSheetId="0">[33]Costos!#REF!</definedName>
    <definedName name="MESES_4" localSheetId="2">[33]Costos!#REF!</definedName>
    <definedName name="MESES_4" localSheetId="6">[33]Costos!#REF!</definedName>
    <definedName name="MESES_4">[33]Costos!#REF!</definedName>
    <definedName name="MmExcelLinker_045950F2_909C_400B_996F_7ACED3527FBF" localSheetId="3">Flujo Distrib gastos [34]Sistem!$B$92:$M$92</definedName>
    <definedName name="MmExcelLinker_045950F2_909C_400B_996F_7ACED3527FBF" localSheetId="1">Flujo Distrib gastos [34]Sistem!$B$92:$M$92</definedName>
    <definedName name="MmExcelLinker_045950F2_909C_400B_996F_7ACED3527FBF" localSheetId="7">Flujo Distrib gastos [34]Sistem!$B$92:$M$92</definedName>
    <definedName name="MmExcelLinker_045950F2_909C_400B_996F_7ACED3527FBF" localSheetId="4">Flujo Distrib gastos [34]Sistem!$B$92:$M$92</definedName>
    <definedName name="MmExcelLinker_045950F2_909C_400B_996F_7ACED3527FBF" localSheetId="5">Flujo Distrib gastos [34]Sistem!$B$92:$M$92</definedName>
    <definedName name="MmExcelLinker_045950F2_909C_400B_996F_7ACED3527FBF" localSheetId="0">Flujo Distrib gastos [34]Sistem!$B$92:$M$92</definedName>
    <definedName name="MmExcelLinker_045950F2_909C_400B_996F_7ACED3527FBF" localSheetId="2">Flujo Distrib gastos [34]Sistem!$B$92:$M$92</definedName>
    <definedName name="MmExcelLinker_045950F2_909C_400B_996F_7ACED3527FBF" localSheetId="6">Flujo Distrib gastos [34]Sistem!$B$92:$M$92</definedName>
    <definedName name="MmExcelLinker_045950F2_909C_400B_996F_7ACED3527FBF">Flujo Distrib gastos [34]Sistem!$B$92:$M$92</definedName>
    <definedName name="MmExcelLinker_0D7CC47E_1002_4255_B3CF_1D3A54A69E57" localSheetId="3">Matriz AdR en Ctros Costos [35]COL!$F$166:$F$166</definedName>
    <definedName name="MmExcelLinker_0D7CC47E_1002_4255_B3CF_1D3A54A69E57" localSheetId="1">Matriz AdR en Ctros Costos [35]COL!$F$166:$F$166</definedName>
    <definedName name="MmExcelLinker_0D7CC47E_1002_4255_B3CF_1D3A54A69E57" localSheetId="7">Matriz AdR en Ctros Costos [35]COL!$F$166:$F$166</definedName>
    <definedName name="MmExcelLinker_0D7CC47E_1002_4255_B3CF_1D3A54A69E57" localSheetId="4">Matriz AdR en Ctros Costos [35]COL!$F$166:$F$166</definedName>
    <definedName name="MmExcelLinker_0D7CC47E_1002_4255_B3CF_1D3A54A69E57" localSheetId="5">Matriz AdR en Ctros Costos [35]COL!$F$166:$F$166</definedName>
    <definedName name="MmExcelLinker_0D7CC47E_1002_4255_B3CF_1D3A54A69E57" localSheetId="0">Matriz AdR en Ctros Costos [35]COL!$F$166:$F$166</definedName>
    <definedName name="MmExcelLinker_0D7CC47E_1002_4255_B3CF_1D3A54A69E57" localSheetId="2">Matriz AdR en Ctros Costos [35]COL!$F$166:$F$166</definedName>
    <definedName name="MmExcelLinker_0D7CC47E_1002_4255_B3CF_1D3A54A69E57" localSheetId="6">Matriz AdR en Ctros Costos [35]COL!$F$166:$F$166</definedName>
    <definedName name="MmExcelLinker_0D7CC47E_1002_4255_B3CF_1D3A54A69E57">Matriz AdR en Ctros Costos [35]COL!$F$166:$F$166</definedName>
    <definedName name="MmExcelLinker_1CE62278_E063_48D4_AB24_45C922FBCA1D" localSheetId="3">Flujo Distrib gastos [34]Sistem!$B$65:$B$65</definedName>
    <definedName name="MmExcelLinker_1CE62278_E063_48D4_AB24_45C922FBCA1D" localSheetId="1">Flujo Distrib gastos [34]Sistem!$B$65:$B$65</definedName>
    <definedName name="MmExcelLinker_1CE62278_E063_48D4_AB24_45C922FBCA1D" localSheetId="7">Flujo Distrib gastos [34]Sistem!$B$65:$B$65</definedName>
    <definedName name="MmExcelLinker_1CE62278_E063_48D4_AB24_45C922FBCA1D" localSheetId="4">Flujo Distrib gastos [34]Sistem!$B$65:$B$65</definedName>
    <definedName name="MmExcelLinker_1CE62278_E063_48D4_AB24_45C922FBCA1D" localSheetId="5">Flujo Distrib gastos [34]Sistem!$B$65:$B$65</definedName>
    <definedName name="MmExcelLinker_1CE62278_E063_48D4_AB24_45C922FBCA1D" localSheetId="0">Flujo Distrib gastos [34]Sistem!$B$65:$B$65</definedName>
    <definedName name="MmExcelLinker_1CE62278_E063_48D4_AB24_45C922FBCA1D" localSheetId="2">Flujo Distrib gastos [34]Sistem!$B$65:$B$65</definedName>
    <definedName name="MmExcelLinker_1CE62278_E063_48D4_AB24_45C922FBCA1D" localSheetId="6">Flujo Distrib gastos [34]Sistem!$B$65:$B$65</definedName>
    <definedName name="MmExcelLinker_1CE62278_E063_48D4_AB24_45C922FBCA1D">Flujo Distrib gastos [34]Sistem!$B$65:$B$65</definedName>
    <definedName name="MmExcelLinker_22E874F2_0807_4626_BBD6_64C248139055" localSheetId="3">Matriz AdR en Ctros Costos [36]CR!$J$134:$J$134</definedName>
    <definedName name="MmExcelLinker_22E874F2_0807_4626_BBD6_64C248139055" localSheetId="1">Matriz AdR en Ctros Costos [36]CR!$J$134:$J$134</definedName>
    <definedName name="MmExcelLinker_22E874F2_0807_4626_BBD6_64C248139055" localSheetId="7">Matriz AdR en Ctros Costos [36]CR!$J$134:$J$134</definedName>
    <definedName name="MmExcelLinker_22E874F2_0807_4626_BBD6_64C248139055" localSheetId="4">Matriz AdR en Ctros Costos [36]CR!$J$134:$J$134</definedName>
    <definedName name="MmExcelLinker_22E874F2_0807_4626_BBD6_64C248139055" localSheetId="5">Matriz AdR en Ctros Costos [36]CR!$J$134:$J$134</definedName>
    <definedName name="MmExcelLinker_22E874F2_0807_4626_BBD6_64C248139055" localSheetId="0">Matriz AdR en Ctros Costos [36]CR!$J$134:$J$134</definedName>
    <definedName name="MmExcelLinker_22E874F2_0807_4626_BBD6_64C248139055" localSheetId="2">Matriz AdR en Ctros Costos [36]CR!$J$134:$J$134</definedName>
    <definedName name="MmExcelLinker_22E874F2_0807_4626_BBD6_64C248139055" localSheetId="6">Matriz AdR en Ctros Costos [36]CR!$J$134:$J$134</definedName>
    <definedName name="MmExcelLinker_22E874F2_0807_4626_BBD6_64C248139055">Matriz AdR en Ctros Costos [36]CR!$J$134:$J$134</definedName>
    <definedName name="MmExcelLinker_3DF37EBA_CD2F_4D00_AC8C_C56D8C5613FE" localSheetId="3">Matriz AdR en Ctros Costos [35]COL!$B$213:$B$213</definedName>
    <definedName name="MmExcelLinker_3DF37EBA_CD2F_4D00_AC8C_C56D8C5613FE" localSheetId="1">Matriz AdR en Ctros Costos [35]COL!$B$213:$B$213</definedName>
    <definedName name="MmExcelLinker_3DF37EBA_CD2F_4D00_AC8C_C56D8C5613FE" localSheetId="7">Matriz AdR en Ctros Costos [35]COL!$B$213:$B$213</definedName>
    <definedName name="MmExcelLinker_3DF37EBA_CD2F_4D00_AC8C_C56D8C5613FE" localSheetId="4">Matriz AdR en Ctros Costos [35]COL!$B$213:$B$213</definedName>
    <definedName name="MmExcelLinker_3DF37EBA_CD2F_4D00_AC8C_C56D8C5613FE" localSheetId="5">Matriz AdR en Ctros Costos [35]COL!$B$213:$B$213</definedName>
    <definedName name="MmExcelLinker_3DF37EBA_CD2F_4D00_AC8C_C56D8C5613FE" localSheetId="0">Matriz AdR en Ctros Costos [35]COL!$B$213:$B$213</definedName>
    <definedName name="MmExcelLinker_3DF37EBA_CD2F_4D00_AC8C_C56D8C5613FE" localSheetId="2">Matriz AdR en Ctros Costos [35]COL!$B$213:$B$213</definedName>
    <definedName name="MmExcelLinker_3DF37EBA_CD2F_4D00_AC8C_C56D8C5613FE" localSheetId="6">Matriz AdR en Ctros Costos [35]COL!$B$213:$B$213</definedName>
    <definedName name="MmExcelLinker_3DF37EBA_CD2F_4D00_AC8C_C56D8C5613FE">Matriz AdR en Ctros Costos [35]COL!$B$213:$B$213</definedName>
    <definedName name="MmExcelLinker_4045BDB0_3AAC_485C_8309_DF0CA8EA7382" localSheetId="3">Matriz [0]!cc en CP [35]COL!$G$165:$G$165</definedName>
    <definedName name="MmExcelLinker_4045BDB0_3AAC_485C_8309_DF0CA8EA7382" localSheetId="1">Matriz 'Banco de Bogotá 0553 '!cc en CP [35]COL!$G$165:$G$165</definedName>
    <definedName name="MmExcelLinker_4045BDB0_3AAC_485C_8309_DF0CA8EA7382" localSheetId="7">Matriz 'Banco de Bogotá Aho. 095000 '!cc en CP [35]COL!$G$165:$G$165</definedName>
    <definedName name="MmExcelLinker_4045BDB0_3AAC_485C_8309_DF0CA8EA7382" localSheetId="4">Matriz 'Banco de Bogota E-commerce'!cc en CP [35]COL!$G$165:$G$165</definedName>
    <definedName name="MmExcelLinker_4045BDB0_3AAC_485C_8309_DF0CA8EA7382" localSheetId="5">Matriz 'Banco Itaú Aho. 39292-44 '!cc en CP [35]COL!$G$165:$G$165</definedName>
    <definedName name="MmExcelLinker_4045BDB0_3AAC_485C_8309_DF0CA8EA7382" localSheetId="0">Matriz [37]!cc en CP [35]COL!$G$165:$G$165</definedName>
    <definedName name="MmExcelLinker_4045BDB0_3AAC_485C_8309_DF0CA8EA7382" localSheetId="2">Matriz [37]!cc en CP [35]COL!$G$165:$G$165</definedName>
    <definedName name="MmExcelLinker_4045BDB0_3AAC_485C_8309_DF0CA8EA7382" localSheetId="6">Matriz 'Mercado Pago'!cc en CP [35]COL!$G$165:$G$165</definedName>
    <definedName name="MmExcelLinker_4045BDB0_3AAC_485C_8309_DF0CA8EA7382">Matriz [0]!cc en CP [35]COL!$G$165:$G$165</definedName>
    <definedName name="MmExcelLinker_4E17287E_7370_4F77_A973_EA46BAC44DAD" localSheetId="3">Matriz AdR en Ctros Costos [35]COL!$F$118:$F$118</definedName>
    <definedName name="MmExcelLinker_4E17287E_7370_4F77_A973_EA46BAC44DAD" localSheetId="1">Matriz AdR en Ctros Costos [35]COL!$F$118:$F$118</definedName>
    <definedName name="MmExcelLinker_4E17287E_7370_4F77_A973_EA46BAC44DAD" localSheetId="7">Matriz AdR en Ctros Costos [35]COL!$F$118:$F$118</definedName>
    <definedName name="MmExcelLinker_4E17287E_7370_4F77_A973_EA46BAC44DAD" localSheetId="4">Matriz AdR en Ctros Costos [35]COL!$F$118:$F$118</definedName>
    <definedName name="MmExcelLinker_4E17287E_7370_4F77_A973_EA46BAC44DAD" localSheetId="5">Matriz AdR en Ctros Costos [35]COL!$F$118:$F$118</definedName>
    <definedName name="MmExcelLinker_4E17287E_7370_4F77_A973_EA46BAC44DAD" localSheetId="0">Matriz AdR en Ctros Costos [35]COL!$F$118:$F$118</definedName>
    <definedName name="MmExcelLinker_4E17287E_7370_4F77_A973_EA46BAC44DAD" localSheetId="2">Matriz AdR en Ctros Costos [35]COL!$F$118:$F$118</definedName>
    <definedName name="MmExcelLinker_4E17287E_7370_4F77_A973_EA46BAC44DAD" localSheetId="6">Matriz AdR en Ctros Costos [35]COL!$F$118:$F$118</definedName>
    <definedName name="MmExcelLinker_4E17287E_7370_4F77_A973_EA46BAC44DAD">Matriz AdR en Ctros Costos [35]COL!$F$118:$F$118</definedName>
    <definedName name="MmExcelLinker_532F0225_0BD8_490F_AC98_3144974F69CA" localSheetId="3">Matriz [38]Especificaciones!$F$13:$F$13</definedName>
    <definedName name="MmExcelLinker_532F0225_0BD8_490F_AC98_3144974F69CA" localSheetId="1">Matriz [38]Especificaciones!$F$13:$F$13</definedName>
    <definedName name="MmExcelLinker_532F0225_0BD8_490F_AC98_3144974F69CA" localSheetId="7">Matriz [38]Especificaciones!$F$13:$F$13</definedName>
    <definedName name="MmExcelLinker_532F0225_0BD8_490F_AC98_3144974F69CA" localSheetId="4">Matriz [38]Especificaciones!$F$13:$F$13</definedName>
    <definedName name="MmExcelLinker_532F0225_0BD8_490F_AC98_3144974F69CA" localSheetId="5">Matriz [38]Especificaciones!$F$13:$F$13</definedName>
    <definedName name="MmExcelLinker_532F0225_0BD8_490F_AC98_3144974F69CA" localSheetId="0">Matriz [38]Especificaciones!$F$13:$F$13</definedName>
    <definedName name="MmExcelLinker_532F0225_0BD8_490F_AC98_3144974F69CA" localSheetId="2">Matriz [38]Especificaciones!$F$13:$F$13</definedName>
    <definedName name="MmExcelLinker_532F0225_0BD8_490F_AC98_3144974F69CA" localSheetId="6">Matriz [38]Especificaciones!$F$13:$F$13</definedName>
    <definedName name="MmExcelLinker_532F0225_0BD8_490F_AC98_3144974F69CA">Matriz [38]Especificaciones!$F$13:$F$13</definedName>
    <definedName name="MmExcelLinker_58C22595_DBDD_4983_B229_0FE0842C07BC" localSheetId="3">Matriz [39]Planeación!$F$15:$F$15</definedName>
    <definedName name="MmExcelLinker_58C22595_DBDD_4983_B229_0FE0842C07BC" localSheetId="1">Matriz [39]Planeación!$F$15:$F$15</definedName>
    <definedName name="MmExcelLinker_58C22595_DBDD_4983_B229_0FE0842C07BC" localSheetId="7">Matriz [39]Planeación!$F$15:$F$15</definedName>
    <definedName name="MmExcelLinker_58C22595_DBDD_4983_B229_0FE0842C07BC" localSheetId="4">Matriz [39]Planeación!$F$15:$F$15</definedName>
    <definedName name="MmExcelLinker_58C22595_DBDD_4983_B229_0FE0842C07BC" localSheetId="5">Matriz [39]Planeación!$F$15:$F$15</definedName>
    <definedName name="MmExcelLinker_58C22595_DBDD_4983_B229_0FE0842C07BC" localSheetId="0">Matriz [39]Planeación!$F$15:$F$15</definedName>
    <definedName name="MmExcelLinker_58C22595_DBDD_4983_B229_0FE0842C07BC" localSheetId="2">Matriz [39]Planeación!$F$15:$F$15</definedName>
    <definedName name="MmExcelLinker_58C22595_DBDD_4983_B229_0FE0842C07BC" localSheetId="6">Matriz [39]Planeación!$F$15:$F$15</definedName>
    <definedName name="MmExcelLinker_58C22595_DBDD_4983_B229_0FE0842C07BC">Matriz [39]Planeación!$F$15:$F$15</definedName>
    <definedName name="MmExcelLinker_608BFA5C_3E11_48A8_B533_D96361198052" localSheetId="3">Flujo Distrib gastos [34]Sistem!$A$1:$A$1</definedName>
    <definedName name="MmExcelLinker_608BFA5C_3E11_48A8_B533_D96361198052" localSheetId="1">Flujo Distrib gastos [34]Sistem!$A$1:$A$1</definedName>
    <definedName name="MmExcelLinker_608BFA5C_3E11_48A8_B533_D96361198052" localSheetId="7">Flujo Distrib gastos [34]Sistem!$A$1:$A$1</definedName>
    <definedName name="MmExcelLinker_608BFA5C_3E11_48A8_B533_D96361198052" localSheetId="4">Flujo Distrib gastos [34]Sistem!$A$1:$A$1</definedName>
    <definedName name="MmExcelLinker_608BFA5C_3E11_48A8_B533_D96361198052" localSheetId="5">Flujo Distrib gastos [34]Sistem!$A$1:$A$1</definedName>
    <definedName name="MmExcelLinker_608BFA5C_3E11_48A8_B533_D96361198052" localSheetId="0">Flujo Distrib gastos [34]Sistem!$A$1:$A$1</definedName>
    <definedName name="MmExcelLinker_608BFA5C_3E11_48A8_B533_D96361198052" localSheetId="2">Flujo Distrib gastos [34]Sistem!$A$1:$A$1</definedName>
    <definedName name="MmExcelLinker_608BFA5C_3E11_48A8_B533_D96361198052" localSheetId="6">Flujo Distrib gastos [34]Sistem!$A$1:$A$1</definedName>
    <definedName name="MmExcelLinker_608BFA5C_3E11_48A8_B533_D96361198052">Flujo Distrib gastos [34]Sistem!$A$1:$A$1</definedName>
    <definedName name="MmExcelLinker_69DD717E_D8DD_415A_A7D5_7F6DBEFA8F7D" localSheetId="3">Matriz AdR en Ctros Costos [35]COL!$B$208:$B$208</definedName>
    <definedName name="MmExcelLinker_69DD717E_D8DD_415A_A7D5_7F6DBEFA8F7D" localSheetId="1">Matriz AdR en Ctros Costos [35]COL!$B$208:$B$208</definedName>
    <definedName name="MmExcelLinker_69DD717E_D8DD_415A_A7D5_7F6DBEFA8F7D" localSheetId="7">Matriz AdR en Ctros Costos [35]COL!$B$208:$B$208</definedName>
    <definedName name="MmExcelLinker_69DD717E_D8DD_415A_A7D5_7F6DBEFA8F7D" localSheetId="4">Matriz AdR en Ctros Costos [35]COL!$B$208:$B$208</definedName>
    <definedName name="MmExcelLinker_69DD717E_D8DD_415A_A7D5_7F6DBEFA8F7D" localSheetId="5">Matriz AdR en Ctros Costos [35]COL!$B$208:$B$208</definedName>
    <definedName name="MmExcelLinker_69DD717E_D8DD_415A_A7D5_7F6DBEFA8F7D" localSheetId="0">Matriz AdR en Ctros Costos [35]COL!$B$208:$B$208</definedName>
    <definedName name="MmExcelLinker_69DD717E_D8DD_415A_A7D5_7F6DBEFA8F7D" localSheetId="2">Matriz AdR en Ctros Costos [35]COL!$B$208:$B$208</definedName>
    <definedName name="MmExcelLinker_69DD717E_D8DD_415A_A7D5_7F6DBEFA8F7D" localSheetId="6">Matriz AdR en Ctros Costos [35]COL!$B$208:$B$208</definedName>
    <definedName name="MmExcelLinker_69DD717E_D8DD_415A_A7D5_7F6DBEFA8F7D">Matriz AdR en Ctros Costos [35]COL!$B$208:$B$208</definedName>
    <definedName name="MmExcelLinker_71DDFF4A_CC1E_47EF_9831_C202EBC0D2A9" localSheetId="3">Matriz AdR en Ctros Costos [35]COL!$F$7:$F$7</definedName>
    <definedName name="MmExcelLinker_71DDFF4A_CC1E_47EF_9831_C202EBC0D2A9" localSheetId="1">Matriz AdR en Ctros Costos [35]COL!$F$7:$F$7</definedName>
    <definedName name="MmExcelLinker_71DDFF4A_CC1E_47EF_9831_C202EBC0D2A9" localSheetId="7">Matriz AdR en Ctros Costos [35]COL!$F$7:$F$7</definedName>
    <definedName name="MmExcelLinker_71DDFF4A_CC1E_47EF_9831_C202EBC0D2A9" localSheetId="4">Matriz AdR en Ctros Costos [35]COL!$F$7:$F$7</definedName>
    <definedName name="MmExcelLinker_71DDFF4A_CC1E_47EF_9831_C202EBC0D2A9" localSheetId="5">Matriz AdR en Ctros Costos [35]COL!$F$7:$F$7</definedName>
    <definedName name="MmExcelLinker_71DDFF4A_CC1E_47EF_9831_C202EBC0D2A9" localSheetId="0">Matriz AdR en Ctros Costos [35]COL!$F$7:$F$7</definedName>
    <definedName name="MmExcelLinker_71DDFF4A_CC1E_47EF_9831_C202EBC0D2A9" localSheetId="2">Matriz AdR en Ctros Costos [35]COL!$F$7:$F$7</definedName>
    <definedName name="MmExcelLinker_71DDFF4A_CC1E_47EF_9831_C202EBC0D2A9" localSheetId="6">Matriz AdR en Ctros Costos [35]COL!$F$7:$F$7</definedName>
    <definedName name="MmExcelLinker_71DDFF4A_CC1E_47EF_9831_C202EBC0D2A9">Matriz AdR en Ctros Costos [35]COL!$F$7:$F$7</definedName>
    <definedName name="MmExcelLinker_764CB34E_4842_4990_8F99_CBFCDC460197" localSheetId="3">Factores  Gral Col &amp; [36]CR!$A$1:$A$1</definedName>
    <definedName name="MmExcelLinker_764CB34E_4842_4990_8F99_CBFCDC460197" localSheetId="1">Factores  Gral Col &amp; [36]CR!$A$1:$A$1</definedName>
    <definedName name="MmExcelLinker_764CB34E_4842_4990_8F99_CBFCDC460197" localSheetId="7">Factores  Gral Col &amp; [36]CR!$A$1:$A$1</definedName>
    <definedName name="MmExcelLinker_764CB34E_4842_4990_8F99_CBFCDC460197" localSheetId="4">Factores  Gral Col &amp; [36]CR!$A$1:$A$1</definedName>
    <definedName name="MmExcelLinker_764CB34E_4842_4990_8F99_CBFCDC460197" localSheetId="5">Factores  Gral Col &amp; [36]CR!$A$1:$A$1</definedName>
    <definedName name="MmExcelLinker_764CB34E_4842_4990_8F99_CBFCDC460197" localSheetId="0">Factores  Gral Col &amp; [36]CR!$A$1:$A$1</definedName>
    <definedName name="MmExcelLinker_764CB34E_4842_4990_8F99_CBFCDC460197" localSheetId="2">Factores  Gral Col &amp; [36]CR!$A$1:$A$1</definedName>
    <definedName name="MmExcelLinker_764CB34E_4842_4990_8F99_CBFCDC460197" localSheetId="6">Factores  Gral Col &amp; [36]CR!$A$1:$A$1</definedName>
    <definedName name="MmExcelLinker_764CB34E_4842_4990_8F99_CBFCDC460197">Factores  Gral Col &amp; [36]CR!$A$1:$A$1</definedName>
    <definedName name="MmExcelLinker_8A26AE19_A3D7_4816_9F37_BED5E78557B6" localSheetId="3">Matriz AdR en Ctros Costos [35]COL!$F$165:$F$165</definedName>
    <definedName name="MmExcelLinker_8A26AE19_A3D7_4816_9F37_BED5E78557B6" localSheetId="1">Matriz AdR en Ctros Costos [35]COL!$F$165:$F$165</definedName>
    <definedName name="MmExcelLinker_8A26AE19_A3D7_4816_9F37_BED5E78557B6" localSheetId="7">Matriz AdR en Ctros Costos [35]COL!$F$165:$F$165</definedName>
    <definedName name="MmExcelLinker_8A26AE19_A3D7_4816_9F37_BED5E78557B6" localSheetId="4">Matriz AdR en Ctros Costos [35]COL!$F$165:$F$165</definedName>
    <definedName name="MmExcelLinker_8A26AE19_A3D7_4816_9F37_BED5E78557B6" localSheetId="5">Matriz AdR en Ctros Costos [35]COL!$F$165:$F$165</definedName>
    <definedName name="MmExcelLinker_8A26AE19_A3D7_4816_9F37_BED5E78557B6" localSheetId="0">Matriz AdR en Ctros Costos [35]COL!$F$165:$F$165</definedName>
    <definedName name="MmExcelLinker_8A26AE19_A3D7_4816_9F37_BED5E78557B6" localSheetId="2">Matriz AdR en Ctros Costos [35]COL!$F$165:$F$165</definedName>
    <definedName name="MmExcelLinker_8A26AE19_A3D7_4816_9F37_BED5E78557B6" localSheetId="6">Matriz AdR en Ctros Costos [35]COL!$F$165:$F$165</definedName>
    <definedName name="MmExcelLinker_8A26AE19_A3D7_4816_9F37_BED5E78557B6">Matriz AdR en Ctros Costos [35]COL!$F$165:$F$165</definedName>
    <definedName name="MmExcelLinker_BAFBE4D1_2A77_43DA_A639_3B3EC1538B7F" localSheetId="3">Matriz [0]!cc en CP [35]COL!$G$58:$G$58</definedName>
    <definedName name="MmExcelLinker_BAFBE4D1_2A77_43DA_A639_3B3EC1538B7F" localSheetId="1">Matriz 'Banco de Bogotá 0553 '!cc en CP [35]COL!$G$58:$G$58</definedName>
    <definedName name="MmExcelLinker_BAFBE4D1_2A77_43DA_A639_3B3EC1538B7F" localSheetId="7">Matriz 'Banco de Bogotá Aho. 095000 '!cc en CP [35]COL!$G$58:$G$58</definedName>
    <definedName name="MmExcelLinker_BAFBE4D1_2A77_43DA_A639_3B3EC1538B7F" localSheetId="4">Matriz 'Banco de Bogota E-commerce'!cc en CP [35]COL!$G$58:$G$58</definedName>
    <definedName name="MmExcelLinker_BAFBE4D1_2A77_43DA_A639_3B3EC1538B7F" localSheetId="5">Matriz 'Banco Itaú Aho. 39292-44 '!cc en CP [35]COL!$G$58:$G$58</definedName>
    <definedName name="MmExcelLinker_BAFBE4D1_2A77_43DA_A639_3B3EC1538B7F" localSheetId="0">Matriz [37]!cc en CP [35]COL!$G$58:$G$58</definedName>
    <definedName name="MmExcelLinker_BAFBE4D1_2A77_43DA_A639_3B3EC1538B7F" localSheetId="2">Matriz [37]!cc en CP [35]COL!$G$58:$G$58</definedName>
    <definedName name="MmExcelLinker_BAFBE4D1_2A77_43DA_A639_3B3EC1538B7F" localSheetId="6">Matriz 'Mercado Pago'!cc en CP [35]COL!$G$58:$G$58</definedName>
    <definedName name="MmExcelLinker_BAFBE4D1_2A77_43DA_A639_3B3EC1538B7F">Matriz [0]!cc en CP [35]COL!$G$58:$G$58</definedName>
    <definedName name="MmExcelLinker_BC54C808_21F3_47BB_B88E_7CB076D4FDB1" localSheetId="3">Flujo Distrib gastos [34]Sistem!$B$91:$M$91</definedName>
    <definedName name="MmExcelLinker_BC54C808_21F3_47BB_B88E_7CB076D4FDB1" localSheetId="1">Flujo Distrib gastos [34]Sistem!$B$91:$M$91</definedName>
    <definedName name="MmExcelLinker_BC54C808_21F3_47BB_B88E_7CB076D4FDB1" localSheetId="7">Flujo Distrib gastos [34]Sistem!$B$91:$M$91</definedName>
    <definedName name="MmExcelLinker_BC54C808_21F3_47BB_B88E_7CB076D4FDB1" localSheetId="4">Flujo Distrib gastos [34]Sistem!$B$91:$M$91</definedName>
    <definedName name="MmExcelLinker_BC54C808_21F3_47BB_B88E_7CB076D4FDB1" localSheetId="5">Flujo Distrib gastos [34]Sistem!$B$91:$M$91</definedName>
    <definedName name="MmExcelLinker_BC54C808_21F3_47BB_B88E_7CB076D4FDB1" localSheetId="0">Flujo Distrib gastos [34]Sistem!$B$91:$M$91</definedName>
    <definedName name="MmExcelLinker_BC54C808_21F3_47BB_B88E_7CB076D4FDB1" localSheetId="2">Flujo Distrib gastos [34]Sistem!$B$91:$M$91</definedName>
    <definedName name="MmExcelLinker_BC54C808_21F3_47BB_B88E_7CB076D4FDB1" localSheetId="6">Flujo Distrib gastos [34]Sistem!$B$91:$M$91</definedName>
    <definedName name="MmExcelLinker_BC54C808_21F3_47BB_B88E_7CB076D4FDB1">Flujo Distrib gastos [34]Sistem!$B$91:$M$91</definedName>
    <definedName name="MmExcelLinker_C2755532_AB04_428B_8767_F785AEC3968F" localSheetId="3">Gantt [40]Implementación!$L$55:$L$55</definedName>
    <definedName name="MmExcelLinker_C2755532_AB04_428B_8767_F785AEC3968F" localSheetId="1">Gantt [40]Implementación!$L$55:$L$55</definedName>
    <definedName name="MmExcelLinker_C2755532_AB04_428B_8767_F785AEC3968F" localSheetId="7">Gantt [40]Implementación!$L$55:$L$55</definedName>
    <definedName name="MmExcelLinker_C2755532_AB04_428B_8767_F785AEC3968F" localSheetId="4">Gantt [40]Implementación!$L$55:$L$55</definedName>
    <definedName name="MmExcelLinker_C2755532_AB04_428B_8767_F785AEC3968F" localSheetId="5">Gantt [40]Implementación!$L$55:$L$55</definedName>
    <definedName name="MmExcelLinker_C2755532_AB04_428B_8767_F785AEC3968F" localSheetId="0">Gantt [40]Implementación!$L$55:$L$55</definedName>
    <definedName name="MmExcelLinker_C2755532_AB04_428B_8767_F785AEC3968F" localSheetId="2">Gantt [40]Implementación!$L$55:$L$55</definedName>
    <definedName name="MmExcelLinker_C2755532_AB04_428B_8767_F785AEC3968F" localSheetId="6">Gantt [40]Implementación!$L$55:$L$55</definedName>
    <definedName name="MmExcelLinker_C2755532_AB04_428B_8767_F785AEC3968F">Gantt [40]Implementación!$L$55:$L$55</definedName>
    <definedName name="MmExcelLinker_C4B4426F_2F1F_43C7_BA29_AA0D1E79E3E8" localSheetId="3">Gantt [41]Sistemas!$A$1:$A$1</definedName>
    <definedName name="MmExcelLinker_C4B4426F_2F1F_43C7_BA29_AA0D1E79E3E8" localSheetId="1">Gantt [41]Sistemas!$A$1:$A$1</definedName>
    <definedName name="MmExcelLinker_C4B4426F_2F1F_43C7_BA29_AA0D1E79E3E8" localSheetId="7">Gantt [41]Sistemas!$A$1:$A$1</definedName>
    <definedName name="MmExcelLinker_C4B4426F_2F1F_43C7_BA29_AA0D1E79E3E8" localSheetId="4">Gantt [41]Sistemas!$A$1:$A$1</definedName>
    <definedName name="MmExcelLinker_C4B4426F_2F1F_43C7_BA29_AA0D1E79E3E8" localSheetId="5">Gantt [41]Sistemas!$A$1:$A$1</definedName>
    <definedName name="MmExcelLinker_C4B4426F_2F1F_43C7_BA29_AA0D1E79E3E8" localSheetId="0">Gantt [41]Sistemas!$A$1:$A$1</definedName>
    <definedName name="MmExcelLinker_C4B4426F_2F1F_43C7_BA29_AA0D1E79E3E8" localSheetId="2">Gantt [41]Sistemas!$A$1:$A$1</definedName>
    <definedName name="MmExcelLinker_C4B4426F_2F1F_43C7_BA29_AA0D1E79E3E8" localSheetId="6">Gantt [41]Sistemas!$A$1:$A$1</definedName>
    <definedName name="MmExcelLinker_C4B4426F_2F1F_43C7_BA29_AA0D1E79E3E8">Gantt [41]Sistemas!$A$1:$A$1</definedName>
    <definedName name="MmExcelLinker_D8193D39_7481_4F5B_AB17_54E158FAE600" localSheetId="3">Matriz AdR en Ctros Costos [35]COL!$F$4:$F$4</definedName>
    <definedName name="MmExcelLinker_D8193D39_7481_4F5B_AB17_54E158FAE600" localSheetId="1">Matriz AdR en Ctros Costos [35]COL!$F$4:$F$4</definedName>
    <definedName name="MmExcelLinker_D8193D39_7481_4F5B_AB17_54E158FAE600" localSheetId="7">Matriz AdR en Ctros Costos [35]COL!$F$4:$F$4</definedName>
    <definedName name="MmExcelLinker_D8193D39_7481_4F5B_AB17_54E158FAE600" localSheetId="4">Matriz AdR en Ctros Costos [35]COL!$F$4:$F$4</definedName>
    <definedName name="MmExcelLinker_D8193D39_7481_4F5B_AB17_54E158FAE600" localSheetId="5">Matriz AdR en Ctros Costos [35]COL!$F$4:$F$4</definedName>
    <definedName name="MmExcelLinker_D8193D39_7481_4F5B_AB17_54E158FAE600" localSheetId="0">Matriz AdR en Ctros Costos [35]COL!$F$4:$F$4</definedName>
    <definedName name="MmExcelLinker_D8193D39_7481_4F5B_AB17_54E158FAE600" localSheetId="2">Matriz AdR en Ctros Costos [35]COL!$F$4:$F$4</definedName>
    <definedName name="MmExcelLinker_D8193D39_7481_4F5B_AB17_54E158FAE600" localSheetId="6">Matriz AdR en Ctros Costos [35]COL!$F$4:$F$4</definedName>
    <definedName name="MmExcelLinker_D8193D39_7481_4F5B_AB17_54E158FAE600">Matriz AdR en Ctros Costos [35]COL!$F$4:$F$4</definedName>
    <definedName name="MmExcelLinker_DEC46EB3_E3F9_4482_901B_31B3868BD665" localSheetId="3">Matriz AdR en Ctros Costos [35]COL!$B$204:$B$204</definedName>
    <definedName name="MmExcelLinker_DEC46EB3_E3F9_4482_901B_31B3868BD665" localSheetId="1">Matriz AdR en Ctros Costos [35]COL!$B$204:$B$204</definedName>
    <definedName name="MmExcelLinker_DEC46EB3_E3F9_4482_901B_31B3868BD665" localSheetId="7">Matriz AdR en Ctros Costos [35]COL!$B$204:$B$204</definedName>
    <definedName name="MmExcelLinker_DEC46EB3_E3F9_4482_901B_31B3868BD665" localSheetId="4">Matriz AdR en Ctros Costos [35]COL!$B$204:$B$204</definedName>
    <definedName name="MmExcelLinker_DEC46EB3_E3F9_4482_901B_31B3868BD665" localSheetId="5">Matriz AdR en Ctros Costos [35]COL!$B$204:$B$204</definedName>
    <definedName name="MmExcelLinker_DEC46EB3_E3F9_4482_901B_31B3868BD665" localSheetId="0">Matriz AdR en Ctros Costos [35]COL!$B$204:$B$204</definedName>
    <definedName name="MmExcelLinker_DEC46EB3_E3F9_4482_901B_31B3868BD665" localSheetId="2">Matriz AdR en Ctros Costos [35]COL!$B$204:$B$204</definedName>
    <definedName name="MmExcelLinker_DEC46EB3_E3F9_4482_901B_31B3868BD665" localSheetId="6">Matriz AdR en Ctros Costos [35]COL!$B$204:$B$204</definedName>
    <definedName name="MmExcelLinker_DEC46EB3_E3F9_4482_901B_31B3868BD665">Matriz AdR en Ctros Costos [35]COL!$B$204:$B$204</definedName>
    <definedName name="MmExcelLinker_E3619F79_9DA2_4A90_8B77_6F0581A7E83D" localSheetId="3">Gantt [41]Sistemas!$B$6:$B$6</definedName>
    <definedName name="MmExcelLinker_E3619F79_9DA2_4A90_8B77_6F0581A7E83D" localSheetId="1">Gantt [41]Sistemas!$B$6:$B$6</definedName>
    <definedName name="MmExcelLinker_E3619F79_9DA2_4A90_8B77_6F0581A7E83D" localSheetId="7">Gantt [41]Sistemas!$B$6:$B$6</definedName>
    <definedName name="MmExcelLinker_E3619F79_9DA2_4A90_8B77_6F0581A7E83D" localSheetId="4">Gantt [41]Sistemas!$B$6:$B$6</definedName>
    <definedName name="MmExcelLinker_E3619F79_9DA2_4A90_8B77_6F0581A7E83D" localSheetId="5">Gantt [41]Sistemas!$B$6:$B$6</definedName>
    <definedName name="MmExcelLinker_E3619F79_9DA2_4A90_8B77_6F0581A7E83D" localSheetId="0">Gantt [41]Sistemas!$B$6:$B$6</definedName>
    <definedName name="MmExcelLinker_E3619F79_9DA2_4A90_8B77_6F0581A7E83D" localSheetId="2">Gantt [41]Sistemas!$B$6:$B$6</definedName>
    <definedName name="MmExcelLinker_E3619F79_9DA2_4A90_8B77_6F0581A7E83D" localSheetId="6">Gantt [41]Sistemas!$B$6:$B$6</definedName>
    <definedName name="MmExcelLinker_E3619F79_9DA2_4A90_8B77_6F0581A7E83D">Gantt [41]Sistemas!$B$6:$B$6</definedName>
    <definedName name="MmExcelLinker_EF122828_E501_4919_B423_E60DC6FA8A2D" localSheetId="3">Matriz [38]Especificaciones!$F$54:$F$54</definedName>
    <definedName name="MmExcelLinker_EF122828_E501_4919_B423_E60DC6FA8A2D" localSheetId="1">Matriz [38]Especificaciones!$F$54:$F$54</definedName>
    <definedName name="MmExcelLinker_EF122828_E501_4919_B423_E60DC6FA8A2D" localSheetId="7">Matriz [38]Especificaciones!$F$54:$F$54</definedName>
    <definedName name="MmExcelLinker_EF122828_E501_4919_B423_E60DC6FA8A2D" localSheetId="4">Matriz [38]Especificaciones!$F$54:$F$54</definedName>
    <definedName name="MmExcelLinker_EF122828_E501_4919_B423_E60DC6FA8A2D" localSheetId="5">Matriz [38]Especificaciones!$F$54:$F$54</definedName>
    <definedName name="MmExcelLinker_EF122828_E501_4919_B423_E60DC6FA8A2D" localSheetId="0">Matriz [38]Especificaciones!$F$54:$F$54</definedName>
    <definedName name="MmExcelLinker_EF122828_E501_4919_B423_E60DC6FA8A2D" localSheetId="2">Matriz [38]Especificaciones!$F$54:$F$54</definedName>
    <definedName name="MmExcelLinker_EF122828_E501_4919_B423_E60DC6FA8A2D" localSheetId="6">Matriz [38]Especificaciones!$F$54:$F$54</definedName>
    <definedName name="MmExcelLinker_EF122828_E501_4919_B423_E60DC6FA8A2D">Matriz [38]Especificaciones!$F$54:$F$54</definedName>
    <definedName name="MOI" localSheetId="1">#REF!</definedName>
    <definedName name="MOI" localSheetId="7">#REF!</definedName>
    <definedName name="MOI" localSheetId="4">#REF!</definedName>
    <definedName name="MOI" localSheetId="5">#REF!</definedName>
    <definedName name="MOI" localSheetId="0">#REF!</definedName>
    <definedName name="MOI" localSheetId="2">#REF!</definedName>
    <definedName name="MOI" localSheetId="6">#REF!</definedName>
    <definedName name="MOI">#REF!</definedName>
    <definedName name="Moneda" localSheetId="1">#REF!</definedName>
    <definedName name="Moneda" localSheetId="7">#REF!</definedName>
    <definedName name="Moneda" localSheetId="4">#REF!</definedName>
    <definedName name="Moneda" localSheetId="5">#REF!</definedName>
    <definedName name="Moneda" localSheetId="0">#REF!</definedName>
    <definedName name="Moneda" localSheetId="2">#REF!</definedName>
    <definedName name="Moneda" localSheetId="6">#REF!</definedName>
    <definedName name="Moneda">#REF!</definedName>
    <definedName name="MONEDAS" localSheetId="1">'[2]Serie TRM'!#REF!</definedName>
    <definedName name="MONEDAS" localSheetId="7">'[2]Serie TRM'!#REF!</definedName>
    <definedName name="MONEDAS" localSheetId="4">'[2]Serie TRM'!#REF!</definedName>
    <definedName name="MONEDAS" localSheetId="5">'[2]Serie TRM'!#REF!</definedName>
    <definedName name="MONEDAS" localSheetId="0">'[2]Serie TRM'!#REF!</definedName>
    <definedName name="MONEDAS" localSheetId="2">'[2]Serie TRM'!#REF!</definedName>
    <definedName name="MONEDAS" localSheetId="6">'[2]Serie TRM'!#REF!</definedName>
    <definedName name="MONEDAS">'[2]Serie TRM'!#REF!</definedName>
    <definedName name="Monto1">[9]Resumen!$L$8:$L$35</definedName>
    <definedName name="Monto2">[9]Resumen!$P$8:$P$35</definedName>
    <definedName name="Monto3">[9]Resumen!$T$8:$T$35</definedName>
    <definedName name="Monto4">[9]Resumen!$X$8:$X$35</definedName>
    <definedName name="Montoi">[9]Resumen!$E$8:$E$35</definedName>
    <definedName name="MPI" localSheetId="1">#REF!</definedName>
    <definedName name="MPI" localSheetId="7">#REF!</definedName>
    <definedName name="MPI" localSheetId="4">#REF!</definedName>
    <definedName name="MPI" localSheetId="5">#REF!</definedName>
    <definedName name="MPI" localSheetId="0">#REF!</definedName>
    <definedName name="MPI" localSheetId="2">#REF!</definedName>
    <definedName name="MPI" localSheetId="6">#REF!</definedName>
    <definedName name="MPI">#REF!</definedName>
    <definedName name="N" localSheetId="1">#REF!</definedName>
    <definedName name="N" localSheetId="7">#REF!</definedName>
    <definedName name="N" localSheetId="4">#REF!</definedName>
    <definedName name="N" localSheetId="5">#REF!</definedName>
    <definedName name="N" localSheetId="0">#REF!</definedName>
    <definedName name="N" localSheetId="2">#REF!</definedName>
    <definedName name="N" localSheetId="6">#REF!</definedName>
    <definedName name="N">#REF!</definedName>
    <definedName name="NACIONAL" localSheetId="1">#REF!</definedName>
    <definedName name="NACIONAL" localSheetId="7">#REF!</definedName>
    <definedName name="NACIONAL" localSheetId="4">#REF!</definedName>
    <definedName name="NACIONAL" localSheetId="5">#REF!</definedName>
    <definedName name="NACIONAL" localSheetId="0">#REF!</definedName>
    <definedName name="NACIONAL" localSheetId="2">#REF!</definedName>
    <definedName name="NACIONAL" localSheetId="6">#REF!</definedName>
    <definedName name="NACIONAL">#REF!</definedName>
    <definedName name="NIT" localSheetId="1">#REF!</definedName>
    <definedName name="NIT" localSheetId="7">#REF!</definedName>
    <definedName name="NIT" localSheetId="6">#REF!</definedName>
    <definedName name="NIT">#REF!</definedName>
    <definedName name="NombreTabla">"Dummy"</definedName>
    <definedName name="nueve">[42]Conf!$C$9</definedName>
    <definedName name="nuevo" localSheetId="1">[43]Costos!#REF!</definedName>
    <definedName name="nuevo" localSheetId="7">[43]Costos!#REF!</definedName>
    <definedName name="nuevo" localSheetId="4">[43]Costos!#REF!</definedName>
    <definedName name="nuevo" localSheetId="5">[43]Costos!#REF!</definedName>
    <definedName name="nuevo" localSheetId="0">[43]Costos!#REF!</definedName>
    <definedName name="nuevo" localSheetId="2">[43]Costos!#REF!</definedName>
    <definedName name="nuevo" localSheetId="6">[43]Costos!#REF!</definedName>
    <definedName name="nuevo">[43]Costos!#REF!</definedName>
    <definedName name="ñ" localSheetId="1">'[44]lmovtipofac 250505'!#REF!</definedName>
    <definedName name="ñ" localSheetId="7">'[44]lmovtipofac 250505'!#REF!</definedName>
    <definedName name="ñ" localSheetId="4">'[44]lmovtipofac 250505'!#REF!</definedName>
    <definedName name="ñ" localSheetId="5">'[44]lmovtipofac 250505'!#REF!</definedName>
    <definedName name="ñ" localSheetId="0">'[44]lmovtipofac 250505'!#REF!</definedName>
    <definedName name="ñ" localSheetId="2">'[44]lmovtipofac 250505'!#REF!</definedName>
    <definedName name="ñ" localSheetId="6">'[44]lmovtipofac 250505'!#REF!</definedName>
    <definedName name="ñ">'[44]lmovtipofac 250505'!#REF!</definedName>
    <definedName name="o" localSheetId="1">'[18]lctater 250505'!#REF!</definedName>
    <definedName name="o" localSheetId="7">'[18]lctater 250505'!#REF!</definedName>
    <definedName name="o" localSheetId="4">'[18]lctater 250505'!#REF!</definedName>
    <definedName name="o" localSheetId="5">'[18]lctater 250505'!#REF!</definedName>
    <definedName name="o" localSheetId="0">'[18]lctater 250505'!#REF!</definedName>
    <definedName name="o" localSheetId="2">'[18]lctater 250505'!#REF!</definedName>
    <definedName name="o" localSheetId="6">'[18]lctater 250505'!#REF!</definedName>
    <definedName name="o">'[18]lctater 250505'!#REF!</definedName>
    <definedName name="OC" localSheetId="1">#REF!</definedName>
    <definedName name="OC" localSheetId="7">#REF!</definedName>
    <definedName name="OC" localSheetId="4">#REF!</definedName>
    <definedName name="OC" localSheetId="5">#REF!</definedName>
    <definedName name="OC" localSheetId="0">#REF!</definedName>
    <definedName name="OC" localSheetId="2">#REF!</definedName>
    <definedName name="OC" localSheetId="6">#REF!</definedName>
    <definedName name="OC">#REF!</definedName>
    <definedName name="OCXP" localSheetId="1">#REF!</definedName>
    <definedName name="OCXP" localSheetId="7">#REF!</definedName>
    <definedName name="OCXP" localSheetId="4">#REF!</definedName>
    <definedName name="OCXP" localSheetId="5">#REF!</definedName>
    <definedName name="OCXP" localSheetId="0">#REF!</definedName>
    <definedName name="OCXP" localSheetId="2">#REF!</definedName>
    <definedName name="OCXP" localSheetId="6">#REF!</definedName>
    <definedName name="OCXP">#REF!</definedName>
    <definedName name="OK" localSheetId="1">#REF!</definedName>
    <definedName name="OK" localSheetId="7">#REF!</definedName>
    <definedName name="OK" localSheetId="4">#REF!</definedName>
    <definedName name="OK" localSheetId="5">#REF!</definedName>
    <definedName name="OK" localSheetId="0">#REF!</definedName>
    <definedName name="OK" localSheetId="2">#REF!</definedName>
    <definedName name="OK" localSheetId="6">#REF!</definedName>
    <definedName name="OK">#REF!</definedName>
    <definedName name="OPC" localSheetId="1">#REF!</definedName>
    <definedName name="OPC" localSheetId="7">#REF!</definedName>
    <definedName name="OPC" localSheetId="6">#REF!</definedName>
    <definedName name="OPC">#REF!</definedName>
    <definedName name="orignal" localSheetId="1">#REF!</definedName>
    <definedName name="orignal" localSheetId="7">#REF!</definedName>
    <definedName name="orignal" localSheetId="4">#REF!</definedName>
    <definedName name="orignal" localSheetId="6">#REF!</definedName>
    <definedName name="orignal">#REF!</definedName>
    <definedName name="OTROS" localSheetId="1">#REF!</definedName>
    <definedName name="OTROS" localSheetId="7">#REF!</definedName>
    <definedName name="OTROS" localSheetId="6">#REF!</definedName>
    <definedName name="OTROS">#REF!</definedName>
    <definedName name="otros1" localSheetId="1">#REF!</definedName>
    <definedName name="otros1" localSheetId="7">#REF!</definedName>
    <definedName name="otros1" localSheetId="6">#REF!</definedName>
    <definedName name="otros1">#REF!</definedName>
    <definedName name="P">[18]MOVIMIENTO!$D$8:$D$27,[18]MOVIMIENTO!$D$37:$D$52,[18]MOVIMIENTO!$D$29:$D$35,[18]MOVIMIENTO!$D$54:$D$70,[18]MOVIMIENTO!$D$72:$D$75,[18]MOVIMIENTO!$D$77:$D$85,[18]MOVIMIENTO!$D$87:$D$96</definedName>
    <definedName name="P1NOMAS" localSheetId="1">#REF!</definedName>
    <definedName name="P1NOMAS" localSheetId="7">#REF!</definedName>
    <definedName name="P1NOMAS" localSheetId="4">#REF!</definedName>
    <definedName name="P1NOMAS" localSheetId="5">#REF!</definedName>
    <definedName name="P1NOMAS" localSheetId="0">#REF!</definedName>
    <definedName name="P1NOMAS" localSheetId="2">#REF!</definedName>
    <definedName name="P1NOMAS" localSheetId="6">#REF!</definedName>
    <definedName name="P1NOMAS">#REF!</definedName>
    <definedName name="Placa" localSheetId="1">[45]Varios!#REF!</definedName>
    <definedName name="Placa" localSheetId="7">[45]Varios!#REF!</definedName>
    <definedName name="Placa" localSheetId="4">[45]Varios!#REF!</definedName>
    <definedName name="Placa" localSheetId="5">[45]Varios!#REF!</definedName>
    <definedName name="Placa" localSheetId="0">[45]Varios!#REF!</definedName>
    <definedName name="Placa" localSheetId="2">[45]Varios!#REF!</definedName>
    <definedName name="Placa" localSheetId="6">[45]Varios!#REF!</definedName>
    <definedName name="Placa">[45]Varios!#REF!</definedName>
    <definedName name="Plazo1">[9]Resumen!$K$8:$K$35</definedName>
    <definedName name="Plazo2">[9]Resumen!$O$8:$O$35</definedName>
    <definedName name="Plazo3">[9]Resumen!$S$8:$S$35</definedName>
    <definedName name="Plazo4">[9]Resumen!$W$8:$W$35</definedName>
    <definedName name="PlazoOp">[9]Resumen!$G$8:$G$35</definedName>
    <definedName name="PPPYE" localSheetId="1">#REF!</definedName>
    <definedName name="PPPYE" localSheetId="7">#REF!</definedName>
    <definedName name="PPPYE" localSheetId="4">#REF!</definedName>
    <definedName name="PPPYE" localSheetId="5">#REF!</definedName>
    <definedName name="PPPYE" localSheetId="0">#REF!</definedName>
    <definedName name="PPPYE" localSheetId="2">#REF!</definedName>
    <definedName name="PPPYE" localSheetId="6">#REF!</definedName>
    <definedName name="PPPYE">#REF!</definedName>
    <definedName name="presidencia" localSheetId="1">#REF!</definedName>
    <definedName name="presidencia" localSheetId="7">#REF!</definedName>
    <definedName name="presidencia" localSheetId="4">#REF!</definedName>
    <definedName name="presidencia" localSheetId="5">#REF!</definedName>
    <definedName name="presidencia" localSheetId="0">#REF!</definedName>
    <definedName name="presidencia" localSheetId="2">#REF!</definedName>
    <definedName name="presidencia" localSheetId="6">#REF!</definedName>
    <definedName name="presidencia">#REF!</definedName>
    <definedName name="PRIMER_IDIOMA" localSheetId="1">[46]Idiomas!$D$4</definedName>
    <definedName name="PRIMER_IDIOMA" localSheetId="7">[47]Idiomas!$D$4</definedName>
    <definedName name="PRIMER_IDIOMA" localSheetId="4">[47]Idiomas!$D$4</definedName>
    <definedName name="PRIMER_IDIOMA" localSheetId="5">[47]Idiomas!$D$4</definedName>
    <definedName name="PRIMER_IDIOMA" localSheetId="0">[46]Idiomas!$D$4</definedName>
    <definedName name="PRIMER_IDIOMA" localSheetId="2">[46]Idiomas!$D$4</definedName>
    <definedName name="PRIMER_IDIOMA" localSheetId="6">[46]Idiomas!$D$4</definedName>
    <definedName name="PRIMER_IDIOMA">[46]Idiomas!$D$4</definedName>
    <definedName name="PRO" localSheetId="1">#REF!</definedName>
    <definedName name="PRO" localSheetId="7">#REF!</definedName>
    <definedName name="PRO" localSheetId="4">#REF!</definedName>
    <definedName name="PRO" localSheetId="5">#REF!</definedName>
    <definedName name="PRO" localSheetId="0">#REF!</definedName>
    <definedName name="PRO" localSheetId="2">#REF!</definedName>
    <definedName name="PRO" localSheetId="6">#REF!</definedName>
    <definedName name="PRO">#REF!</definedName>
    <definedName name="ProdU" localSheetId="1">#REF!</definedName>
    <definedName name="ProdU" localSheetId="7">#REF!</definedName>
    <definedName name="ProdU" localSheetId="4">#REF!</definedName>
    <definedName name="ProdU" localSheetId="5">#REF!</definedName>
    <definedName name="ProdU" localSheetId="0">#REF!</definedName>
    <definedName name="ProdU" localSheetId="2">#REF!</definedName>
    <definedName name="ProdU" localSheetId="6">#REF!</definedName>
    <definedName name="ProdU">#REF!</definedName>
    <definedName name="PROY" localSheetId="1">'[2]Serie TRM'!#REF!</definedName>
    <definedName name="PROY" localSheetId="7">'[2]Serie TRM'!#REF!</definedName>
    <definedName name="PROY" localSheetId="4">'[2]Serie TRM'!#REF!</definedName>
    <definedName name="PROY" localSheetId="5">'[2]Serie TRM'!#REF!</definedName>
    <definedName name="PROY" localSheetId="0">'[2]Serie TRM'!#REF!</definedName>
    <definedName name="PROY" localSheetId="2">'[2]Serie TRM'!#REF!</definedName>
    <definedName name="PROY" localSheetId="6">'[2]Serie TRM'!#REF!</definedName>
    <definedName name="PROY">'[2]Serie TRM'!#REF!</definedName>
    <definedName name="PYG" localSheetId="1">#REF!</definedName>
    <definedName name="PYG" localSheetId="7">#REF!</definedName>
    <definedName name="PYG" localSheetId="4">#REF!</definedName>
    <definedName name="PYG" localSheetId="5">#REF!</definedName>
    <definedName name="PYG" localSheetId="0">#REF!</definedName>
    <definedName name="PYG" localSheetId="2">#REF!</definedName>
    <definedName name="PYG" localSheetId="6">#REF!</definedName>
    <definedName name="PYG">#REF!</definedName>
    <definedName name="Q">[18]MOVIMIENTO!$C$8:$C$27,[18]MOVIMIENTO!$C$37:$C$52,[18]MOVIMIENTO!$C$29:$C$35,[18]MOVIMIENTO!$C$54:$C$70,[18]MOVIMIENTO!$C$72:$C$75,[18]MOVIMIENTO!$C$77:$C$85,[18]MOVIMIENTO!$C$87:$C$96</definedName>
    <definedName name="Razon" localSheetId="1">#REF!</definedName>
    <definedName name="Razon" localSheetId="7">#REF!</definedName>
    <definedName name="Razon" localSheetId="4">#REF!</definedName>
    <definedName name="Razon" localSheetId="5">#REF!</definedName>
    <definedName name="Razon" localSheetId="0">#REF!</definedName>
    <definedName name="Razon" localSheetId="2">#REF!</definedName>
    <definedName name="Razon" localSheetId="6">#REF!</definedName>
    <definedName name="Razon">#REF!</definedName>
    <definedName name="RE" localSheetId="1">'[2]Serie TRM'!#REF!</definedName>
    <definedName name="RE" localSheetId="7">'[2]Serie TRM'!#REF!</definedName>
    <definedName name="RE" localSheetId="4">'[2]Serie TRM'!#REF!</definedName>
    <definedName name="RE" localSheetId="5">'[2]Serie TRM'!#REF!</definedName>
    <definedName name="RE" localSheetId="0">'[2]Serie TRM'!#REF!</definedName>
    <definedName name="RE" localSheetId="2">'[2]Serie TRM'!#REF!</definedName>
    <definedName name="RE" localSheetId="6">'[2]Serie TRM'!#REF!</definedName>
    <definedName name="RE">'[2]Serie TRM'!#REF!</definedName>
    <definedName name="Recover" localSheetId="1">#REF!</definedName>
    <definedName name="Recover" localSheetId="7">#REF!</definedName>
    <definedName name="Recover" localSheetId="4">#REF!</definedName>
    <definedName name="Recover" localSheetId="5">#REF!</definedName>
    <definedName name="Recover" localSheetId="0">#REF!</definedName>
    <definedName name="Recover" localSheetId="2">#REF!</definedName>
    <definedName name="Recover" localSheetId="6">#REF!</definedName>
    <definedName name="Recover">#REF!</definedName>
    <definedName name="reistem2" localSheetId="1">#REF!</definedName>
    <definedName name="reistem2" localSheetId="7">#REF!</definedName>
    <definedName name="reistem2" localSheetId="4">#REF!</definedName>
    <definedName name="reistem2" localSheetId="5">#REF!</definedName>
    <definedName name="reistem2" localSheetId="0">#REF!</definedName>
    <definedName name="reistem2" localSheetId="2">#REF!</definedName>
    <definedName name="reistem2" localSheetId="6">#REF!</definedName>
    <definedName name="reistem2">#REF!</definedName>
    <definedName name="resitem" localSheetId="1">#REF!</definedName>
    <definedName name="resitem" localSheetId="7">#REF!</definedName>
    <definedName name="resitem" localSheetId="5">#REF!</definedName>
    <definedName name="resitem" localSheetId="0">#REF!</definedName>
    <definedName name="resitem" localSheetId="2">#REF!</definedName>
    <definedName name="resitem" localSheetId="6">#REF!</definedName>
    <definedName name="resitem">#REF!</definedName>
    <definedName name="RL" localSheetId="1">#REF!</definedName>
    <definedName name="RL" localSheetId="7">#REF!</definedName>
    <definedName name="RL" localSheetId="6">#REF!</definedName>
    <definedName name="RL">#REF!</definedName>
    <definedName name="rrhh" localSheetId="1">#REF!</definedName>
    <definedName name="rrhh" localSheetId="7">#REF!</definedName>
    <definedName name="rrhh" localSheetId="6">#REF!</definedName>
    <definedName name="rrhh">#REF!</definedName>
    <definedName name="rrr" localSheetId="1">#REF!</definedName>
    <definedName name="rrr" localSheetId="7">#REF!</definedName>
    <definedName name="rrr" localSheetId="6">#REF!</definedName>
    <definedName name="rrr">#REF!</definedName>
    <definedName name="RT" localSheetId="1">#REF!</definedName>
    <definedName name="RT" localSheetId="7">#REF!</definedName>
    <definedName name="RT" localSheetId="6">#REF!</definedName>
    <definedName name="RT">#REF!</definedName>
    <definedName name="S" localSheetId="1">#REF!</definedName>
    <definedName name="S" localSheetId="7">#REF!</definedName>
    <definedName name="S" localSheetId="6">#REF!</definedName>
    <definedName name="S">#REF!</definedName>
    <definedName name="SALDOABRIL">[28]ABRIL!$AA$3:$AA$1048576</definedName>
    <definedName name="SALDOJULIO">[28]JULIO!$AA$2:$AA$1214</definedName>
    <definedName name="SALDOJUNIO">'[28]JUNIO '!$AA$2:$AA$1048576</definedName>
    <definedName name="SALDOMAYO">[28]MAYO!$AA$3:$AA$1048576</definedName>
    <definedName name="SAP" localSheetId="1">#REF!</definedName>
    <definedName name="SAP" localSheetId="7">#REF!</definedName>
    <definedName name="SAP" localSheetId="4">#REF!</definedName>
    <definedName name="SAP" localSheetId="5">#REF!</definedName>
    <definedName name="SAP" localSheetId="0">#REF!</definedName>
    <definedName name="SAP" localSheetId="2">#REF!</definedName>
    <definedName name="SAP" localSheetId="6">#REF!</definedName>
    <definedName name="SAP">#REF!</definedName>
    <definedName name="SAPO" localSheetId="1">#REF!</definedName>
    <definedName name="SAPO" localSheetId="7">#REF!</definedName>
    <definedName name="SAPO" localSheetId="4">#REF!</definedName>
    <definedName name="SAPO" localSheetId="5">#REF!</definedName>
    <definedName name="SAPO" localSheetId="0">#REF!</definedName>
    <definedName name="SAPO" localSheetId="2">#REF!</definedName>
    <definedName name="SAPO" localSheetId="6">#REF!</definedName>
    <definedName name="SAPO">#REF!</definedName>
    <definedName name="SDASDAS" localSheetId="1">#REF!</definedName>
    <definedName name="SDASDAS" localSheetId="7">#REF!</definedName>
    <definedName name="SDASDAS" localSheetId="4">#REF!</definedName>
    <definedName name="SDASDAS" localSheetId="5">#REF!</definedName>
    <definedName name="SDASDAS" localSheetId="0">#REF!</definedName>
    <definedName name="SDASDAS" localSheetId="2">#REF!</definedName>
    <definedName name="SDASDAS" localSheetId="6">#REF!</definedName>
    <definedName name="SDASDAS">#REF!</definedName>
    <definedName name="SEP" localSheetId="1">#REF!</definedName>
    <definedName name="SEP" localSheetId="7">#REF!</definedName>
    <definedName name="SEP" localSheetId="6">#REF!</definedName>
    <definedName name="SEP">#REF!</definedName>
    <definedName name="supply" localSheetId="1">#REF!</definedName>
    <definedName name="supply" localSheetId="7">#REF!</definedName>
    <definedName name="supply" localSheetId="6">#REF!</definedName>
    <definedName name="supply">#REF!</definedName>
    <definedName name="SXP">[9]Resumen!$Z$8:$Z$35</definedName>
    <definedName name="t" localSheetId="1">#REF!</definedName>
    <definedName name="t" localSheetId="7">#REF!</definedName>
    <definedName name="t" localSheetId="4">#REF!</definedName>
    <definedName name="t" localSheetId="5">#REF!</definedName>
    <definedName name="t" localSheetId="0">#REF!</definedName>
    <definedName name="t" localSheetId="2">#REF!</definedName>
    <definedName name="t" localSheetId="6">#REF!</definedName>
    <definedName name="t">#REF!</definedName>
    <definedName name="TableName">"Dummy"</definedName>
    <definedName name="TASA" localSheetId="1">'[2]Serie TRM'!#REF!</definedName>
    <definedName name="TASA" localSheetId="7">'[2]Serie TRM'!#REF!</definedName>
    <definedName name="TASA" localSheetId="4">'[2]Serie TRM'!#REF!</definedName>
    <definedName name="TASA" localSheetId="5">'[2]Serie TRM'!#REF!</definedName>
    <definedName name="TASA" localSheetId="0">'[2]Serie TRM'!#REF!</definedName>
    <definedName name="TASA" localSheetId="2">'[2]Serie TRM'!#REF!</definedName>
    <definedName name="TASA" localSheetId="6">'[2]Serie TRM'!#REF!</definedName>
    <definedName name="TASA">'[2]Serie TRM'!#REF!</definedName>
    <definedName name="TC">'[16]T.C.'!$A$1:$H$65536</definedName>
    <definedName name="TextRefCopy1" localSheetId="1">#REF!</definedName>
    <definedName name="TextRefCopy1" localSheetId="7">#REF!</definedName>
    <definedName name="TextRefCopy1" localSheetId="4">#REF!</definedName>
    <definedName name="TextRefCopy1" localSheetId="5">#REF!</definedName>
    <definedName name="TextRefCopy1" localSheetId="0">#REF!</definedName>
    <definedName name="TextRefCopy1" localSheetId="2">#REF!</definedName>
    <definedName name="TextRefCopy1" localSheetId="6">#REF!</definedName>
    <definedName name="TextRefCopy1">#REF!</definedName>
    <definedName name="TextRefCopy2" localSheetId="1">#REF!</definedName>
    <definedName name="TextRefCopy2" localSheetId="7">#REF!</definedName>
    <definedName name="TextRefCopy2" localSheetId="4">#REF!</definedName>
    <definedName name="TextRefCopy2" localSheetId="5">#REF!</definedName>
    <definedName name="TextRefCopy2" localSheetId="0">#REF!</definedName>
    <definedName name="TextRefCopy2" localSheetId="2">#REF!</definedName>
    <definedName name="TextRefCopy2" localSheetId="6">#REF!</definedName>
    <definedName name="TextRefCopy2">#REF!</definedName>
    <definedName name="TextRefCopy3" localSheetId="1">#REF!</definedName>
    <definedName name="TextRefCopy3" localSheetId="7">#REF!</definedName>
    <definedName name="TextRefCopy3" localSheetId="4">#REF!</definedName>
    <definedName name="TextRefCopy3" localSheetId="5">#REF!</definedName>
    <definedName name="TextRefCopy3" localSheetId="0">#REF!</definedName>
    <definedName name="TextRefCopy3" localSheetId="2">#REF!</definedName>
    <definedName name="TextRefCopy3" localSheetId="6">#REF!</definedName>
    <definedName name="TextRefCopy3">#REF!</definedName>
    <definedName name="TextRefCopyRangeCount" hidden="1">3</definedName>
    <definedName name="thrty56" localSheetId="1">#REF!</definedName>
    <definedName name="thrty56" localSheetId="7">#REF!</definedName>
    <definedName name="thrty56" localSheetId="4">#REF!</definedName>
    <definedName name="thrty56" localSheetId="5">#REF!</definedName>
    <definedName name="thrty56" localSheetId="0">#REF!</definedName>
    <definedName name="thrty56" localSheetId="2">#REF!</definedName>
    <definedName name="thrty56" localSheetId="6">#REF!</definedName>
    <definedName name="thrty56">#REF!</definedName>
    <definedName name="_xlnm.Print_Titles" localSheetId="1">'Banco de Bogotá 0553 '!$2:$15</definedName>
    <definedName name="_xlnm.Print_Titles" localSheetId="7">#REF!</definedName>
    <definedName name="_xlnm.Print_Titles" localSheetId="4">#REF!</definedName>
    <definedName name="_xlnm.Print_Titles" localSheetId="5">#REF!</definedName>
    <definedName name="_xlnm.Print_Titles" localSheetId="0">'Bancolombia Cta 1331  '!$2:$15</definedName>
    <definedName name="_xlnm.Print_Titles" localSheetId="2">'Bancolombia Cta 690 '!$2:$15</definedName>
    <definedName name="_xlnm.Print_Titles" localSheetId="6">#REF!</definedName>
    <definedName name="_xlnm.Print_Titles">#REF!</definedName>
    <definedName name="Títulos_a_imprimir_IM" localSheetId="1">#REF!</definedName>
    <definedName name="Títulos_a_imprimir_IM" localSheetId="7">#REF!</definedName>
    <definedName name="Títulos_a_imprimir_IM" localSheetId="4">#REF!</definedName>
    <definedName name="Títulos_a_imprimir_IM" localSheetId="5">#REF!</definedName>
    <definedName name="Títulos_a_imprimir_IM" localSheetId="0">#REF!</definedName>
    <definedName name="Títulos_a_imprimir_IM" localSheetId="2">#REF!</definedName>
    <definedName name="Títulos_a_imprimir_IM" localSheetId="6">#REF!</definedName>
    <definedName name="Títulos_a_imprimir_IM">#REF!</definedName>
    <definedName name="tr" localSheetId="1">#REF!</definedName>
    <definedName name="tr" localSheetId="7">#REF!</definedName>
    <definedName name="tr" localSheetId="6">#REF!</definedName>
    <definedName name="tr">#REF!</definedName>
    <definedName name="Trazon" localSheetId="1">#REF!</definedName>
    <definedName name="Trazon" localSheetId="7">#REF!</definedName>
    <definedName name="Trazon" localSheetId="6">#REF!</definedName>
    <definedName name="Trazon">#REF!</definedName>
    <definedName name="TRE" localSheetId="1">#REF!</definedName>
    <definedName name="TRE" localSheetId="7">#REF!</definedName>
    <definedName name="TRE" localSheetId="6">#REF!</definedName>
    <definedName name="TRE">#REF!</definedName>
    <definedName name="trm" localSheetId="1">#REF!</definedName>
    <definedName name="trm" localSheetId="7">#REF!</definedName>
    <definedName name="trm" localSheetId="6">#REF!</definedName>
    <definedName name="trm">#REF!</definedName>
    <definedName name="TRMI" localSheetId="1">#REF!</definedName>
    <definedName name="TRMI" localSheetId="7">#REF!</definedName>
    <definedName name="TRMI" localSheetId="6">#REF!</definedName>
    <definedName name="TRMI">#REF!</definedName>
    <definedName name="Turbo419" localSheetId="1">[45]Varios!#REF!</definedName>
    <definedName name="Turbo419" localSheetId="7">[45]Varios!#REF!</definedName>
    <definedName name="Turbo419" localSheetId="4">[45]Varios!#REF!</definedName>
    <definedName name="Turbo419" localSheetId="5">[45]Varios!#REF!</definedName>
    <definedName name="Turbo419" localSheetId="0">[45]Varios!#REF!</definedName>
    <definedName name="Turbo419" localSheetId="2">[45]Varios!#REF!</definedName>
    <definedName name="Turbo419" localSheetId="6">[45]Varios!#REF!</definedName>
    <definedName name="Turbo419">[45]Varios!#REF!</definedName>
    <definedName name="TY" localSheetId="1">#REF!</definedName>
    <definedName name="TY" localSheetId="7">#REF!</definedName>
    <definedName name="TY" localSheetId="4">#REF!</definedName>
    <definedName name="TY" localSheetId="5">#REF!</definedName>
    <definedName name="TY" localSheetId="0">#REF!</definedName>
    <definedName name="TY" localSheetId="2">#REF!</definedName>
    <definedName name="TY" localSheetId="6">#REF!</definedName>
    <definedName name="TY">#REF!</definedName>
    <definedName name="UtNeta98" localSheetId="1">[29]base!#REF!</definedName>
    <definedName name="UtNeta98" localSheetId="7">[29]base!#REF!</definedName>
    <definedName name="UtNeta98" localSheetId="4">[29]base!#REF!</definedName>
    <definedName name="UtNeta98" localSheetId="5">[29]base!#REF!</definedName>
    <definedName name="UtNeta98" localSheetId="0">[29]base!#REF!</definedName>
    <definedName name="UtNeta98" localSheetId="2">[29]base!#REF!</definedName>
    <definedName name="UtNeta98" localSheetId="6">[29]base!#REF!</definedName>
    <definedName name="UtNeta98">[29]base!#REF!</definedName>
    <definedName name="UtNeta99" localSheetId="1">[29]base!#REF!</definedName>
    <definedName name="UtNeta99" localSheetId="7">[29]base!#REF!</definedName>
    <definedName name="UtNeta99" localSheetId="4">[29]base!#REF!</definedName>
    <definedName name="UtNeta99" localSheetId="5">[29]base!#REF!</definedName>
    <definedName name="UtNeta99" localSheetId="0">[29]base!#REF!</definedName>
    <definedName name="UtNeta99" localSheetId="2">[29]base!#REF!</definedName>
    <definedName name="UtNeta99" localSheetId="6">[29]base!#REF!</definedName>
    <definedName name="UtNeta99">[29]base!#REF!</definedName>
    <definedName name="var" localSheetId="1">#REF!</definedName>
    <definedName name="var" localSheetId="7">#REF!</definedName>
    <definedName name="var" localSheetId="4">#REF!</definedName>
    <definedName name="var" localSheetId="5">#REF!</definedName>
    <definedName name="var" localSheetId="0">#REF!</definedName>
    <definedName name="var" localSheetId="2">#REF!</definedName>
    <definedName name="var" localSheetId="6">#REF!</definedName>
    <definedName name="var">#REF!</definedName>
    <definedName name="VarTrm" localSheetId="1">#REF!</definedName>
    <definedName name="VarTrm" localSheetId="7">#REF!</definedName>
    <definedName name="VarTrm" localSheetId="4">#REF!</definedName>
    <definedName name="VarTrm" localSheetId="5">#REF!</definedName>
    <definedName name="VarTrm" localSheetId="0">#REF!</definedName>
    <definedName name="VarTrm" localSheetId="2">#REF!</definedName>
    <definedName name="VarTrm" localSheetId="6">#REF!</definedName>
    <definedName name="VarTrm">#REF!</definedName>
    <definedName name="VARTRM1" localSheetId="1" hidden="1">#REF!</definedName>
    <definedName name="VARTRM1" localSheetId="7" hidden="1">#REF!</definedName>
    <definedName name="VARTRM1" localSheetId="4" hidden="1">#REF!</definedName>
    <definedName name="VARTRM1" localSheetId="5" hidden="1">#REF!</definedName>
    <definedName name="VARTRM1" localSheetId="0" hidden="1">#REF!</definedName>
    <definedName name="VARTRM1" localSheetId="2" hidden="1">#REF!</definedName>
    <definedName name="VARTRM1" localSheetId="6" hidden="1">#REF!</definedName>
    <definedName name="VARTRM1" hidden="1">#REF!</definedName>
    <definedName name="vartrm2" localSheetId="1" hidden="1">#REF!</definedName>
    <definedName name="vartrm2" localSheetId="7" hidden="1">#REF!</definedName>
    <definedName name="vartrm2" localSheetId="6" hidden="1">#REF!</definedName>
    <definedName name="vartrm2" hidden="1">#REF!</definedName>
    <definedName name="VarTrmII" localSheetId="1">#REF!</definedName>
    <definedName name="VarTrmII" localSheetId="7">#REF!</definedName>
    <definedName name="VarTrmII" localSheetId="6">#REF!</definedName>
    <definedName name="VarTrmII">#REF!</definedName>
    <definedName name="Vinculo" localSheetId="1">#REF!</definedName>
    <definedName name="Vinculo" localSheetId="7">#REF!</definedName>
    <definedName name="Vinculo" localSheetId="6">#REF!</definedName>
    <definedName name="Vinculo">#REF!</definedName>
    <definedName name="Vinculo2" localSheetId="1">#REF!</definedName>
    <definedName name="Vinculo2" localSheetId="7">#REF!</definedName>
    <definedName name="Vinculo2" localSheetId="6">#REF!</definedName>
    <definedName name="Vinculo2">#REF!</definedName>
    <definedName name="Vinculo3" localSheetId="1">#REF!</definedName>
    <definedName name="Vinculo3" localSheetId="7">#REF!</definedName>
    <definedName name="Vinculo3" localSheetId="6">#REF!</definedName>
    <definedName name="Vinculo3">#REF!</definedName>
    <definedName name="Vinculo4" localSheetId="1">#REF!</definedName>
    <definedName name="Vinculo4" localSheetId="7">#REF!</definedName>
    <definedName name="Vinculo4" localSheetId="6">#REF!</definedName>
    <definedName name="Vinculo4">#REF!</definedName>
    <definedName name="x" localSheetId="1">'[2]Serie TRM'!#REF!</definedName>
    <definedName name="x" localSheetId="7">'[2]Serie TRM'!#REF!</definedName>
    <definedName name="x" localSheetId="4">'[2]Serie TRM'!#REF!</definedName>
    <definedName name="x" localSheetId="5">'[2]Serie TRM'!#REF!</definedName>
    <definedName name="x" localSheetId="0">'[2]Serie TRM'!#REF!</definedName>
    <definedName name="x" localSheetId="2">'[2]Serie TRM'!#REF!</definedName>
    <definedName name="x" localSheetId="6">'[2]Serie TRM'!#REF!</definedName>
    <definedName name="x">'[2]Serie TRM'!#REF!</definedName>
    <definedName name="xxx" localSheetId="1">[15]PCCODICIEMBRE!#REF!</definedName>
    <definedName name="xxx" localSheetId="7">[15]PCCODICIEMBRE!#REF!</definedName>
    <definedName name="xxx" localSheetId="4">[15]PCCODICIEMBRE!#REF!</definedName>
    <definedName name="xxx" localSheetId="5">[15]PCCODICIEMBRE!#REF!</definedName>
    <definedName name="xxx" localSheetId="0">[15]PCCODICIEMBRE!#REF!</definedName>
    <definedName name="xxx" localSheetId="2">[15]PCCODICIEMBRE!#REF!</definedName>
    <definedName name="xxx" localSheetId="6">[15]PCCODICIEMBRE!#REF!</definedName>
    <definedName name="xxx">[15]PCCODICIEMBRE!#REF!</definedName>
    <definedName name="y" localSheetId="1">'[48]Serie TRM'!#REF!</definedName>
    <definedName name="y" localSheetId="7">'[48]Serie TRM'!#REF!</definedName>
    <definedName name="y" localSheetId="4">'[48]Serie TRM'!#REF!</definedName>
    <definedName name="y" localSheetId="5">'[48]Serie TRM'!#REF!</definedName>
    <definedName name="y" localSheetId="0">'[48]Serie TRM'!#REF!</definedName>
    <definedName name="y" localSheetId="2">'[48]Serie TRM'!#REF!</definedName>
    <definedName name="y" localSheetId="6">'[48]Serie TRM'!#REF!</definedName>
    <definedName name="y">'[48]Serie TRM'!#REF!</definedName>
    <definedName name="YUI" localSheetId="1">[33]Costos!#REF!</definedName>
    <definedName name="YUI" localSheetId="7">[33]Costos!#REF!</definedName>
    <definedName name="YUI" localSheetId="4">[33]Costos!#REF!</definedName>
    <definedName name="YUI" localSheetId="5">[33]Costos!#REF!</definedName>
    <definedName name="YUI" localSheetId="0">[33]Costos!#REF!</definedName>
    <definedName name="YUI" localSheetId="2">[33]Costos!#REF!</definedName>
    <definedName name="YUI" localSheetId="6">[33]Costos!#REF!</definedName>
    <definedName name="YUI">[33]Costos!#REF!</definedName>
    <definedName name="YUI_24">[33]Costos!#REF!</definedName>
    <definedName name="YUI_25">[33]Costos!#REF!</definedName>
    <definedName name="YUI_26">[33]Costos!#REF!</definedName>
    <definedName name="YUI_27">[33]Costos!#REF!</definedName>
    <definedName name="YUI_28">[32]Costos!#REF!</definedName>
    <definedName name="YUI_4">[32]Costos!#REF!</definedName>
    <definedName name="YUI2">[33]Costos!#REF!</definedName>
    <definedName name="YUI2_24">[33]Costos!#REF!</definedName>
    <definedName name="YUI2_25">[33]Costos!#REF!</definedName>
    <definedName name="YUI2_26">[33]Costos!#REF!</definedName>
    <definedName name="YUI2_27">[33]Costos!#REF!</definedName>
    <definedName name="YUI2_28">[49]Costos!#REF!</definedName>
    <definedName name="YUI2_4">[49]Costos!#REF!</definedName>
    <definedName name="YURY" localSheetId="1">#REF!</definedName>
    <definedName name="YURY" localSheetId="7">#REF!</definedName>
    <definedName name="YURY" localSheetId="4">#REF!</definedName>
    <definedName name="YURY" localSheetId="5">#REF!</definedName>
    <definedName name="YURY" localSheetId="0">#REF!</definedName>
    <definedName name="YURY" localSheetId="2">#REF!</definedName>
    <definedName name="YURY" localSheetId="6">#REF!</definedName>
    <definedName name="YURY">#REF!</definedName>
    <definedName name="YUUU" localSheetId="1">#REF!</definedName>
    <definedName name="YUUU" localSheetId="7">#REF!</definedName>
    <definedName name="YUUU" localSheetId="4">#REF!</definedName>
    <definedName name="YUUU" localSheetId="5">#REF!</definedName>
    <definedName name="YUUU" localSheetId="0">#REF!</definedName>
    <definedName name="YUUU" localSheetId="2">#REF!</definedName>
    <definedName name="YUUU" localSheetId="6">#REF!</definedName>
    <definedName name="YUUU">#REF!</definedName>
    <definedName name="ZEUS" localSheetId="1">#REF!</definedName>
    <definedName name="ZEUS" localSheetId="7">#REF!</definedName>
    <definedName name="ZEUS" localSheetId="5">#REF!</definedName>
    <definedName name="ZEUS" localSheetId="0">#REF!</definedName>
    <definedName name="ZEUS" localSheetId="2">#REF!</definedName>
    <definedName name="ZEUS" localSheetId="6">#REF!</definedName>
    <definedName name="ZEUS">#REF!</definedName>
    <definedName name="zona" localSheetId="1">'[50]adic(Calidad)'!#REF!</definedName>
    <definedName name="zona" localSheetId="7">'[50]adic(Calidad)'!#REF!</definedName>
    <definedName name="zona" localSheetId="4">'[50]adic(Calidad)'!#REF!</definedName>
    <definedName name="zona" localSheetId="5">'[50]adic(Calidad)'!#REF!</definedName>
    <definedName name="zona" localSheetId="0">'[50]adic(Calidad)'!#REF!</definedName>
    <definedName name="zona" localSheetId="2">'[50]adic(Calidad)'!#REF!</definedName>
    <definedName name="zona" localSheetId="6">'[50]adic(Calidad)'!#REF!</definedName>
    <definedName name="zona">'[50]adic(Calidad)'!#REF!</definedName>
    <definedName name="ZONA1" localSheetId="1">#REF!,#REF!,#REF!</definedName>
    <definedName name="ZONA1" localSheetId="7">#REF!,#REF!,#REF!</definedName>
    <definedName name="ZONA1" localSheetId="4">#REF!,#REF!,#REF!</definedName>
    <definedName name="ZONA1" localSheetId="5">#REF!,#REF!,#REF!</definedName>
    <definedName name="ZONA1" localSheetId="0">#REF!,#REF!,#REF!</definedName>
    <definedName name="ZONA1" localSheetId="2">#REF!,#REF!,#REF!</definedName>
    <definedName name="ZONA1" localSheetId="6">#REF!,#REF!,#REF!</definedName>
    <definedName name="ZONA1">#REF!,#REF!,#REF!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21" l="1"/>
  <c r="H14" i="121"/>
  <c r="H37" i="121" s="1"/>
  <c r="H11" i="121"/>
  <c r="H24" i="120"/>
  <c r="H14" i="120"/>
  <c r="H37" i="120" s="1"/>
  <c r="H11" i="120"/>
  <c r="H30" i="119"/>
  <c r="H25" i="119"/>
  <c r="H37" i="119" s="1"/>
  <c r="H20" i="119"/>
  <c r="H14" i="119"/>
  <c r="H11" i="119"/>
  <c r="H29" i="118"/>
  <c r="H24" i="118"/>
  <c r="H14" i="118"/>
  <c r="H36" i="118" s="1"/>
  <c r="H11" i="118"/>
  <c r="H39" i="117"/>
  <c r="H34" i="117"/>
  <c r="H26" i="117"/>
  <c r="H16" i="117"/>
  <c r="H57" i="117" s="1"/>
  <c r="H13" i="117"/>
  <c r="H203" i="116"/>
  <c r="H192" i="116"/>
  <c r="H181" i="116"/>
  <c r="H16" i="116"/>
  <c r="H531" i="116" s="1"/>
  <c r="H13" i="116"/>
  <c r="H71" i="115"/>
  <c r="H64" i="115"/>
  <c r="H56" i="115"/>
  <c r="H16" i="115" s="1"/>
  <c r="H84" i="115" s="1"/>
  <c r="H13" i="115"/>
  <c r="H498" i="114"/>
  <c r="H489" i="114"/>
  <c r="H480" i="114"/>
  <c r="H16" i="114"/>
  <c r="H579" i="114" s="1"/>
  <c r="H13" i="114"/>
</calcChain>
</file>

<file path=xl/sharedStrings.xml><?xml version="1.0" encoding="utf-8"?>
<sst xmlns="http://schemas.openxmlformats.org/spreadsheetml/2006/main" count="3114" uniqueCount="1915">
  <si>
    <t>Comercializadora Calypso SAS</t>
  </si>
  <si>
    <t>Conciliación Bancaria</t>
  </si>
  <si>
    <t>Nit: 860075208</t>
  </si>
  <si>
    <t>No.</t>
  </si>
  <si>
    <t>Fecha Contabilización</t>
  </si>
  <si>
    <t>Fecha Documento</t>
  </si>
  <si>
    <t>Descripción</t>
  </si>
  <si>
    <t>No. Aprobación</t>
  </si>
  <si>
    <t>Documento</t>
  </si>
  <si>
    <t>Valor</t>
  </si>
  <si>
    <t>Comentario</t>
  </si>
  <si>
    <t>Saldo según Extracto</t>
  </si>
  <si>
    <t>Saldo Según Libros</t>
  </si>
  <si>
    <t>Diferencia</t>
  </si>
  <si>
    <t>(-) Consignaciones y NC sin registrar en libros</t>
  </si>
  <si>
    <t>(-) Cheques pendientes de cobro y ND no tomadas por el banco</t>
  </si>
  <si>
    <t>(+) ND y comprobantes de egreso sin registrar en libros</t>
  </si>
  <si>
    <t>(+) Consignaciones sin registrar en el extracto bancario</t>
  </si>
  <si>
    <t>Diferencia Conciliada</t>
  </si>
  <si>
    <t>Elaboró: Adriana Caina</t>
  </si>
  <si>
    <t>Revisó: Yomiry Linares</t>
  </si>
  <si>
    <t>Aprobó: Judy Beltrán</t>
  </si>
  <si>
    <t>Partidas identificadas y registradas del mes siguiente</t>
  </si>
  <si>
    <t>Reclasificaciones entre cuentas bancarias</t>
  </si>
  <si>
    <t>Partidas pendientes por identificar</t>
  </si>
  <si>
    <t>Ajustes por parte de Nomina y Tesorería</t>
  </si>
  <si>
    <t>Banco de Bogotá Ahorros 095000741</t>
  </si>
  <si>
    <t>Cuenta Contable 11200501</t>
  </si>
  <si>
    <t xml:space="preserve">Comentario </t>
  </si>
  <si>
    <t>Banco de Bogotá Cta 05532449-5 E-commerce</t>
  </si>
  <si>
    <t>Cuenta Contable 11100510</t>
  </si>
  <si>
    <t>Cuenta Virtual Mercado Pago</t>
  </si>
  <si>
    <t>Cuenta Contable 11100517</t>
  </si>
  <si>
    <t>Colpatria Cuenta Corriente 4621018529</t>
  </si>
  <si>
    <t>Cuenta Contable 11100507</t>
  </si>
  <si>
    <t>Banco Itaú Ahorros 003-39292-44</t>
  </si>
  <si>
    <t>Cuenta Contable 11100511</t>
  </si>
  <si>
    <t>Banco de Bogotá Cuenta Corriente 055324479</t>
  </si>
  <si>
    <t>Cuenta Contable 11100502</t>
  </si>
  <si>
    <t>Seguimiento</t>
  </si>
  <si>
    <t>Observaciones</t>
  </si>
  <si>
    <t>Regional</t>
  </si>
  <si>
    <t>Pago realizado por Daviplata</t>
  </si>
  <si>
    <t>Revisar a quien corresponde</t>
  </si>
  <si>
    <t>Bancolombia Cuenta Corriente 13321960531</t>
  </si>
  <si>
    <t>Cuenta Contable 11100501</t>
  </si>
  <si>
    <t>*</t>
  </si>
  <si>
    <t xml:space="preserve"> CONSIG LOCAL REFEREN EFECTIVO</t>
  </si>
  <si>
    <t xml:space="preserve"> TRANSFERENCIA CTA SUC VIRTUAL</t>
  </si>
  <si>
    <t>LLAMAR</t>
  </si>
  <si>
    <t>No está creado como cliente en el sistema</t>
  </si>
  <si>
    <t>SANTANDERES</t>
  </si>
  <si>
    <t>CENTRO SUR</t>
  </si>
  <si>
    <t xml:space="preserve"> TRANSFERENCIA DESDE NEQUI</t>
  </si>
  <si>
    <t>REF. 13321960531</t>
  </si>
  <si>
    <t xml:space="preserve"> PAGO DE PROV CCA ALIANZA FID</t>
  </si>
  <si>
    <t>REF. 8600752087</t>
  </si>
  <si>
    <t xml:space="preserve"> PAGO INTERBANC COMFENALCO</t>
  </si>
  <si>
    <t>Pago PAGOS hecho por COMFENALCO con NIT 8902015787 por concepto 157561069 y referencia 000000000000 Referencias adicionales: 000000000000000000000000 - 000000000000000000000000</t>
  </si>
  <si>
    <t>REVISAR CON CAJA DE COMPENSACION FAMILIAR  COMFENALCO SANTANDER</t>
  </si>
  <si>
    <t>RTA BANCO 28-May: CB 13983 BRUSELAS II HUILA</t>
  </si>
  <si>
    <t>Traslado de fondos por SUCURSAL VIRTUAL del producto 068-82 013527</t>
  </si>
  <si>
    <t>RTA BANCO 16-May: ROSA ANGELICA GONZALEZ CASTILLO  CC 28553983</t>
  </si>
  <si>
    <t>Traslado de fondos por SUCURSAL VIRTUAL del producto 907-45 632695</t>
  </si>
  <si>
    <t>RTA BANCO 16-May: STEFANY MUÑOZ QUINTANA  CC 1214736698</t>
  </si>
  <si>
    <t>REF. 860075208</t>
  </si>
  <si>
    <t>RTA BANCO 17-Jul: Canal........ 09 BANCOLOMBIA A LA MAN CBR Código Punto Srv/Cajero: 22529 Nombre del Punto de Servicio: MULTIPAGAS TULUA</t>
  </si>
  <si>
    <t>Ref. 860075208</t>
  </si>
  <si>
    <t>Traslado de fondos por SUCURSAL VIRTUAL del producto 265-00 006693</t>
  </si>
  <si>
    <t>LEGASSY STUDIO SAS  NIT 901855087</t>
  </si>
  <si>
    <t>Traslado de fondos por SUCURSAL VIRTUAL del producto 20566026857</t>
  </si>
  <si>
    <t>REVISAR CON PEREZ  EMERSON C16787074 - CLIENTE CONTADO DE CALYPSO KENNEDY</t>
  </si>
  <si>
    <t>Traslado de fondos por SUCURSAL VIRTUAL del producto -21888780804</t>
  </si>
  <si>
    <t>ZULING ELENA JARAMILLO MARIN C43188808</t>
  </si>
  <si>
    <t xml:space="preserve"> PAGO QR ELSA ALONSO M</t>
  </si>
  <si>
    <t>PAGO QR ELSA ALONSO M</t>
  </si>
  <si>
    <t>Pago con el QR Interoperable</t>
  </si>
  <si>
    <t xml:space="preserve"> PAGO QR BRANDOM ALEXI</t>
  </si>
  <si>
    <t>PAGO QR BRANDOM ALEXI</t>
  </si>
  <si>
    <t>RTA BANCO 20-Jun: cb 52662 MULTIPAGAS TULUÁ II</t>
  </si>
  <si>
    <t>REF. 12001437</t>
  </si>
  <si>
    <t>REVISAR CON MURILLO  MANUEL  NIT: 12001437-CLIENTE CONTADO DE CALYPSO APARTADO</t>
  </si>
  <si>
    <t>ANTIOQUIA</t>
  </si>
  <si>
    <t>CENTRO NORTE</t>
  </si>
  <si>
    <t>Traslado de fondos por SUCURSAL VIRTUAL del producto 710-98 713900</t>
  </si>
  <si>
    <t xml:space="preserve"> PAGO DE PROV ACOPARTES SAS</t>
  </si>
  <si>
    <t>PAGO TRASLADO HECHO POR ACOPARTES SAS CON NIT 900459431 POR CONCEPTO FACTURA A Y REFERENCIA CTUAL</t>
  </si>
  <si>
    <t>Traslado de fondos por SUCURSAL VIRTUAL del producto 072-55 371759</t>
  </si>
  <si>
    <t>Traslado de fondos por SUCURSAL VIRTUAL del producto 617-00 027651</t>
  </si>
  <si>
    <t xml:space="preserve"> PAGO DE PROV SOMATEC SAS BIC</t>
  </si>
  <si>
    <t xml:space="preserve"> PAGO INTERBANC INVESTIGACIONES</t>
  </si>
  <si>
    <t xml:space="preserve"> PAGO VIRTUAL PSE</t>
  </si>
  <si>
    <t xml:space="preserve"> PAGO DE PROV CORRED DAVIVIEN</t>
  </si>
  <si>
    <t xml:space="preserve"> PAGO DE PROV PEXTO COLOMBIA</t>
  </si>
  <si>
    <t>VEBOG</t>
  </si>
  <si>
    <t xml:space="preserve"> </t>
  </si>
  <si>
    <t xml:space="preserve">                  Revisó: Yomiry Linares</t>
  </si>
  <si>
    <t>Bancolombia Cuenta Corriente 690-000024-90</t>
  </si>
  <si>
    <t>Cuenta Contable 11100518</t>
  </si>
  <si>
    <t>N° De Aprobación</t>
  </si>
  <si>
    <t>VISA</t>
  </si>
  <si>
    <t>PAGO QR EN CALYPSO RICAURTE</t>
  </si>
  <si>
    <t xml:space="preserve"> PAGO QR HENRY ANDRES</t>
  </si>
  <si>
    <t>PAGO QR EN SABANA RESTREPO</t>
  </si>
  <si>
    <t>CC 80160254</t>
  </si>
  <si>
    <t xml:space="preserve"> PAGO QR LUISA FERNAND</t>
  </si>
  <si>
    <t>PAGO QR EN CALYPSO KENNEDY</t>
  </si>
  <si>
    <t>CC 1001342214</t>
  </si>
  <si>
    <t>PAGO QR LAURA DANIELA</t>
  </si>
  <si>
    <t>CC 1032482051</t>
  </si>
  <si>
    <t xml:space="preserve"> PAGO QR BRAYAN SMITH</t>
  </si>
  <si>
    <t>PAGO QR EN CALYPSO SOACHA</t>
  </si>
  <si>
    <t>CC 1013632035 - BELTRAN  BRAYAM</t>
  </si>
  <si>
    <t xml:space="preserve"> PAGO QR MARIBEL R. C.</t>
  </si>
  <si>
    <t>Revisar doble pago</t>
  </si>
  <si>
    <t xml:space="preserve"> PAGO QR WILLIAM R. B.</t>
  </si>
  <si>
    <t xml:space="preserve"> PAGO QR Luz Alba Rome</t>
  </si>
  <si>
    <t>PAGO QR EN CALYPSOKENNEDY</t>
  </si>
  <si>
    <t>MASTERCARD</t>
  </si>
  <si>
    <t>TARJETA PASADA POR DATAFONO CALYPSO SAN CARLOS</t>
  </si>
  <si>
    <t xml:space="preserve"> PAGO QR MATIAS YEPES ARROYAVE</t>
  </si>
  <si>
    <t xml:space="preserve"> PAGO QR JUAN PABLO GOMEZ SANA</t>
  </si>
  <si>
    <t xml:space="preserve"> PAGO QR LUIS ALVARO R</t>
  </si>
  <si>
    <t xml:space="preserve"> PAGO QR MARIA ISABEL</t>
  </si>
  <si>
    <t xml:space="preserve"> PAGO QR FREDY RODRIGU</t>
  </si>
  <si>
    <t>Master Card</t>
  </si>
  <si>
    <t xml:space="preserve"> PAGO QR ADRIANA  VENE</t>
  </si>
  <si>
    <t xml:space="preserve"> PAGO QR DANIS LUGO</t>
  </si>
  <si>
    <t xml:space="preserve"> PAGO QR HELMUT ALEXAN</t>
  </si>
  <si>
    <t>VTA TEL BOG</t>
  </si>
  <si>
    <t>REVISAR LINK DE PAGO JEIMMY</t>
  </si>
  <si>
    <t>VNP-CALYPSO RICAURTE</t>
  </si>
  <si>
    <t>HULESDELA14</t>
  </si>
  <si>
    <t>REVISAR DOBLE PAGO RODRIGUEZ  FREDDY</t>
  </si>
  <si>
    <t>SABANATOBERIN</t>
  </si>
  <si>
    <t>REVISAR DOBLE PAGO</t>
  </si>
  <si>
    <t>CALYPSO CUCUTA  TD ****9197</t>
  </si>
  <si>
    <t>PAGO QR MARIA VICTORI</t>
  </si>
  <si>
    <t xml:space="preserve"> PAGO QR DANIEL JOSE G</t>
  </si>
  <si>
    <t>PAGO QR SAN ANTONIO</t>
  </si>
  <si>
    <t>REVISAR DOBLE PAGO SABANA FONTIBON</t>
  </si>
  <si>
    <t>PAGO QR CALYPSO KENNEDY</t>
  </si>
  <si>
    <t xml:space="preserve"> PAGO QR MARTHA LUCIA MEDINA M</t>
  </si>
  <si>
    <t>ORTIZ RAMIREZ YESID C4286934</t>
  </si>
  <si>
    <t>REVISAR DOBLE PAGO QR SABANA TOBERIN</t>
  </si>
  <si>
    <t xml:space="preserve"> PAGO QR ITALO YESID O</t>
  </si>
  <si>
    <t>SERRADOR  DIANA C52934503</t>
  </si>
  <si>
    <t>REVISAR DOBLE PAGO QR SABANA VENECIA</t>
  </si>
  <si>
    <t xml:space="preserve"> PAGO QR DIANA CAROLIN</t>
  </si>
  <si>
    <t>RTA BANCO 28-Ago: cb 10981 BELEN DE BAJIRA II - CHOCO</t>
  </si>
  <si>
    <t>RTA BANCO 28-Ago: cb 52662 MULTIPAGAS TULUÁ II</t>
  </si>
  <si>
    <t>ALBERTO BEITAR 2601</t>
  </si>
  <si>
    <t>CC 1045490606 Cel: 3137162601</t>
  </si>
  <si>
    <t>Nit: 31566941 - IDALIA CIFUENTES YANTEN</t>
  </si>
  <si>
    <t>REVISAR CON OSUHOME SAS  NIT: 901488131 - CLIENTE CONTADO DE SABANA FONTIBON</t>
  </si>
  <si>
    <t>Nit: 1035427959 - DANIELA MENESES RODRIGUEZ</t>
  </si>
  <si>
    <t>FREDY CRUZ 2040</t>
  </si>
  <si>
    <t>CC 1020767372 Cel: 3208732040 - CLIENTE CONTADO DE SABANA TOBERIN</t>
  </si>
  <si>
    <t>JULIAN GONZALEZ 7490</t>
  </si>
  <si>
    <t>CC 1233508882 Cel: 3213027490 - CLIENTE CONTADO DE LA ESQUINA DE LOS PLASTICOS</t>
  </si>
  <si>
    <t>Nit: 1128475926 - JULIAN ANDRES VARGAS MESA - CLIENTE CONTADO DE CALYPSO BELLO</t>
  </si>
  <si>
    <t>TATIANA ALVAREZ 3910 - Cel: 3128703910</t>
  </si>
  <si>
    <t>Confirmado en CalypsoPay por PV059 DANNY BLANCO</t>
  </si>
  <si>
    <t>PAGO TRASLADO HECHO POR SOMATEC SAS BIC CON NIT 811032640 P OR CONCEPTO PAG PROV Y REFERENCIA EG 202508017</t>
  </si>
  <si>
    <t>REVISAR CON SOMATEC SAS BIC NIT:811032640 - CLIENTE CONTADO DE CALYPSO SAN CARLOS</t>
  </si>
  <si>
    <t>FRANCISO ARANGO 1637 - Cel: 3168281637</t>
  </si>
  <si>
    <t>REVISAR CON COMERCIALIZADORA CAFE BOTERO  NIT: 900334037 - ASESOR: ROJAS CRUZ, FLOR MARINA</t>
  </si>
  <si>
    <t>Traslado de fondos por SUCURSAL VIRTUAL del producto 012-53 807250</t>
  </si>
  <si>
    <t>JOSE LUIS MORA BARRERO CC 1091884029</t>
  </si>
  <si>
    <t>DEIBI RODRIGUEZ 3854 - Cel: 3244563854</t>
  </si>
  <si>
    <t>CC 9727660 - RODRIGUEZ DAZA DEIBE RICAUTE</t>
  </si>
  <si>
    <t>YOEL THERESE 6756</t>
  </si>
  <si>
    <t>CC 6293024</t>
  </si>
  <si>
    <t>PAGO TRASLADO HECHO POR CORRED DAVIVIEN CON NIT 860079174 P OR CONCEPTO Y REFERENCIA</t>
  </si>
  <si>
    <t>REVISAR CON INACSA S.A.S. NIT:860074578 - ASESOR ROJAS CRUZ, FLOR</t>
  </si>
  <si>
    <t>ZOILA PARRA 8159 - Cel: 3212168159</t>
  </si>
  <si>
    <t>CC 30083791 - PARRA CIFUENTES ZOILA ESPERANZA</t>
  </si>
  <si>
    <t>Pago TRANSFER hecho por INVESTIGACIONES con NIT 8600359771  por concepto 056000656 y referencia 000000000000 Referenciasadicionales: 000000000000000000000000 - 0000000000000000000 00000</t>
  </si>
  <si>
    <t>INVESTIGACIONES Y COBRANZAS EL LIBERTADOR S A BR • NIT 860.035.977-1 CRA 13 # 26 45 P 16 • Conmutador 3410077</t>
  </si>
  <si>
    <t>CXP</t>
  </si>
  <si>
    <t xml:space="preserve"> PAGO INTERBANC IMPERIUM ARQUIT</t>
  </si>
  <si>
    <t>DCN</t>
  </si>
  <si>
    <t>MPN</t>
  </si>
  <si>
    <t>Ref. 13321960531</t>
  </si>
  <si>
    <t>RTA BANCO 02-Oct: cb 38662 -BARRIO CENTRO SANTA ROSA DEL SUR  BOLIVAR</t>
  </si>
  <si>
    <t>RTA BANCO 02-Oct: cb 52664 - MULTIPAGAS LA CANASTA  TULUA</t>
  </si>
  <si>
    <t>Pago TRASLADOS hecho por IMPERIUM ARQUITE con NIT 9013544863por concepto 210039878 y referencia 000000000000 Referenciasadicionales: 000000000000000000000000 - Tras IMPERIUM ARQ enBCS</t>
  </si>
  <si>
    <t>REVISAR CON IMPERIUM ARQUITECTOS S.A.S NIT:901354486 -ASESOR ORTEGON TORRES CAROLINA</t>
  </si>
  <si>
    <t>PROYECTOS</t>
  </si>
  <si>
    <t>PAGO TRASLADO HECHO POR PEXTO COLOMBIA CON NIT 901183029 PORCONCEPTO AAAAAAAAA Y REFERENCIA AARK0J3O0OOX</t>
  </si>
  <si>
    <t>Traslado de fondos por SUCURSAL VIRTUAL del producto 645-00 003757</t>
  </si>
  <si>
    <t>Traslado de fondos por SUCURSAL VIRTUAL del producto 803-00 025033</t>
  </si>
  <si>
    <t xml:space="preserve"> TRANSF BOTON</t>
  </si>
  <si>
    <t xml:space="preserve"> PAGO INTERBANC BANCO DAVIVIEND</t>
  </si>
  <si>
    <t>Cr Ach Bancolombia Industrias Flir Nit900085439 Fac Industrias Flir Sas</t>
  </si>
  <si>
    <t>CC 51872158-MARTHA LUCIA MEDINA MARTINEZ</t>
  </si>
  <si>
    <t>CC 3021092- WILLIAM RODRIGUEZ</t>
  </si>
  <si>
    <t>CC 1027812127- MATIAS YEPES ARROYAVE</t>
  </si>
  <si>
    <t>CC 1075672722 - DANIEL JOSE GARCIA REYES</t>
  </si>
  <si>
    <t>CC 1007142829 - JUAN PABLO GOMEZ SANABRIA</t>
  </si>
  <si>
    <t>CLIENTE CONTADO DE CALYPSO 7 DE AGOSTO-Cra.25</t>
  </si>
  <si>
    <t>CLIENTE CONTADO DE CALYPSO SAN CARLOS</t>
  </si>
  <si>
    <t>CC 1032447698- QUIROGA  MARIA ISABEL</t>
  </si>
  <si>
    <t>DOBLE PAGO PAGO QR HELMUT ALEXAN</t>
  </si>
  <si>
    <t>REVISAR CON FORERO MAGDA BIBIANA CC 52806168 - CLIENTE CONTADO DE SABANA TOBERIN</t>
  </si>
  <si>
    <t>PAGO QR EN CALYPSOURABA</t>
  </si>
  <si>
    <t>Pago Qr En Calypsouraba</t>
  </si>
  <si>
    <t xml:space="preserve"> PAGO QR RICARDO ALFON</t>
  </si>
  <si>
    <t xml:space="preserve"> PAGO QR GILMA CRISTIN</t>
  </si>
  <si>
    <t xml:space="preserve"> PAGO QR JUAN PABLO BE</t>
  </si>
  <si>
    <t xml:space="preserve"> PAGO QR FRANCISCA LUI</t>
  </si>
  <si>
    <t xml:space="preserve"> PAGO QR LUIS FERNANDO</t>
  </si>
  <si>
    <t xml:space="preserve"> PAGO QR CAMILO CASTIB</t>
  </si>
  <si>
    <t xml:space="preserve"> PAGO QR VERONICA MUNO</t>
  </si>
  <si>
    <t>Incoming Payments - C901702866</t>
  </si>
  <si>
    <t>OCCIDENTE</t>
  </si>
  <si>
    <t>Pexto Colombia Con Nit 901183029</t>
  </si>
  <si>
    <t>INFO BANCO: JARDIN INFANTIL MILAGROS DEL CIELO S.A.S    - 901798361</t>
  </si>
  <si>
    <t>INFO BANCO:  JACKELINE LOPEZ RAMIREZ - 67039551</t>
  </si>
  <si>
    <t xml:space="preserve"> CONSIG LOCAL REFEREN EFECTIVO REF 13321960531</t>
  </si>
  <si>
    <t>FRANCISCO APONZA CARABALI -16926223</t>
  </si>
  <si>
    <t>REVISAR CON CARABALI APONZA FRANCISCO ANTONIO NIT 16926223-9 ASESOR CALYPSO CALI CRA 9</t>
  </si>
  <si>
    <t xml:space="preserve">Pago TRANSFER hecho por BANCO DAVIVIENDA con NIT 8600343137 por concepto 055047010 </t>
  </si>
  <si>
    <t xml:space="preserve"> PAGO INTERBANC ELIS COLOMBIA S</t>
  </si>
  <si>
    <t>Pago tarjeta</t>
  </si>
  <si>
    <t>REVISAR CON INDUSTRIAL FLIR S.A.S NIT 900085439 - PUNTO DE VENTA SABANA SEIS</t>
  </si>
  <si>
    <t>336260</t>
  </si>
  <si>
    <t>REVISAR CON CC 1075672722 - DANIEL JOSE GARCIA REYES</t>
  </si>
  <si>
    <t>TARJETA PASADA POR DATAFONO PLASTICOS DE LA SABANA FONTIBON</t>
  </si>
  <si>
    <t>TARJETA PASADA POR DATAFONO PLASTICOS DE LA SABANA TOBERIN</t>
  </si>
  <si>
    <t>TARJETA PASADA POR DATAFONO SABANA 6</t>
  </si>
  <si>
    <t>TARJETA PASADA POR DATAFONO LA SALA DE LOS PLASTICOS</t>
  </si>
  <si>
    <t xml:space="preserve"> PAGO QR Jennifer Tati</t>
  </si>
  <si>
    <t xml:space="preserve"> PAGO QR JUAN FRANCISC</t>
  </si>
  <si>
    <t xml:space="preserve"> PAGO QR ALIZ ESPINDOL</t>
  </si>
  <si>
    <t xml:space="preserve"> PAGO QR DARIO HERNAND</t>
  </si>
  <si>
    <t xml:space="preserve"> PAGO QR JHONN ALEJAND</t>
  </si>
  <si>
    <t xml:space="preserve"> PAGO QR Juan Ferney Z</t>
  </si>
  <si>
    <t xml:space="preserve"> PAGO QR Victor Alfons</t>
  </si>
  <si>
    <t xml:space="preserve"> PAGO QR JHON JAIDER P</t>
  </si>
  <si>
    <t>JORGE ENRIQUE QUINTERO GIRALDO CC 19485063</t>
  </si>
  <si>
    <t>RTA BANCO 25-Nov: JORGE ENRIQUE QUINTERO GIRALDO CC 19485063</t>
  </si>
  <si>
    <t>MAGNOLIA ISABEL ARTUNDUAGA ARTUNDUAGA CC 55195680</t>
  </si>
  <si>
    <t>RTA BANCO 25-Nov: MAGNOLIA ISABEL ARTUNDUAGA ARTUNDUAGA CC 55195680</t>
  </si>
  <si>
    <t>REVISAR CON GALLO  JORGE CC 13321960531 - CLIENTE CONTADO SABANA FONTIBON</t>
  </si>
  <si>
    <t>CRISTIAN DAVID RODRIGUEZ ESTRADA CC 1019129590</t>
  </si>
  <si>
    <t>RTA BANCO 25-Nov: CRISTIAN DAVID RODRIGUEZ ESTRADA CC 1019129590</t>
  </si>
  <si>
    <t>YOLANDA ROA SAAVEDRA CC 53134931</t>
  </si>
  <si>
    <t>RTA BANCO 25-Nov: YOLANDA ROA SAAVEDRA CC 53134931</t>
  </si>
  <si>
    <t>CLAUDIA LILIANA MANRIQUE CONDE CC 1005258526</t>
  </si>
  <si>
    <t>RTA BANCO 25-Nov: CLAUDIA LILIANA MANRIQUE CONDE CC 1005258526</t>
  </si>
  <si>
    <t>JOHN ALEXANDER CARDENAS ARIAS CC 1017155094</t>
  </si>
  <si>
    <t>RTA BANCO 25-Nov: JOHN ALEXANDER CARDENAS ARIAS CC 1017155094 - CLIENTE CONTADO CALYPSO MEDELLOIN SAN ANTONIO</t>
  </si>
  <si>
    <t>Antioquia</t>
  </si>
  <si>
    <t>JOSE DAVID GOMEZ PATIÑO CC 4414162</t>
  </si>
  <si>
    <t>RTA BANCO 25-Nov: JOSE DAVID GOMEZ PATIÑO CC 4414162</t>
  </si>
  <si>
    <t>ALBERTO CESAR ORTEGA HERRERA CC 7374415</t>
  </si>
  <si>
    <t>RTA BANCO 25-Nov: ALBERTO CESAR ORTEGA HERRERA CC 7374415</t>
  </si>
  <si>
    <t>PAGO QR CALYPSOCENTROCL15</t>
  </si>
  <si>
    <t>CC 52068236</t>
  </si>
  <si>
    <t>PAGO QR SABANARICAURTE</t>
  </si>
  <si>
    <t>CC 1000458822 - BECERRRA LOPEZ JUAN PABLO CLIENTE CONTADO SABANA RICAURTE</t>
  </si>
  <si>
    <t>PAGO QR CALYPSOPRADO</t>
  </si>
  <si>
    <t>CC 51564027 -LUIS DE GARCIA FRANCISCA ELENA</t>
  </si>
  <si>
    <t>PAGO QR SABANA7AGOSTO</t>
  </si>
  <si>
    <t>CC 1030527504 - VARGAS  SIXTO CAMILO</t>
  </si>
  <si>
    <t>CC 1033687244</t>
  </si>
  <si>
    <t>COMERCIALIZADORA CALYPSO</t>
  </si>
  <si>
    <t>PAGO QR CALYPSORESTREPO</t>
  </si>
  <si>
    <t>CC 1021667009</t>
  </si>
  <si>
    <t>PAGO QR CALYPSOURABA</t>
  </si>
  <si>
    <t>SANTANDER</t>
  </si>
  <si>
    <t>Rta Banco RICARDO ALFONSO ARIZA - nit 80370748</t>
  </si>
  <si>
    <t>REVISAR CON ELIS COLOMBIA SAS NIT 800170865-4 ASESOR MARINA ROJAS</t>
  </si>
  <si>
    <t>Pago PROVEEDOR hecho por ELIS COLOMBIA S0 con NIT 800170865 por concepto 00145977 y referencia 000000000000 Referencias adicionales: 000000000000000000000000 - 0000000000000000000 00000</t>
  </si>
  <si>
    <t>REVISAR PAGO DOBLE FERRETERIA NELSON RESTREPO SAS NIT 901238143-6- ASESOR CARMONA GONZALEZ DIANA MARCELA-MEDELLIN</t>
  </si>
  <si>
    <t>Traslado de fondos por SUCURSAL VIRTUAL del producto 912-12 766343</t>
  </si>
  <si>
    <t>REVISAR DOBLE PAGO C901324391 - LOS MEJORES JUGUETES - CLIENTE CONTADO CALYPSO MEDELLIN SAN ANTONIO</t>
  </si>
  <si>
    <t>Traslado de fondos por SUCURSAL VIRTUAL del producto 207-65 775256</t>
  </si>
  <si>
    <t xml:space="preserve"> CC 6103891 - CARLOS ALBERTO CORTES LLORENTE</t>
  </si>
  <si>
    <t xml:space="preserve">INFO BANCO PAGADOR: CARLOS ALBERTO CORTES LLORENTE CC 6103891 </t>
  </si>
  <si>
    <t>INFO BANCO PAGADOR: HARRISON RIOS LOPEZ  CC 94531594 -</t>
  </si>
  <si>
    <t>CC 1130653523</t>
  </si>
  <si>
    <t>Pago QR CALYPSOURABA</t>
  </si>
  <si>
    <t>CC 79133496</t>
  </si>
  <si>
    <t>PAGO QR SABANA FONTIBON</t>
  </si>
  <si>
    <t>PAGO QR HULES DE LA SABANA</t>
  </si>
  <si>
    <t>CC 80270931</t>
  </si>
  <si>
    <t>CC 39718602</t>
  </si>
  <si>
    <t>CC 110279753</t>
  </si>
  <si>
    <t>PAGO QR CALYPSORIONEGRO</t>
  </si>
  <si>
    <t>CC 1073324101 -RESTREPO  VICTOR - CLIENTE CONTADO CALYPSO RIONEGRO</t>
  </si>
  <si>
    <t>CC 71947514</t>
  </si>
  <si>
    <t>TARJETA PASADA EN DATAFONO DE HULES DE LA 14</t>
  </si>
  <si>
    <t>REF. 1045488910</t>
  </si>
  <si>
    <t>No esta creado en el sistema</t>
  </si>
  <si>
    <t>REF. 83231203</t>
  </si>
  <si>
    <t>REF. 1143858020</t>
  </si>
  <si>
    <t>REVISAR CON MOLINA LOPEZ ANGELICA</t>
  </si>
  <si>
    <t xml:space="preserve"> PAGO QR MARIA VIRGELI</t>
  </si>
  <si>
    <t>PAGO QR CALYPSO URABA</t>
  </si>
  <si>
    <t>REVISAR CON C.C. 39414474</t>
  </si>
  <si>
    <t>PAGO QR SAMUEL DAVID</t>
  </si>
  <si>
    <t>PAGO QR SABANA RICUATTE</t>
  </si>
  <si>
    <t>REVISAR C.C. 102395368</t>
  </si>
  <si>
    <t>Se Solicita Informacion De Pagador Al Banco</t>
  </si>
  <si>
    <t>Tarjeta Pasada En Datafono De Hules De La 14</t>
  </si>
  <si>
    <t>Pago Qr Hules De La Sabana</t>
  </si>
  <si>
    <t>Pago Qr Calypso Uraba</t>
  </si>
  <si>
    <t>Pago Qr Calypsorionegro</t>
  </si>
  <si>
    <t>Vnp-Calypso Ricaurte</t>
  </si>
  <si>
    <t xml:space="preserve"> PAGO DE PROV POZZA GROUP S.A</t>
  </si>
  <si>
    <t>Pagos recibidos - C805007745</t>
  </si>
  <si>
    <t xml:space="preserve"> PAGO QR INGRY CANO PE</t>
  </si>
  <si>
    <t xml:space="preserve"> PAGO QR SABANAPRINCIP</t>
  </si>
  <si>
    <t xml:space="preserve"> PAGO QR LILIANA MUÑOZ</t>
  </si>
  <si>
    <t xml:space="preserve"> PAGO QR CALYPSOSOACHA</t>
  </si>
  <si>
    <t xml:space="preserve"> PAGO QR 8CALYPSOCALIC</t>
  </si>
  <si>
    <t xml:space="preserve"> PAGO QR CALYPSO TUNJA</t>
  </si>
  <si>
    <t xml:space="preserve"> PAGO QR HULES DE LA S</t>
  </si>
  <si>
    <t xml:space="preserve"> PAGO QR JOAQUIN VILLA</t>
  </si>
  <si>
    <t xml:space="preserve"> PAGO QR SABANARESTREP</t>
  </si>
  <si>
    <t xml:space="preserve"> PAGO QR HULES DE LA 1</t>
  </si>
  <si>
    <t>DAYANA ORTEGA 9666</t>
  </si>
  <si>
    <t>CC 1040382062</t>
  </si>
  <si>
    <t>REF  ARDONIS ROMERO 3871</t>
  </si>
  <si>
    <t>REF 2057450</t>
  </si>
  <si>
    <t>Se Envio Correo Al Banco Solicitando Información el 20 de Noviembre</t>
  </si>
  <si>
    <t>No esta creado como cliente en el sistema</t>
  </si>
  <si>
    <t>REF 13389443</t>
  </si>
  <si>
    <t>REF 860075208</t>
  </si>
  <si>
    <t>REVISAR CON YENNY LUCERO RUBIO BERIGUES NIT 1018425087</t>
  </si>
  <si>
    <t>REVISAR CON YENNY LUCERO RUBIO BERIGUES NIT 1018425087 - CLIENTE CONTADO CALYPSO 7 DE AGOSTO</t>
  </si>
  <si>
    <t>Traslado de fondos por SUCURSAL VIRTUAL del producto 827-00 000790</t>
  </si>
  <si>
    <t xml:space="preserve">REVISAR CON MATENA SAS NIT 901497814 </t>
  </si>
  <si>
    <t>REF 1077422086</t>
  </si>
  <si>
    <t>REVISAR CON NIT 1077422086</t>
  </si>
  <si>
    <t>NOMINA</t>
  </si>
  <si>
    <t>Nomina</t>
  </si>
  <si>
    <t>PAGO TRASLADO HECHO POR POZZA GROUP S.A CON NIT 901619701 P OR CONCEPTO Y REFERENCIA</t>
  </si>
  <si>
    <t xml:space="preserve">REVISAR CON POZZA GROUP S.A.S. NIT 901619701-1 - CLINETE CONTADO CALYPSO MEDELLIN GUAYABAL </t>
  </si>
  <si>
    <t>REF 1040353423</t>
  </si>
  <si>
    <t>REVISAR CON BLANCO  YORBI NIT 1040353423 - CLIENTE CONTADO CALYPSO APARTADO</t>
  </si>
  <si>
    <t xml:space="preserve"> PAGO INTERBANC EPS  SOS S A</t>
  </si>
  <si>
    <t xml:space="preserve"> PAGO INTERBANC LM MEDINA   CIA</t>
  </si>
  <si>
    <t xml:space="preserve"> PAGO INTERBANC POSITIVA COMPA</t>
  </si>
  <si>
    <t xml:space="preserve"> CONSIG NAL REFERENCIA EFECTIVO</t>
  </si>
  <si>
    <t>LLANOS</t>
  </si>
  <si>
    <t>Incoming Payments - C222222222222</t>
  </si>
  <si>
    <t>Incoming Payments - C901352918</t>
  </si>
  <si>
    <t>CALYPSO DOS QUEBRADAS</t>
  </si>
  <si>
    <t>SE CONTINUA REVISANDO A QUIEN CORRESPONDE</t>
  </si>
  <si>
    <t>Abono dispersion pago a proveedores - Otros De Alianza Fiduciaria S A</t>
  </si>
  <si>
    <t>Abono por recaudos con comprobante 19276076</t>
  </si>
  <si>
    <t>Abono Recaudo Proveedor Servicios Electronicos - PSE</t>
  </si>
  <si>
    <t>Se envía correo banco solicitando informacion el dia 23 de enero 2026</t>
  </si>
  <si>
    <t>Se envía correo banco solciitando informacion el dia 23 de enero 2026</t>
  </si>
  <si>
    <t>REVISAR PAGO DOBLE CC 51816434-ESPINDOLA  ALIZ - CLIENTE CONTADO HULES DE LA SABANA CLL 72</t>
  </si>
  <si>
    <t xml:space="preserve"> PAGO QR JAVIER ELIECE</t>
  </si>
  <si>
    <t>PAGO QR CALYPSOKENNEDY</t>
  </si>
  <si>
    <t>CC1033692938 - CASTELLANOS RODRIGUEZ JAVIER ELIECER - CLIENTE CONTADO CALYPSO KENNEDY</t>
  </si>
  <si>
    <t>Pago Qr Calypsokennedy</t>
  </si>
  <si>
    <t>TARJETA PASADA EN LA ESQUINA DE LOS PLASTICOS</t>
  </si>
  <si>
    <t>PAGO QR CALYPSO SUBA</t>
  </si>
  <si>
    <t>REF 28951716</t>
  </si>
  <si>
    <t>TARJETA PASADA POR DATAFONO CALYPSO 7 DE AGOSTO CR 25</t>
  </si>
  <si>
    <t>PAGO QR CALYPSO SOACHA</t>
  </si>
  <si>
    <t>REVISAR CON PIZA  DAVID CC  80904316 -CLIENTE CONTADO CALYPSO SOACHA</t>
  </si>
  <si>
    <t>PAGO QR CALYPSO CALI CARRERA 8</t>
  </si>
  <si>
    <t>REVISAR CON REVELO  EDUARDO CC 87712105 - CLIENTE CONTADO CALI CRA 8</t>
  </si>
  <si>
    <t>PAGO QR CALYPSO TUNJA</t>
  </si>
  <si>
    <t>REVISAR CON CARO  MARCELIANO CC 7168968 - CLIENTE CONTADO CALYPSO TUNJA</t>
  </si>
  <si>
    <t>REVISAR CON PUENTES  ALEJANDRO CC 1068929147 - CLIENTE CONTADO HULES DE LA SABANA CLL 72</t>
  </si>
  <si>
    <t>TARJETA PASADA PLASTICOS DE LA SABANA</t>
  </si>
  <si>
    <t>PAGO QR SABANA PRINCIPAL</t>
  </si>
  <si>
    <t>REVISAR CON CC 52517902</t>
  </si>
  <si>
    <t xml:space="preserve"> PAGO QR CALYPSO7AGOST</t>
  </si>
  <si>
    <t>PAGO QR CALYPSO7AGOSTO</t>
  </si>
  <si>
    <t>PAGO QR SABANA RESTREPO</t>
  </si>
  <si>
    <t>REVISAR CON PRASCA  MARTHA CC 52761275 - CLIENTE CONTADO SABANA RESTREPO</t>
  </si>
  <si>
    <t>PAGO QR HULES DE LA 14</t>
  </si>
  <si>
    <t>REVISAR CARDOSO AVILA JANETH ADRIANA CC 51609187 - CLENTE CONTADO HULES DE LA 14</t>
  </si>
  <si>
    <t xml:space="preserve"> PAGO QR LUZ MARINA RA</t>
  </si>
  <si>
    <t xml:space="preserve"> PAGO QR JUAN GABRIEL</t>
  </si>
  <si>
    <t xml:space="preserve"> PAGO QR MARIA JACQUEL</t>
  </si>
  <si>
    <t xml:space="preserve"> PAGO QR LEYDY YESENIA</t>
  </si>
  <si>
    <t xml:space="preserve"> PAGO QR EVELIN YULIE</t>
  </si>
  <si>
    <t xml:space="preserve"> PAGO QR FIYERALH GOME</t>
  </si>
  <si>
    <t xml:space="preserve"> PAGO QR Héctor julio</t>
  </si>
  <si>
    <t xml:space="preserve"> PAGO QR JHON SEBASTIA</t>
  </si>
  <si>
    <t xml:space="preserve"> PAGO QR Ligia Patrici</t>
  </si>
  <si>
    <t xml:space="preserve"> PAGO QR CAMILO ANDRES</t>
  </si>
  <si>
    <t xml:space="preserve"> PAGO QR JAVI JOSE SIL</t>
  </si>
  <si>
    <t>Incoming Payments - C901790905</t>
  </si>
  <si>
    <t>3</t>
  </si>
  <si>
    <t>CREDIFACIL ABONO</t>
  </si>
  <si>
    <t>TOLHUICA</t>
  </si>
  <si>
    <t>Partida sin identificar se envia correo al area comercial el 26 de febrero</t>
  </si>
  <si>
    <t>ref. 13321960531</t>
  </si>
  <si>
    <t>RTA BANCO FEB 02 - NO APORTÓ MAS INFORMACION</t>
  </si>
  <si>
    <t>REVISAR CON 8600343137</t>
  </si>
  <si>
    <t>CARMEN HERMENCIA RIVAS RAMIREZ  c.c. 65779507</t>
  </si>
  <si>
    <t>REVISR CON CARMEN HERMENCIA RIVAS RAMIREZ  c.c. 65779507 ASESOR TORRES NAVARRO ALEX HONORIO-IBAGUE</t>
  </si>
  <si>
    <t>JANETH STELLA MUNOZ LOPEZ c.c. 51829166</t>
  </si>
  <si>
    <t>REVISAR CON JANETH STELLA MUNOZ LOPEZ c.c. 51829166 CLIENTE CONTADO CALYPSO CARVAJAL</t>
  </si>
  <si>
    <t>PAGO REALIZADO POR BOTON SE CONTINUA REVISANDO A QUIEN CORRESPONDE</t>
  </si>
  <si>
    <t> ELANYS ALVIS ZUNIGA  c.c. 1046529364</t>
  </si>
  <si>
    <t> RTA BANCO FEB 19: PAGADOR ELANYS ALVIS ZUNIGA  c.c. 1046529364</t>
  </si>
  <si>
    <t>WILLIAM BUITRAGO ROMERO  c.c. 79755850</t>
  </si>
  <si>
    <t>REVISAR CON WILLIAM BUITRAGO ROMERO  c.c. 79755850 - ASESOR CALYPSO CENTRO CL15</t>
  </si>
  <si>
    <t>LUIS ANTONIO ESCALANTE CASTA  c.c. 7527087</t>
  </si>
  <si>
    <t>LUIS ANTONIO ESCALANTE CASTA  c.c. 7527087 - CLIENTE CONTADO CALYPSO ARMENIA CRA 19 12-35</t>
  </si>
  <si>
    <t>OK CONFIRMADO A CARTERA BUCARAMANGA EL 17 FEB</t>
  </si>
  <si>
    <t>GERARDO ARSENIO PORTILLA CAS  c.c. 2876202</t>
  </si>
  <si>
    <t>REVISAR CON GERARDO ARSENIO PORTILLA CAS  c.c. 2876202 - CLIENTE CONTADO CALYPSO RIONEGRO</t>
  </si>
  <si>
    <t>JHOJAN EWIN PILLIMUE CUAJI  c.c. 1083890655</t>
  </si>
  <si>
    <t>RTA BANCO : PAGADOR JHOJAN EWIN PILLIMUE CUAJI  c.c. 1083890655</t>
  </si>
  <si>
    <t>Traslado de fondos por SUCURSAL VIRTUAL del producto 200-86 221854</t>
  </si>
  <si>
    <t>Se continua validando a quien corresponde</t>
  </si>
  <si>
    <t>Pago PAGOS hecho por LM MEDINA CIA con NIT 9015783082 por concepto y referencia 0000000000 Referencias adicionales: 000 0000000 - PAGO FC 4714403 CALYPS</t>
  </si>
  <si>
    <t>REVISAR CON LM MEDINA Y CIA SAS NIT:901578308 - CLIENTE CONTADO DE CALYPSO CALI CRA 8</t>
  </si>
  <si>
    <t>REF 12188365</t>
  </si>
  <si>
    <t>REVSIAR CON CANDELA MANJARRES MILTON JOSE CC 12188365- CLENTE CONTADO CALYPSO NEIVA</t>
  </si>
  <si>
    <t>REVISAR CON BLANCO  YORBI CC  1040353423 - CLIENTE CONTADO CALYPSO APARTADO</t>
  </si>
  <si>
    <t>LEIDY JOHANNA VARGAS MEDINA  c.c. 1116251279</t>
  </si>
  <si>
    <t>REVISAR CON LEIDY JOHANNA VARGAS MEDINA  c.c. 1116251279 - CLIENTE CONTADO CALYPSO TULUA</t>
  </si>
  <si>
    <t>REF 12131758</t>
  </si>
  <si>
    <t>REVISAR CON PINILLA PERALTA JAVIER CC 12131758 -CLIENTE CONTADO CALYPSO NEIVA</t>
  </si>
  <si>
    <t>Traslado de fondos por SUCURSAL VIRTUAL del producto 360-66 718462</t>
  </si>
  <si>
    <t>REVISAR CON FRANCISCO LUIS LOPEZ HENAO CC 70074219 - CLIENTE CONTADO CALYPSO BELLO</t>
  </si>
  <si>
    <t>Traslado de fondos por SUCURSAL VIRTUAL del producto 645-31 753222</t>
  </si>
  <si>
    <t>REVISAR CON LEIDY TATIANA MERCADO HIGUITA  CC 1027962698 - CLIENTE CONTADO CALYPSO APARTADO</t>
  </si>
  <si>
    <t>REF CC 1027943820</t>
  </si>
  <si>
    <t>REVSIAR CON STIVEN ANDRES PENAGOS RIVERA CC 1027943820 CLIENTE CONTADO CALYPSO APARTADO</t>
  </si>
  <si>
    <t> DANIAN FERNELY ARISTIZABAL   c.c. 98706461</t>
  </si>
  <si>
    <t>REVISAR CON  DANIAN FERNELY ARISTIZABAL   c.c. 98706461 - CLIENTE CONTADO CALYPSO BELLO</t>
  </si>
  <si>
    <t>Traslado de fondos por SUCURSAL VIRTUAL del producto 553-04 662068</t>
  </si>
  <si>
    <t>REVISAR CON ALEXANDRA TORO HERNANDEZ CC 1037613070</t>
  </si>
  <si>
    <t>REF CC 1042707551</t>
  </si>
  <si>
    <t>REVISAR CON JURLEYDIS BARAHONA PALACIOS cc 1042707551</t>
  </si>
  <si>
    <t>REF CC 51823619</t>
  </si>
  <si>
    <t>REVSIAR CON LUZ MELIDA CAMACHO HURTADO CC 51823619- CLIENTE CONTADO CALYPSO SAN CARLOS</t>
  </si>
  <si>
    <t>BLANCO RAMO YORBY CARLOS CLIENTE CONTADO CALYPSO MEDELLIN SAN ANTONIO</t>
  </si>
  <si>
    <t>REF 98494979</t>
  </si>
  <si>
    <t>REVISAR CON GOMEZ MONTES JAIME WILLIAM CC 98494979 CLIENTE CONTADO CALYPSO MEDELLIN SAN ANTONIO</t>
  </si>
  <si>
    <t xml:space="preserve"> PAGO DE PROV WTEX SAS</t>
  </si>
  <si>
    <t xml:space="preserve"> PAGO INTERBANC RAFAEL BEJARANO</t>
  </si>
  <si>
    <t xml:space="preserve"> PAGO DE PROV ADC DECORACIONE</t>
  </si>
  <si>
    <t>Pagos recibidos - C901794218</t>
  </si>
  <si>
    <t>PR 1010279224</t>
  </si>
  <si>
    <t>PR 1055349418</t>
  </si>
  <si>
    <t>Pagos recibidos - C901104480</t>
  </si>
  <si>
    <t>PAGO REALIZADO POR TARJETA SE CONTINUA REVISANDO A QUIEN CORRESPONDE</t>
  </si>
  <si>
    <t>REF 1038822870</t>
  </si>
  <si>
    <t>RTA BANCO: FEB 02  CC 1038822870</t>
  </si>
  <si>
    <t>REF 71948725</t>
  </si>
  <si>
    <t>RTA BANCO: 02 FEB -  CC 71948725</t>
  </si>
  <si>
    <t>TARJETA PASADA EN DATAFONO DE CALYPSO RIONEGRO</t>
  </si>
  <si>
    <t>CALYPSO RIONEGRO</t>
  </si>
  <si>
    <t>PAGO QR EN CALYPSOIBAGUE</t>
  </si>
  <si>
    <t>REF CC 28835621</t>
  </si>
  <si>
    <t>PAGO QR EN SABANARICAURTE</t>
  </si>
  <si>
    <t>REF CC 1119893350</t>
  </si>
  <si>
    <t>REF CC 1001153798</t>
  </si>
  <si>
    <t>REF CC 71938731</t>
  </si>
  <si>
    <t>PAGO QR EN CALYPSONEIVA2</t>
  </si>
  <si>
    <t>REF CC 36384956</t>
  </si>
  <si>
    <t>PAGO QR EN SABANARESTREPO</t>
  </si>
  <si>
    <t>REF CC 1000001434</t>
  </si>
  <si>
    <t>PAGO QR EN CALYPSOCALICARRERA8</t>
  </si>
  <si>
    <t>PAGO QR EN CALYPSOCARVAJAL</t>
  </si>
  <si>
    <t>REF CC 80803990</t>
  </si>
  <si>
    <t>PAGO QR EN CALYPSOPUERTADELSOL</t>
  </si>
  <si>
    <t>REF CC 6230916</t>
  </si>
  <si>
    <t>PAGO QR EN SABANA7AGOSTO</t>
  </si>
  <si>
    <t>REF CC 39637339</t>
  </si>
  <si>
    <t xml:space="preserve"> PAGO QR NIDIAN YANETH</t>
  </si>
  <si>
    <t xml:space="preserve"> PAGO QR JUAN DIEGO BE</t>
  </si>
  <si>
    <t xml:space="preserve"> PAGO QR HUGO VALDERRA</t>
  </si>
  <si>
    <t xml:space="preserve"> PAGO QR LUZ DAMARY OR</t>
  </si>
  <si>
    <t xml:space="preserve"> PAGO QR LILIANA TORRE</t>
  </si>
  <si>
    <t>Incoming Payments - C63445908</t>
  </si>
  <si>
    <t>REF 101587150</t>
  </si>
  <si>
    <t>REVISAR CON CC 101587150</t>
  </si>
  <si>
    <t>No esta creado en el sistema como cliente</t>
  </si>
  <si>
    <t>REF 19276076</t>
  </si>
  <si>
    <t>REVISAR CON UBAQUE DIAZ ARISTOBULO GUSTAVO CC 19276076 - ASESOR CALYPSO 7 DE AGOSTO</t>
  </si>
  <si>
    <t>Se está verficando la novedad de 2 millones, este pago corresponde a pendiente en enero</t>
  </si>
  <si>
    <t xml:space="preserve">Se envíanuevamente correo al punto de venta el 17 de marzo solicitando seguimiento </t>
  </si>
  <si>
    <t>Cr Ach Bancolombia Alianza Medellin Nit900604350 Fac 281100694087 Alianza Me</t>
  </si>
  <si>
    <t>Cr Ach Ban Occidente Proyectos Diseno Nit9002634504 Inf Pagofiltrosgobernaci</t>
  </si>
  <si>
    <t>17080383</t>
  </si>
  <si>
    <t>Incoming Payments - C900598714</t>
  </si>
  <si>
    <t>Se envía nuevamente correo a la regional el 17 de marzo solicitando revision</t>
  </si>
  <si>
    <t>Se envía nuevamente correo al area comercial el 17 de marzo solicitando revision</t>
  </si>
  <si>
    <t>VETEL BOG</t>
  </si>
  <si>
    <t xml:space="preserve">ANTIOQUIA </t>
  </si>
  <si>
    <t>Se envía correo a la regional el 17 de marzo solicitando revision</t>
  </si>
  <si>
    <t>REF 1022357307</t>
  </si>
  <si>
    <t>CALYPSO KENNEDY</t>
  </si>
  <si>
    <t>REF 71978833</t>
  </si>
  <si>
    <t>REVISAR CON BECERRA ASPRILLA JUAN DIEGO CC 71978833 CLIENTE CONTADO CALYPSO KENNEDY</t>
  </si>
  <si>
    <t xml:space="preserve">Se envía correo al punto de venta el 17 de marzo solicitando seguimiento </t>
  </si>
  <si>
    <t>TARJETA PASADA EN  CALYPSO SAN CARLOS</t>
  </si>
  <si>
    <t>REF 52727869</t>
  </si>
  <si>
    <t>REVISAR CON TORRES  LILIANA CC 52727869 CLIENTE CONTADO  CALYPSO KENNEDY</t>
  </si>
  <si>
    <t>REF 52819651</t>
  </si>
  <si>
    <t xml:space="preserve">REVISAR CON SANDRA MUÑOZ CC52819651 CLIENTE CONTADO  CALYPSO SAN CARLOS </t>
  </si>
  <si>
    <t xml:space="preserve">CENTRO SUR </t>
  </si>
  <si>
    <t>REF 19212335</t>
  </si>
  <si>
    <t>REVISAR CON HUGO VALDERRAMA C19212335 CLIENTE CONTADO CALYPSO RIONEGRO</t>
  </si>
  <si>
    <t>REF 43451159</t>
  </si>
  <si>
    <t xml:space="preserve">CALYPSO URABA </t>
  </si>
  <si>
    <t>Se envía correo al area comercial el 17 de marzo solicitando revision</t>
  </si>
  <si>
    <t xml:space="preserve"> PAGO QR JUAN MANUEL G</t>
  </si>
  <si>
    <t xml:space="preserve"> PAGO QR LELYS JOHANA</t>
  </si>
  <si>
    <t xml:space="preserve"> PAGO QR MIGUEL ANGEL</t>
  </si>
  <si>
    <t xml:space="preserve"> PAGO QR OSCAR PUENTES</t>
  </si>
  <si>
    <t xml:space="preserve"> PAGO QR MERY SUAREZ G</t>
  </si>
  <si>
    <t xml:space="preserve"> PAGO QR DAVID ALBERTO</t>
  </si>
  <si>
    <t xml:space="preserve"> PAGO QR LUZ MYRIAM ME</t>
  </si>
  <si>
    <t xml:space="preserve"> PAGO QR RICARDO DAVID</t>
  </si>
  <si>
    <t>Incoming Payments - C79053716</t>
  </si>
  <si>
    <t>Incoming Payments - C11185112</t>
  </si>
  <si>
    <t>Incoming Payments - C901793163</t>
  </si>
  <si>
    <t>Incoming Payments - C70072234</t>
  </si>
  <si>
    <t>Incoming Payments - C901687394</t>
  </si>
  <si>
    <t>Incoming Payments - C901166054</t>
  </si>
  <si>
    <t>Incoming Payments - C11188215</t>
  </si>
  <si>
    <t>REF 13321960531</t>
  </si>
  <si>
    <t xml:space="preserve">RTA BANCO MAR 19: CB 77347  BARRIO CENTRO CUCUTA  16   </t>
  </si>
  <si>
    <t>Se envía  correo a la regional el 17 de marzo solicitando revision</t>
  </si>
  <si>
    <t>PAGO TRASLADO HECHO POR CCA ALIANZA FID CON NIT 800194297 P OR CONCEPTO 100800003 Y REFERENCIA 260102813527</t>
  </si>
  <si>
    <t>RTA BANCO MAR 19. SIN MAS INFORMACION</t>
  </si>
  <si>
    <t xml:space="preserve">Partida sin identificar </t>
  </si>
  <si>
    <t>Traslado de fondos por SUCURSAL VIRTUAL del producto 716-87 887500</t>
  </si>
  <si>
    <t>INFO BANCO: CHRISTIAN CAMILO NARVAEZ REVELO CC 1124852512 - ASESOR GONZALEZ GALINDO YILMARK-CALI</t>
  </si>
  <si>
    <t>Traslado de fondos por SUCURSAL VIRTUAL del producto 105-37 382821</t>
  </si>
  <si>
    <t>REVISAR CON COCIO JAIDER CC 98778619 CLEINTE CONTADO CALYPSO BELLO</t>
  </si>
  <si>
    <t>PAGO TRASLADO HECHO POR WTEX SAS CON NIT 900942379 POR CONCEPTO 900942379 Y REFERENCIA</t>
  </si>
  <si>
    <t>REVISAR CON WTEX S.A.S. NIT 900942379-2 CLIENTE CONTADO PLASTIQUINCE BUCARAMANGA</t>
  </si>
  <si>
    <t>Traslado de fondos por SUCURSAL VIRTUAL del producto 453-01 976503</t>
  </si>
  <si>
    <t>REVISAR CON MEDINA LEIDY CC 36297368 CLIENTE CONTADO ASESOR ECOMERRCE TOHUICA</t>
  </si>
  <si>
    <t>CORREO BANCO</t>
  </si>
  <si>
    <t>Se envía correo al banco el 17 de marzo solicitando mas informacion</t>
  </si>
  <si>
    <t>Traslado de fondos por SUCURSAL VIRTUAL del producto 645-62 290000</t>
  </si>
  <si>
    <t>INFO BANCO: CARLOS ALONSO PENAGOS  CC 8323508 - CLIENTE CONTADO SABANA VILLAVICENCIO</t>
  </si>
  <si>
    <t>Traslado de fondos por SUCURSAL VIRTUAL del producto 645-00 028783</t>
  </si>
  <si>
    <t xml:space="preserve">REF 1028027892 YESITH TORRES TORRES     </t>
  </si>
  <si>
    <t>REF  2050319</t>
  </si>
  <si>
    <t>CC  2050319</t>
  </si>
  <si>
    <t>Traslado de fondos por SUCURSAL VIRTUAL del producto 848-34 632224</t>
  </si>
  <si>
    <t xml:space="preserve">CC 38857019 MARIA MAGNOLIA OROZCO AGUIRRE    </t>
  </si>
  <si>
    <t>REVISAR CON ALEXANDRA CASTILLO ORTIZ CC 66942601</t>
  </si>
  <si>
    <t>No se encuentra creado como cliente</t>
  </si>
  <si>
    <t>Traslado de fondos por SUCURSAL VIRTUAL del producto 792-78 753757</t>
  </si>
  <si>
    <t>REVISAR CON MORENO GARCIA FANNY CC 37285509 CLIENTE CONTADO CALYPSO CENTRO BUCARAMANGA</t>
  </si>
  <si>
    <t>REF20500450</t>
  </si>
  <si>
    <t>REVISAR CON POVEDA NAVARRETE DORIS ESPERANZA CC 20500450 - CLIENTE CONTADO CALYPSO ZIPAQUIRA</t>
  </si>
  <si>
    <t>Ref20500450</t>
  </si>
  <si>
    <t>REVISAR CON MANCHOLA  LEYDER CC 8323508 CLIENTE CONTADO SABANA VILLAVICENCIO</t>
  </si>
  <si>
    <t>CRUCE 18 - PTE $325.950</t>
  </si>
  <si>
    <t>REVISAR CON DIRTY OFF SAS - NIT 830019537 - ASESOR: CALYPSO KENNEDY</t>
  </si>
  <si>
    <t>Cruce 18 - Pte $325.950</t>
  </si>
  <si>
    <t>Traslado de fondos por SUCURSAL VIRTUAL del producto 549-70 546165</t>
  </si>
  <si>
    <t>REVISR CON HENAO SANCHEZ TATINA CC 1028007808 - CLIENTE CONTADO CALYPSO APARTADO</t>
  </si>
  <si>
    <t>REF 52482849</t>
  </si>
  <si>
    <t>INFO BANCO REF 52482849 SANDRA PATRICIA MOJICA LOPEZ</t>
  </si>
  <si>
    <t>REF  7234391</t>
  </si>
  <si>
    <t>INFO BANCO REF 7234391</t>
  </si>
  <si>
    <t>Pago TRANSFER hecho por RAFAEL BEJARANO con NIT 0091488772 porconcepto 002101041 y referencia 000000000000 Referencias adicionales: 000000000000000000000000 - antideslizante ipial</t>
  </si>
  <si>
    <t>REVISAR CON BEJARANO GUALDRON RAFAEL NIT  91488772-3, CLIENTE CONTADO JAIMES SUESCUN ELEAZAR - B/MANGA</t>
  </si>
  <si>
    <t>REF 3321960531</t>
  </si>
  <si>
    <t>RTA BANCO MAR 19: CB 46764 PTM MEDELLIN VARIEDADES CONET</t>
  </si>
  <si>
    <t>PAGO TRASLADO HECHO POR CCA ALIANZA FID CON NIT 800194297 P OR CONCEPTO 100700007 Y REFERENCIA 860104107644</t>
  </si>
  <si>
    <t xml:space="preserve"> PAGO DE PROV OOH LALA PETS</t>
  </si>
  <si>
    <t xml:space="preserve"> PAGO DE PROV CREPES Y WAFFLES</t>
  </si>
  <si>
    <t xml:space="preserve"> PAGO INTERBANC EDIFICIO CANAPR</t>
  </si>
  <si>
    <t xml:space="preserve"> PAGO DE PROV LUVAGA S A S</t>
  </si>
  <si>
    <t xml:space="preserve"> PAGO DE PROV GYM SOLUTIONS</t>
  </si>
  <si>
    <t xml:space="preserve"> PAGO DE PROV ALMACENES LA 13</t>
  </si>
  <si>
    <t>Se Está Verficando La Novedad De 2 Millones, Este Pago Corresponde A Pendiente En Enero</t>
  </si>
  <si>
    <t>Incoming Payments - C80174653</t>
  </si>
  <si>
    <t>Incoming Payments - C901394751</t>
  </si>
  <si>
    <t>Pagos recibidos - C901758164</t>
  </si>
  <si>
    <t>Incoming Payments - C900812654</t>
  </si>
  <si>
    <t>Pagos recibidos - C12226864</t>
  </si>
  <si>
    <t>1 al 30 de Abril 2026</t>
  </si>
  <si>
    <t>VTA EXT BOG</t>
  </si>
  <si>
    <t xml:space="preserve">Cruce 18 - Pte $325.950 </t>
  </si>
  <si>
    <t>REF 1073230471</t>
  </si>
  <si>
    <t>REVISAR CON CC 1073230471 HAROLD ALBERTO CALLE GONZALEZ - CLIENTE CONTADO CALYPSO FUNZA</t>
  </si>
  <si>
    <t>Se enviará correo al punto de venta solicitando revision el dia 20 de abril</t>
  </si>
  <si>
    <t>REF 15527578</t>
  </si>
  <si>
    <t>REVISAR CON CC 15527578 VANEGAS  GUILLERMO - CLIENTE CONTADO CALYPSO MEDELLIN SAN ANTONIO</t>
  </si>
  <si>
    <t>Se enviará correo a la regional solicitando revision el dia 20 de abril</t>
  </si>
  <si>
    <t>Se envía correo al banco el dia 18 de Abril Solicitando mas información</t>
  </si>
  <si>
    <t>REF 43144560</t>
  </si>
  <si>
    <t xml:space="preserve">REVISAR CON CC 43144560 MARTINEZ  OVEIDA CLIENTE CONTADO CALYPSO APARTADO </t>
  </si>
  <si>
    <t>REF 43516017</t>
  </si>
  <si>
    <t>REVISAR CON CC 43516017 RAVE OCHOA MARTHA CECILIA - CLIENTE CONTADO CALYPSO MEDELLIN SN ANTONIO</t>
  </si>
  <si>
    <t>Traslado de fondos por SUCURSAL VIRTUAL del producto 268-25 881190</t>
  </si>
  <si>
    <t>REVISAR CON CC 71777093 ALVARO ALEJANDRO AGUIRRE CADAVID  CLIENTE CONTADO ECOMMERCE</t>
  </si>
  <si>
    <t>Traslado de fondos por SUCURSAL VIRTUAL del producto 272-00 006098</t>
  </si>
  <si>
    <t xml:space="preserve">REVISAR CON CC 901909871 TOURMALET CYCLING SAS      </t>
  </si>
  <si>
    <t>Traslado de fondos por SUCURSAL VIRTUAL del producto 912-81 232946</t>
  </si>
  <si>
    <t>REVISAR CON GIL ORTIZ RAMON ALBEIRO NIT:71775975-CLIENTE CONTADO DE CALYPSO MEDELLIN SAN ANTONIO</t>
  </si>
  <si>
    <t>Traslado de fondos por SUCURSAL VIRTUAL del producto 178-70 321929</t>
  </si>
  <si>
    <t>REVISAR CON RENOVA NIT:900582026, ASESOR RODRIGUEZ SUAREZ, LORENA</t>
  </si>
  <si>
    <t>CALYPSO PROYECTOS</t>
  </si>
  <si>
    <t>REF 1077861831</t>
  </si>
  <si>
    <t>REVISAR CON CC 1077861831 JONNATHAN GERARDO IBARRA RAMOS - CLIENTE CONTADO CALYPSO NEIVA</t>
  </si>
  <si>
    <t xml:space="preserve"> PAGO DE PROV CONSTRUCTORA LO</t>
  </si>
  <si>
    <t>PAGO TRASLADO HECHO POR CONSTRUCTORA LO CON NIT 900745039 P OR CONCEPTO Y REFERENCIA</t>
  </si>
  <si>
    <t>REVISAR CON 900745039 COSTRUCTORA LOS ANGELES DC SAS CLIENTE CONTADO</t>
  </si>
  <si>
    <t>CALYPSO 7 AGOSTO</t>
  </si>
  <si>
    <t>Pago Traslado Hecho Por Constructora Lo Con Nit 900745039 P Or Concepto Y Referencia</t>
  </si>
  <si>
    <t>Traslado de fondos por SUCURSAL VIRTUAL del producto 205-67 075501</t>
  </si>
  <si>
    <t>REVISAR CON PALOMINO PLAZAS EDITH C51904901- ASESOR CATERNAIN CUADROS</t>
  </si>
  <si>
    <t>Se enviará correo al area comercial solicitando revision el dia 20 de abril</t>
  </si>
  <si>
    <t>REF 1083911350</t>
  </si>
  <si>
    <t xml:space="preserve">REVISAR CON CC 1083911350  YUDY ALEXANDRA RIVAS CARDOZO </t>
  </si>
  <si>
    <t>PAGO TRASLADO HECHO POR CCA ALIANZA FID CON NIT 800194297 P OR CONCEPTO 100300186 Y REFERENCIA 340104978973</t>
  </si>
  <si>
    <t>PAGO TRASLADO HECHO POR ADC DECORACIONE CON NIT 830014921 P OR CONCEPTO Y REFERENCIA</t>
  </si>
  <si>
    <t xml:space="preserve">REVISAR CON ADC DECORACIONE CON NIT 830014921 - ASESOR CALYPSO 7 AGOSTO </t>
  </si>
  <si>
    <t>Traslado de fondos por SUCURSAL VIRTUAL del producto 912-25 143612</t>
  </si>
  <si>
    <t xml:space="preserve">REVISAR CON CC 53167481 LEYDI JOHANA RODRIGUEZ OSORIO      - CLIENTE CONTADO CALYPSO IBBAGUE </t>
  </si>
  <si>
    <t>Ref. 890705049</t>
  </si>
  <si>
    <t xml:space="preserve">Revisar con Almacen la Fama asesor Carlos Moreno </t>
  </si>
  <si>
    <t>Centro</t>
  </si>
  <si>
    <t>Traslado de fondos por SUCURSAL VIRTUAL del producto 313-93 623937</t>
  </si>
  <si>
    <t>REVISAR CON CC 71670839 NICOLAS DE JESUS GRISALES BEDOYA- CLIENTE CONTADO CALYPSO MEDELLIN LAURELES</t>
  </si>
  <si>
    <t>Traslado de fondos por SUCURSAL VIRTUAL del producto 303-00 001161</t>
  </si>
  <si>
    <t xml:space="preserve">REVSIAR CON NIT  901532328 LUxURY HOME COL SAS- CLIENTE CONTADO PLASTIQUINCE BUCARAMANGA </t>
  </si>
  <si>
    <t>PAGO TRASLADO HECHO POR OOH LALA PETS CON NIT 901524610 POR CONCEPTO Y REFERENCIA</t>
  </si>
  <si>
    <t>REVISAR CON OOH LALA PETS CON NIT 901524610 - ASESOR SABANA FONTIBON</t>
  </si>
  <si>
    <t>REF 1032364139</t>
  </si>
  <si>
    <t>REVISAR CON CC 1032364139 JULIE ESMERALDA ALDANA CONDE - CLIENTE CONTADO CALYPSO 12 DE OCTUBRE</t>
  </si>
  <si>
    <t>REF 1006343606</t>
  </si>
  <si>
    <t>REVISAR CON CC 1006343606 HUBEIMAR ALEXIS SANTACRUZ CUARAN</t>
  </si>
  <si>
    <t>REVISAR CON CC1040353423 BLANCO  YORBI - CLIENTE CONTADO CALYPSO APARTADO</t>
  </si>
  <si>
    <t>REF 1</t>
  </si>
  <si>
    <t>REF 7181200</t>
  </si>
  <si>
    <t>REVISAR CON CC 7181200 MUÑOZ IBAÑEZ JOHN FRANCISCO- CLIENTE CONTADO CALYPSO TUNJA</t>
  </si>
  <si>
    <t>PAGO DE PROV CREPES Y WAFFLES</t>
  </si>
  <si>
    <t>REVISAR CON CREPES Y WAFFLES S.A. NIT 860076919 - CLIENTE DE SABAN TOBERIN</t>
  </si>
  <si>
    <t>PAGO TRASLADO HECHO POR CCA ALIANZA FID CON NIT 800194297 P OR CONCEPTO 100300281 Y REFERENCIA 970105530798</t>
  </si>
  <si>
    <t>Pago PROVEEDOR hecho por EDIFICIO CANAPRO con NIT 8300705262por concepto 210029724 y referencia PISO CAUCHO Referencias adicionales: PISO CAUCHO ASCENSOR - MEJORA</t>
  </si>
  <si>
    <t>REVISAR PAGO DOBLE EDIFICIO CANAPRO con NIT 8300705262 CLIENTE CONTADO TODO PISOS</t>
  </si>
  <si>
    <t>PAGO TRASLADO HECHO POR LUVAGA S A S CON NIT 800009973 POR  CONCEPTO PAG ANTIC Y REFERENCIA I 009 26</t>
  </si>
  <si>
    <t>REVISAR CON LUVAGA S A S CON NIT 800009973  - CLIENTE CONTADO CALYPSO CALI CRA 8</t>
  </si>
  <si>
    <t>Traslado de fondos por SUCURSAL VIRTUAL del producto 597-93 130052</t>
  </si>
  <si>
    <t>REVISAR CON 1005755439 JONATHAN FELIPE SANCHEZ QUINTANA</t>
  </si>
  <si>
    <t>PAGO TRASLADO HECHO POR GYM SOLUTIONS CON NIT 900514018 POR CONCEPTO LA SABANA Y REFERENCIA</t>
  </si>
  <si>
    <t>REVISAR CON GYM SOLUTIONS CON NIT 900514018  CLIENTE SABANA TABORA</t>
  </si>
  <si>
    <t>REF 901545052</t>
  </si>
  <si>
    <t>REVISAR CON CC 901545052 GRUPO FENORTE &amp; ECOTEX S.A.S - ASESOR CONTRERAS AGUILLON ALEJANDRO-CUCUTA</t>
  </si>
  <si>
    <t>REF 890903938</t>
  </si>
  <si>
    <t>REVISAR CON UNIDROGAS SA NIT 890903938- CLIENTE CONTADO CALYPSO MEDELLIN SAN ANTONIO</t>
  </si>
  <si>
    <t>Traslado de fondos por SUCURSAL VIRTUAL del producto 008-45 405280</t>
  </si>
  <si>
    <t>REVISAR CON CC 3391959 ANDRES FELIPE GAVIRIA LONDOÑO - CLIENTE CONTADO CALYPSO MEDELLIN SAN ANTONIO</t>
  </si>
  <si>
    <t>PAGO DE PROV ALMACENES LA 13</t>
  </si>
  <si>
    <t xml:space="preserve">REVISAR CON NOT 900212550-4 ALMACENES LA 13 S.A.S - CLIENTE CALYPSO CALI CRA 8 </t>
  </si>
  <si>
    <t>Traslado de fondos por SUCURSAL VIRTUAL del producto 706-05 700318</t>
  </si>
  <si>
    <t>REF 1100975370</t>
  </si>
  <si>
    <t xml:space="preserve">REVISAR CON CC 15255116 JUAN GUILLERMO CORREA OCHOA </t>
  </si>
  <si>
    <t>Traslado de fondos por SUCURSAL VIRTUAL del producto 895-00 001988</t>
  </si>
  <si>
    <t>CONSIG LOCAL REFEREN</t>
  </si>
  <si>
    <t>TRANSFERENCIA DESDE</t>
  </si>
  <si>
    <t>TRANSFERENCIA CTA SU</t>
  </si>
  <si>
    <t>PAGO DE PROV INVERSI</t>
  </si>
  <si>
    <t>PAGO DE PROV JJ MALL</t>
  </si>
  <si>
    <t>PAGO VIRTUAL PSE</t>
  </si>
  <si>
    <t>PAGO DE PROV EYC CON</t>
  </si>
  <si>
    <t>CONSIG NAL REFERENCI</t>
  </si>
  <si>
    <t>PAGO DE PROV PRIMER</t>
  </si>
  <si>
    <t>PAGO DE PROV COMERCI</t>
  </si>
  <si>
    <t>PAGO DE PROV CCA ALI</t>
  </si>
  <si>
    <t>PAGO DE PROV TAPICER</t>
  </si>
  <si>
    <t>PAGO DE PROV FERRETE</t>
  </si>
  <si>
    <t>PAGO DE PROV NEGOCIA</t>
  </si>
  <si>
    <t>Abono reclamo 801841</t>
  </si>
  <si>
    <t>PAGO INTERBANC POSIT</t>
  </si>
  <si>
    <t>PAGO DE PROV IDEAS C</t>
  </si>
  <si>
    <t>PAGO DE PROV URBANIZ</t>
  </si>
  <si>
    <t>PAGO DE PROV SOMOS N</t>
  </si>
  <si>
    <t>PAGO DE PROV MUEBLER</t>
  </si>
  <si>
    <t>PAGO DE PROV LADRI L</t>
  </si>
  <si>
    <t>PAGO INTERBANC INVER</t>
  </si>
  <si>
    <t>PAGO DE PROV MAS IMA</t>
  </si>
  <si>
    <t>PAGO INTERBANC BANCO</t>
  </si>
  <si>
    <t>PAGO DE PROV CREDICO</t>
  </si>
  <si>
    <t>PAGO INTERBANC LOGIS</t>
  </si>
  <si>
    <t>PAGO DE PROV TRANSEB</t>
  </si>
  <si>
    <t>PAGO INTERBANC ASOCI</t>
  </si>
  <si>
    <t>PAGO DE PROV BTRES S</t>
  </si>
  <si>
    <t>PAGO DE PROV I C ESC</t>
  </si>
  <si>
    <t>PAGO DE PROV DISEÑOS</t>
  </si>
  <si>
    <t>PAGO DE PROV JOTA MU</t>
  </si>
  <si>
    <t>PAGO INTERBANC RENTA</t>
  </si>
  <si>
    <t>PAGO INTERBANC FONDO</t>
  </si>
  <si>
    <t>PAGO INTERBANC ZINCO</t>
  </si>
  <si>
    <t>PAGO DE PROV CONSORC</t>
  </si>
  <si>
    <t>PAGO INTERBANC GRUPO</t>
  </si>
  <si>
    <t>PAGO INTERBANC MERCA</t>
  </si>
  <si>
    <t>PAGO INTERBANC ADC D</t>
  </si>
  <si>
    <t>PAGO QR XIMENA CASTI</t>
  </si>
  <si>
    <t>PAGO DE PROV ELEVEN</t>
  </si>
  <si>
    <t>PAGO DE PROV MASSA</t>
  </si>
  <si>
    <t>PAGO DE PROV FRIO &amp;</t>
  </si>
  <si>
    <t>PAGO INTERBANC K10 D</t>
  </si>
  <si>
    <t>PAGO INTERBANC CINCI</t>
  </si>
  <si>
    <t>PAGO DE PROV PARCHIT</t>
  </si>
  <si>
    <t>PAGO DE PROV G3 INVE</t>
  </si>
  <si>
    <t>PAGO DE PROV PROASFA</t>
  </si>
  <si>
    <t>PAGO INTERBANC ALQUI</t>
  </si>
  <si>
    <t>PAGO DE PROV BANDAS</t>
  </si>
  <si>
    <t>PAGO DE PROV MESACE</t>
  </si>
  <si>
    <t>PAGO INTERBANC INNOL</t>
  </si>
  <si>
    <t>PAGO DE PROV INDUSTR</t>
  </si>
  <si>
    <t>PAGO DE PROV CONSTRU</t>
  </si>
  <si>
    <t>PAGO INTERBANC ALEJA</t>
  </si>
  <si>
    <t>PAGO DE PROV DISEMPA</t>
  </si>
  <si>
    <t>PAGO INTERBANC INDUS</t>
  </si>
  <si>
    <t>PAGO DE PROV INNERCI</t>
  </si>
  <si>
    <t>PAGO INTERBANC CREDI</t>
  </si>
  <si>
    <t>PAGO DE PROV ACME IN</t>
  </si>
  <si>
    <t>PAGO DE PROV R&amp;C TEQ</t>
  </si>
  <si>
    <t>PAGO DE PROV FABERPO</t>
  </si>
  <si>
    <t>PAGO DE PROV JDM ETI</t>
  </si>
  <si>
    <t>PAGO DE PROV SERVIOF</t>
  </si>
  <si>
    <t>PAGO DE PROV PRANA P</t>
  </si>
  <si>
    <t>PAGO INTERBANC COLOR</t>
  </si>
  <si>
    <t>RECAUDO SUCURSAL VIR</t>
  </si>
  <si>
    <t>PAGO DE PROV ESPUART</t>
  </si>
  <si>
    <t>PAGO INTERBANC CONJU</t>
  </si>
  <si>
    <t>PAGO INTERBANC RGD A</t>
  </si>
  <si>
    <t>PAGO INTERBANC HOTEL</t>
  </si>
  <si>
    <t>PAGO DE PROV OFIPART</t>
  </si>
  <si>
    <t>PAGO INTERBANC PROHV</t>
  </si>
  <si>
    <t>PAGO DE PROV MULTIDI</t>
  </si>
  <si>
    <t>TRASLADO DE FONDO DE</t>
  </si>
  <si>
    <t>PAGO DE PROV COLDISE</t>
  </si>
  <si>
    <t>PAGO INTERBANC BLINS</t>
  </si>
  <si>
    <t>PAGO INTERBANC BEYON</t>
  </si>
  <si>
    <t>PAGO INTERBANC E CON</t>
  </si>
  <si>
    <t>PAGO DE PROV HERMANO</t>
  </si>
  <si>
    <t>PAGO INTERBANC KROKI</t>
  </si>
  <si>
    <t>PAGO INTERBANC L amp</t>
  </si>
  <si>
    <t>Pagos efectuados - E1070952059 - Wiz20260415n1</t>
  </si>
  <si>
    <t>PP 1010072053</t>
  </si>
  <si>
    <t>Pagos efectuados - E1014204419 - Wiz20260424n1</t>
  </si>
  <si>
    <t>PP 1010072421</t>
  </si>
  <si>
    <t>Pagos efectuados - E1144054958 - Wiz20260424n1</t>
  </si>
  <si>
    <t>PP 1010072422</t>
  </si>
  <si>
    <t>Pagos efectuados - E93374290 - Wiz20260429n1</t>
  </si>
  <si>
    <t>PP 1010072472</t>
  </si>
  <si>
    <t>Pagos recibidos - C830005198</t>
  </si>
  <si>
    <t>PR 1010283865</t>
  </si>
  <si>
    <t>Se esta verificando partida de enero ya que este pago se encontraba pendiente</t>
  </si>
  <si>
    <t>Calypso Proyectos</t>
  </si>
  <si>
    <t>Incoming Payments - C10238260</t>
  </si>
  <si>
    <t>PR 1055414107</t>
  </si>
  <si>
    <t>Incoming Payments - C52736553</t>
  </si>
  <si>
    <t>PR 1055414140</t>
  </si>
  <si>
    <t>ERROR BANCO PV030 PR 1055415688</t>
  </si>
  <si>
    <t>AS 13567474</t>
  </si>
  <si>
    <t>PR 1055415206</t>
  </si>
  <si>
    <t>Incoming Payments - C1023930514</t>
  </si>
  <si>
    <t>PR 1055418299</t>
  </si>
  <si>
    <t>Incoming Payments - C822007837</t>
  </si>
  <si>
    <t>PR 1055416589</t>
  </si>
  <si>
    <t>42095 / 42075</t>
  </si>
  <si>
    <t>PR 1010285022</t>
  </si>
  <si>
    <t>Pagos recibidos - C901550146</t>
  </si>
  <si>
    <t>PR 1010284982</t>
  </si>
  <si>
    <t>Incoming Payments - C830041046</t>
  </si>
  <si>
    <t>PR 1055422269</t>
  </si>
  <si>
    <t>Pagos recibidos - C20916419</t>
  </si>
  <si>
    <t>PR 1010285249</t>
  </si>
  <si>
    <t>Cruce 26 - $1.530.000 Reclasificacion Bancolombia Ahorros</t>
  </si>
  <si>
    <t>Incoming Payments - C1032479135</t>
  </si>
  <si>
    <t>PR 1055424161</t>
  </si>
  <si>
    <t>Incoming Payments - C1000271721</t>
  </si>
  <si>
    <t>PR 1055423245</t>
  </si>
  <si>
    <t>Incoming Payments - C1069054218</t>
  </si>
  <si>
    <t>PR 1055424666</t>
  </si>
  <si>
    <t>PAAGO FACTURA 54568</t>
  </si>
  <si>
    <t>DP 213501</t>
  </si>
  <si>
    <t>Incoming Payments - C901282551</t>
  </si>
  <si>
    <t>PR 1055423449</t>
  </si>
  <si>
    <t>PR 1055425405</t>
  </si>
  <si>
    <t>Incoming Payments - C900812751</t>
  </si>
  <si>
    <t>PR 1055427231</t>
  </si>
  <si>
    <t>Incoming Payments - C70905757</t>
  </si>
  <si>
    <t>PR 1055428029</t>
  </si>
  <si>
    <t>Incoming Payments - C901741946</t>
  </si>
  <si>
    <t>PR 1055430180</t>
  </si>
  <si>
    <t>PAGO TOTAL FACT 73097 ABONO FACT 73876</t>
  </si>
  <si>
    <t>PR 1010285542</t>
  </si>
  <si>
    <t>Incoming Payments - C900088089</t>
  </si>
  <si>
    <t>PR 1055428851</t>
  </si>
  <si>
    <t>Incoming Payments - C901249088</t>
  </si>
  <si>
    <t>PR 1055429334</t>
  </si>
  <si>
    <t>Incoming Payments - C901706854</t>
  </si>
  <si>
    <t>PR 1055429415</t>
  </si>
  <si>
    <t>92075/92167/37581</t>
  </si>
  <si>
    <t>PR 1010285481</t>
  </si>
  <si>
    <t>Pagos recibidos - C7181200</t>
  </si>
  <si>
    <t>PR 1010285916</t>
  </si>
  <si>
    <t>Incoming Payments - C1123329634</t>
  </si>
  <si>
    <t>PR 1055431496</t>
  </si>
  <si>
    <t>Incoming Payments - C901581332</t>
  </si>
  <si>
    <t>PR 1055433045</t>
  </si>
  <si>
    <t>Incoming Payments - C52353486</t>
  </si>
  <si>
    <t>PR 1055433749</t>
  </si>
  <si>
    <t>Incoming Payments - C80396584</t>
  </si>
  <si>
    <t>PR 1055434720</t>
  </si>
  <si>
    <t>FACTURA 16490</t>
  </si>
  <si>
    <t>PR 1010285881</t>
  </si>
  <si>
    <t>Incoming Payments - C1151953757</t>
  </si>
  <si>
    <t>PR 1055435207</t>
  </si>
  <si>
    <t>Incoming Payments - C42896207</t>
  </si>
  <si>
    <t>PR 1055436339</t>
  </si>
  <si>
    <t>Incoming Payments - C39716808</t>
  </si>
  <si>
    <t>PR 1055436505</t>
  </si>
  <si>
    <t>Incoming Payments - C1017236218</t>
  </si>
  <si>
    <t>PR 1055438239</t>
  </si>
  <si>
    <t>Incoming Payments - C811036222</t>
  </si>
  <si>
    <t>PR 1055438067</t>
  </si>
  <si>
    <t>Incoming Payments - C860075498</t>
  </si>
  <si>
    <t>PR 1055437934</t>
  </si>
  <si>
    <t>fac 24213-24490+24629+25130+25200</t>
  </si>
  <si>
    <t>PR 1010286141</t>
  </si>
  <si>
    <t>Incoming Payments - C1035919579</t>
  </si>
  <si>
    <t>PR 1055439899</t>
  </si>
  <si>
    <t>Pagos recibidos - C1080295318</t>
  </si>
  <si>
    <t>PR 1010286260</t>
  </si>
  <si>
    <t>PR 1010286246</t>
  </si>
  <si>
    <t>PR 1010286249</t>
  </si>
  <si>
    <t>FAC 25968</t>
  </si>
  <si>
    <t>DP 214322</t>
  </si>
  <si>
    <t>PR 1010286331</t>
  </si>
  <si>
    <t>FACT  91956</t>
  </si>
  <si>
    <t>PR 1010286416</t>
  </si>
  <si>
    <t>Incoming Payments - C80216884</t>
  </si>
  <si>
    <t>PR 1055445877</t>
  </si>
  <si>
    <t>Pagos recibidos - C700060357</t>
  </si>
  <si>
    <t>PR 1010286507</t>
  </si>
  <si>
    <t>Incoming Payments - C1016033861</t>
  </si>
  <si>
    <t>PR 1055444993</t>
  </si>
  <si>
    <t>PAGO DE FACTURAS 39136 - E491-735</t>
  </si>
  <si>
    <t>PR 1010286490</t>
  </si>
  <si>
    <t>PR 1010286503</t>
  </si>
  <si>
    <t>Incoming Payments - C901066834</t>
  </si>
  <si>
    <t>PR 1055448155</t>
  </si>
  <si>
    <t>FAC 24485</t>
  </si>
  <si>
    <t>PR 1010286621</t>
  </si>
  <si>
    <t>Incoming Payments - C900109668</t>
  </si>
  <si>
    <t>PR 1055449708</t>
  </si>
  <si>
    <t>Pagos recibidos - C86003900</t>
  </si>
  <si>
    <t>PR 1010286882</t>
  </si>
  <si>
    <t>Incoming Payments - C830108127</t>
  </si>
  <si>
    <t>PR 1055451450</t>
  </si>
  <si>
    <t>PR 1055453704</t>
  </si>
  <si>
    <t>Incoming Payments - C700186283</t>
  </si>
  <si>
    <t>PR 1055454214</t>
  </si>
  <si>
    <t>Pagos recibidos - C830107226</t>
  </si>
  <si>
    <t>PR 1010287028</t>
  </si>
  <si>
    <t>Incoming Payments - C79718074</t>
  </si>
  <si>
    <t>PR 1055453405</t>
  </si>
  <si>
    <t>PR 1055452595</t>
  </si>
  <si>
    <t>Incoming Payments - C79049763</t>
  </si>
  <si>
    <t>PR 1055455934</t>
  </si>
  <si>
    <t>PR 1055454820</t>
  </si>
  <si>
    <t>Pagos recibidos - C901243065</t>
  </si>
  <si>
    <t>PR 1010287236</t>
  </si>
  <si>
    <t>Incoming Payments - C1015216667</t>
  </si>
  <si>
    <t>PR 1055457536</t>
  </si>
  <si>
    <t>DP 215138</t>
  </si>
  <si>
    <t>Incoming Payments - C901758520</t>
  </si>
  <si>
    <t>PR 1055458117</t>
  </si>
  <si>
    <t>PAGO DE FACTURA 68626</t>
  </si>
  <si>
    <t>PR 1010287336</t>
  </si>
  <si>
    <t>Incoming Payments - C3173889</t>
  </si>
  <si>
    <t>PR 1055460469</t>
  </si>
  <si>
    <t>Incoming Payments - C902021190</t>
  </si>
  <si>
    <t>PR 1055459252</t>
  </si>
  <si>
    <t>reclasificacion r entrada para número de pago recibido 1010287641</t>
  </si>
  <si>
    <t>AS 13586725</t>
  </si>
  <si>
    <t>Incoming Payments - C901211844</t>
  </si>
  <si>
    <t>PR 1055459336</t>
  </si>
  <si>
    <t>Incoming Payments - C901152732</t>
  </si>
  <si>
    <t>PR 1055460143</t>
  </si>
  <si>
    <t>OK ABRIL PR 1010285881</t>
  </si>
  <si>
    <t>Ok Abril Pr 1010285881</t>
  </si>
  <si>
    <t>Abono por recaudos con comprobante 20916419</t>
  </si>
  <si>
    <t>Abono dispersion pago a proveedores - Otros De Nova Comunicaciln Grafica S A S</t>
  </si>
  <si>
    <t>Cr Ach Banco Finandin Banco Finandina Nit860051894 Fac Transferencia</t>
  </si>
  <si>
    <t>Abono transferencia por canal electronico el 16/04/2026 desde 00039716808 LOPEZ CHAVARRO,NELLY CONSUELO</t>
  </si>
  <si>
    <t>Dispersion de fondo del Banco AvVillas Numero de identificacion NIT 000000860075498 por ATH</t>
  </si>
  <si>
    <t>Cr Ach Davibank S.A. Caja De Compensa Nit8600669427 Inf 183817277</t>
  </si>
  <si>
    <t>Cr Ach Bandavivienda Carlos Brand Nit11341299 Inf Saldo Fact 24485</t>
  </si>
  <si>
    <t>Abono transferencia por canal electronico el 21/04/2026 desde 00098398396 CORAL ROSERO ALEX ERNESTO</t>
  </si>
  <si>
    <t>17080342</t>
  </si>
  <si>
    <t>Abono transferencia por canal electronico el 27/04/2026 desde 09013835439 INTEGRA-2 SAS</t>
  </si>
  <si>
    <t>Abono transferencia por Business el 25/04/2026 desde 09011527323 EXPO PISOS SAS</t>
  </si>
  <si>
    <t>Dispersion de fondo del Banco AvVillas Numero de identificacion NIT 000000860058433 por ATH</t>
  </si>
  <si>
    <t>14695548</t>
  </si>
  <si>
    <t>Abono transferencia por canal electronico el 29/04/2026 desde 00065728399 PATINO HEREDIA,RUBY</t>
  </si>
  <si>
    <t>Abono transferencia por canal electronico el 30/04/2026 desde 08300127025 PRODISMEL LTDA</t>
  </si>
  <si>
    <t>Abono transferencia por Business el 30/04/2026 desde 09001135081 AMBIENTES Y DISENOS SAS</t>
  </si>
  <si>
    <t>Cr Ach Ban Bbva Textiles La Flo0 Nit800084497</t>
  </si>
  <si>
    <t>Abono por recaudos con comprobante 1000986418</t>
  </si>
  <si>
    <t>Incoming Payments - C51747523</t>
  </si>
  <si>
    <t>PR 1055421734</t>
  </si>
  <si>
    <t>Incoming Payments - C1022358809</t>
  </si>
  <si>
    <t>PR 1055423573</t>
  </si>
  <si>
    <t>Incoming Payments - C7703904</t>
  </si>
  <si>
    <t>PR 1055427353</t>
  </si>
  <si>
    <t>PR 1055437831</t>
  </si>
  <si>
    <t>Pagos recibidos - C79915673</t>
  </si>
  <si>
    <t>QR</t>
  </si>
  <si>
    <t>PR 1010286627</t>
  </si>
  <si>
    <t>Incoming Payments - C1040747174</t>
  </si>
  <si>
    <t>PR 1055456934</t>
  </si>
  <si>
    <t>142913</t>
  </si>
  <si>
    <t>PR 1055460055</t>
  </si>
  <si>
    <t>01 al 30 de Abril 2026</t>
  </si>
  <si>
    <t>PAGO QR EN CALYPSO GUAYABAL</t>
  </si>
  <si>
    <t>REVISAR CON CC 73096166 GAVIRIA  JUAN</t>
  </si>
  <si>
    <t>PAGO QR EN CALYPSO PATIO BONITO</t>
  </si>
  <si>
    <t>REVISAR PAGO DOLE CC 65555760 TAFUR  JOHANNA</t>
  </si>
  <si>
    <t>REVISAR CON CC 1015417457</t>
  </si>
  <si>
    <t>PAGO QR EN SABANA TABORA</t>
  </si>
  <si>
    <t>REVISAR PAGO DOBLE CC 80027766 PUENTES  OSCAR</t>
  </si>
  <si>
    <t>PAGO QR EN SABANA 7 AGOSTO</t>
  </si>
  <si>
    <t>REVISAR CON CC 41691039  SUAREZ  MERY</t>
  </si>
  <si>
    <t>PAGO QR EN CALYPSO RIONEGRO</t>
  </si>
  <si>
    <t>REVISAR CON CC 80167311CALDERON  DAVID</t>
  </si>
  <si>
    <t>PAGO DE PROV REDEBAN</t>
  </si>
  <si>
    <t>528167</t>
  </si>
  <si>
    <t>601636</t>
  </si>
  <si>
    <t>085606</t>
  </si>
  <si>
    <t>PAGO QR JACKSON KENN</t>
  </si>
  <si>
    <t>PAGO QR OSCAR FABIAN</t>
  </si>
  <si>
    <t>PAGO QR JOSE MIGUEL</t>
  </si>
  <si>
    <t>PAGO QR MIRIO HERNAN</t>
  </si>
  <si>
    <t>PAGO QR LESLY JULIET</t>
  </si>
  <si>
    <t>PAGO QR ADRIANA CRUZ</t>
  </si>
  <si>
    <t>PAGO QR ALEXANDRA RO</t>
  </si>
  <si>
    <t>PAGO QR OMAR GIRALDO</t>
  </si>
  <si>
    <t>PAGO QR LUIS ALBERTO</t>
  </si>
  <si>
    <t>PAGO QR Kundry Saman</t>
  </si>
  <si>
    <t>PAGO QR OSCAR HERNAN</t>
  </si>
  <si>
    <t>PAGO QR JUAN MAURICI</t>
  </si>
  <si>
    <t>PAGO QR JAIME YOHANI</t>
  </si>
  <si>
    <t>PAGO QR SIGIFREDO NU</t>
  </si>
  <si>
    <t>PAGO QR DORA MARIA B</t>
  </si>
  <si>
    <t>PAGO QR EDUARDO MEND</t>
  </si>
  <si>
    <t>PAGO QR MANUEL ANTON</t>
  </si>
  <si>
    <t>PAGO QR LUIS HUMBERT</t>
  </si>
  <si>
    <t>PAGO QR DIANA SOFIA</t>
  </si>
  <si>
    <t>PAGO QR RENE DIAZ MO</t>
  </si>
  <si>
    <t>PAGO QR JOSE HECTOR</t>
  </si>
  <si>
    <t>PAGO QR CONNY HELEN</t>
  </si>
  <si>
    <t>PAGO QR JHON HITLER</t>
  </si>
  <si>
    <t>PAGO QR SARA MELISA</t>
  </si>
  <si>
    <t>PAGO QR RUBEN GUTIER</t>
  </si>
  <si>
    <t>PAGO QR JOAN ARLEY L</t>
  </si>
  <si>
    <t>PAGO QR JULIAN ANDRE</t>
  </si>
  <si>
    <t>724790</t>
  </si>
  <si>
    <t>PAGO QR JOHT JANNY R</t>
  </si>
  <si>
    <t>873964</t>
  </si>
  <si>
    <t>819265</t>
  </si>
  <si>
    <t>PAGO QR JHON JAVIER</t>
  </si>
  <si>
    <t>PAGO QR LUIS ALEJAND</t>
  </si>
  <si>
    <t>603254</t>
  </si>
  <si>
    <t>PAGO QR LUZ MARINA A</t>
  </si>
  <si>
    <t>PAGO QR MARGARITA BE</t>
  </si>
  <si>
    <t>512655</t>
  </si>
  <si>
    <t>PAGO QR JOHNY HAROL</t>
  </si>
  <si>
    <t>PAGO QR ROSA ELENA L</t>
  </si>
  <si>
    <t>PAGO QR JOSE RODRIGO</t>
  </si>
  <si>
    <t>PAGO QR HENRY ALONSO</t>
  </si>
  <si>
    <t>107791</t>
  </si>
  <si>
    <t>121820</t>
  </si>
  <si>
    <t>PAGO QR JOHRDAN ALEX</t>
  </si>
  <si>
    <t>PAGO QR OLGA PATRICI</t>
  </si>
  <si>
    <t>PAGO QR JEFERSSON SA</t>
  </si>
  <si>
    <t>PAGO QR RAUL ANDRES</t>
  </si>
  <si>
    <t>PAGO QR DEYI AYDE BA</t>
  </si>
  <si>
    <t>131030</t>
  </si>
  <si>
    <t>PAGO QR WILLIAM RAMO</t>
  </si>
  <si>
    <t>PAGO QR MERY SUAREZ</t>
  </si>
  <si>
    <t>PAGO QR WILFREDO CRU</t>
  </si>
  <si>
    <t>PAGO QR SERVIO TULIO</t>
  </si>
  <si>
    <t>PAGO QR ARLEY SALINA</t>
  </si>
  <si>
    <t>PAGO QR CRISTIAN CAM</t>
  </si>
  <si>
    <t>PAGO QR LUIS CARLOS</t>
  </si>
  <si>
    <t>PAGO QR ALBA LUCERO</t>
  </si>
  <si>
    <t>143801</t>
  </si>
  <si>
    <t>PAGO QR Oscar Arias</t>
  </si>
  <si>
    <t>PAGO QR SERGIO ALEJA</t>
  </si>
  <si>
    <t>10/04/2026</t>
  </si>
  <si>
    <t>ERROR EN VALOR PR 1055426813 PV022</t>
  </si>
  <si>
    <t>AS 13489328</t>
  </si>
  <si>
    <t>16/04/2026</t>
  </si>
  <si>
    <t>ERROR EN VALOR PR 1010285988 PV057</t>
  </si>
  <si>
    <t>AS 13518720</t>
  </si>
  <si>
    <t>28/04/2026</t>
  </si>
  <si>
    <t>CORRECCION INGRESO / QR - PV038</t>
  </si>
  <si>
    <t>AS 13567425</t>
  </si>
  <si>
    <t>Incoming Payments - C1019982895</t>
  </si>
  <si>
    <t>PR 1055414936</t>
  </si>
  <si>
    <t>PR 1055415912</t>
  </si>
  <si>
    <t>Incoming Payments - C830068131</t>
  </si>
  <si>
    <t>PR 1055415657</t>
  </si>
  <si>
    <t>Incoming Payments - C36161127</t>
  </si>
  <si>
    <t>PR 1055418735</t>
  </si>
  <si>
    <t>PR 1055418062</t>
  </si>
  <si>
    <t>Incoming Payments - C5642163</t>
  </si>
  <si>
    <t>PR 1055416961</t>
  </si>
  <si>
    <t>PR 1055418318</t>
  </si>
  <si>
    <t>Incoming Payments - C12020497</t>
  </si>
  <si>
    <t>33</t>
  </si>
  <si>
    <t>PR 1055419519</t>
  </si>
  <si>
    <t>PR 1055424381</t>
  </si>
  <si>
    <t>Incoming Payments - C1014213298</t>
  </si>
  <si>
    <t>PR 1055426052</t>
  </si>
  <si>
    <t>Incoming Payments - C900867875</t>
  </si>
  <si>
    <t>PR 1055427133</t>
  </si>
  <si>
    <t>Incoming Payments - C900129575</t>
  </si>
  <si>
    <t>PR 1055427043</t>
  </si>
  <si>
    <t>Incoming Payments - C1052498262</t>
  </si>
  <si>
    <t>PR 1055426557</t>
  </si>
  <si>
    <t>Incoming Payments - C1075271085</t>
  </si>
  <si>
    <t>PR 1055428345</t>
  </si>
  <si>
    <t>Incoming Payments - C79473832</t>
  </si>
  <si>
    <t>PR 1055428505</t>
  </si>
  <si>
    <t>Incoming Payments - C74242236</t>
  </si>
  <si>
    <t>PR 1055429451</t>
  </si>
  <si>
    <t>Incoming Payments - C901860312</t>
  </si>
  <si>
    <t>5529</t>
  </si>
  <si>
    <t>PR 1055430158</t>
  </si>
  <si>
    <t>Incoming Payments - C900281046</t>
  </si>
  <si>
    <t>PR 1055431892</t>
  </si>
  <si>
    <t>Incoming Payments - C1032364139</t>
  </si>
  <si>
    <t>PR 1055432945</t>
  </si>
  <si>
    <t>Incoming Payments - C901565610</t>
  </si>
  <si>
    <t>PR 1055434142</t>
  </si>
  <si>
    <t>Pagos recibidos - C900814718</t>
  </si>
  <si>
    <t>111738</t>
  </si>
  <si>
    <t>PR 1010285936</t>
  </si>
  <si>
    <t>Incoming Payments - C901466560</t>
  </si>
  <si>
    <t>123936</t>
  </si>
  <si>
    <t>PR 1055433812</t>
  </si>
  <si>
    <t>Incoming Payments - C901714014</t>
  </si>
  <si>
    <t>PR 1055435901</t>
  </si>
  <si>
    <t>Incoming Payments - C19497495</t>
  </si>
  <si>
    <t>PR 1055435491</t>
  </si>
  <si>
    <t>PR 1055436719</t>
  </si>
  <si>
    <t>ERROR EN VALOR PR 1010285985 PV057</t>
  </si>
  <si>
    <t>APRO305562</t>
  </si>
  <si>
    <t>AS 13518688</t>
  </si>
  <si>
    <t>Incoming Payments - C901830356</t>
  </si>
  <si>
    <t>PR 1055438171</t>
  </si>
  <si>
    <t>Incoming Payments - C30110558</t>
  </si>
  <si>
    <t>PR 1055438761</t>
  </si>
  <si>
    <t>Incoming Payments - C93356598</t>
  </si>
  <si>
    <t>PR 1055438787</t>
  </si>
  <si>
    <t>Incoming Payments - C52660192</t>
  </si>
  <si>
    <t>PR 1055438666</t>
  </si>
  <si>
    <t>Incoming Payments - C1075319939</t>
  </si>
  <si>
    <t>PR 1055437279</t>
  </si>
  <si>
    <t>Incoming Payments - C7693480</t>
  </si>
  <si>
    <t>PR 1055439662</t>
  </si>
  <si>
    <t>Incoming Payments - C900511115</t>
  </si>
  <si>
    <t>PR 1055439562</t>
  </si>
  <si>
    <t>PR 1055440199</t>
  </si>
  <si>
    <t>Incoming Payments - C55164920</t>
  </si>
  <si>
    <t>PR 1055439978</t>
  </si>
  <si>
    <t>Incoming Payments - C901095266</t>
  </si>
  <si>
    <t>PR 1055442151</t>
  </si>
  <si>
    <t>36650/38077</t>
  </si>
  <si>
    <t>PR 1010286292</t>
  </si>
  <si>
    <t>Incoming Payments - C1002526896</t>
  </si>
  <si>
    <t>PR 1055444298</t>
  </si>
  <si>
    <t>Incoming Payments - C19409061</t>
  </si>
  <si>
    <t>PR 1055444004</t>
  </si>
  <si>
    <t>Incoming Payments - C901570033</t>
  </si>
  <si>
    <t>PR 1055442743</t>
  </si>
  <si>
    <t>Incoming Payments - C9771920</t>
  </si>
  <si>
    <t>PR 1055446770</t>
  </si>
  <si>
    <t>Incoming Payments - C900998614</t>
  </si>
  <si>
    <t>PR 1055448860</t>
  </si>
  <si>
    <t>PR 1055447527</t>
  </si>
  <si>
    <t>Incoming Payments - C1071580031</t>
  </si>
  <si>
    <t>PR 1055448120</t>
  </si>
  <si>
    <t>CANCELA FAC # 18378 18447 18479 18510 18767 18794 18833 18897 18924 18946</t>
  </si>
  <si>
    <t>150234</t>
  </si>
  <si>
    <t>PR 1010286649</t>
  </si>
  <si>
    <t>Incoming Payments - C1078346002</t>
  </si>
  <si>
    <t>PR 1055450069</t>
  </si>
  <si>
    <t>Incoming Payments - C91494822</t>
  </si>
  <si>
    <t>PR 1055450112</t>
  </si>
  <si>
    <t>PR 1055450836</t>
  </si>
  <si>
    <t>Incoming Payments - C79994858</t>
  </si>
  <si>
    <t>PR 1055448943</t>
  </si>
  <si>
    <t>Incoming Payments - C24125400</t>
  </si>
  <si>
    <t>PR 1055449331</t>
  </si>
  <si>
    <t>Incoming Payments - C14326411</t>
  </si>
  <si>
    <t>PR 1055449255</t>
  </si>
  <si>
    <t>FACTIRA 26132</t>
  </si>
  <si>
    <t>214863</t>
  </si>
  <si>
    <t>DP 214863</t>
  </si>
  <si>
    <t>Incoming Payments - C700429479</t>
  </si>
  <si>
    <t>PR 1055453130</t>
  </si>
  <si>
    <t>Incoming Payments - C1007184799</t>
  </si>
  <si>
    <t>PR 1055454495</t>
  </si>
  <si>
    <t>Incoming Payments - C79363986</t>
  </si>
  <si>
    <t>PR 1055454859</t>
  </si>
  <si>
    <t>Incoming Payments - C88266169</t>
  </si>
  <si>
    <t>PR 1055458476</t>
  </si>
  <si>
    <t>Incoming Payments - C79622900</t>
  </si>
  <si>
    <t>PR 1055457872</t>
  </si>
  <si>
    <t>Incoming Payments - C901574522</t>
  </si>
  <si>
    <t>PR 1055456773</t>
  </si>
  <si>
    <t>101454</t>
  </si>
  <si>
    <t>PR 1055458941</t>
  </si>
  <si>
    <t>Incoming Payments - C901983801</t>
  </si>
  <si>
    <t>144815</t>
  </si>
  <si>
    <t>PR 1055460033</t>
  </si>
  <si>
    <t>Incoming Payments - C52350722</t>
  </si>
  <si>
    <t>605424</t>
  </si>
  <si>
    <t>PR 1055460068</t>
  </si>
  <si>
    <t>430823</t>
  </si>
  <si>
    <t>PR 1055458658</t>
  </si>
  <si>
    <t>Incoming Payments - C1072642175</t>
  </si>
  <si>
    <t>114118</t>
  </si>
  <si>
    <t>PR 1055459365</t>
  </si>
  <si>
    <t>Incoming Payments - C38600522</t>
  </si>
  <si>
    <t>111314</t>
  </si>
  <si>
    <t>PR 1055459224</t>
  </si>
  <si>
    <t>Incoming Payments - C93397824</t>
  </si>
  <si>
    <t>132909</t>
  </si>
  <si>
    <t>PR 1055458879</t>
  </si>
  <si>
    <t>Incoming Payments - C79506948</t>
  </si>
  <si>
    <t>113117</t>
  </si>
  <si>
    <t>PR 1055459314</t>
  </si>
  <si>
    <t>Incoming Payments - C4164371</t>
  </si>
  <si>
    <t>600340</t>
  </si>
  <si>
    <t>PR 1055460727</t>
  </si>
  <si>
    <t>Incoming Payments - C1020835197</t>
  </si>
  <si>
    <t>166580</t>
  </si>
  <si>
    <t>PR 1055459109</t>
  </si>
  <si>
    <t>Incoming Payments - C41425827</t>
  </si>
  <si>
    <t>113558</t>
  </si>
  <si>
    <t>PR 1055459342</t>
  </si>
  <si>
    <t>337094</t>
  </si>
  <si>
    <t>PR 1055459663</t>
  </si>
  <si>
    <t>Incoming Payments - C901676406</t>
  </si>
  <si>
    <t>142855</t>
  </si>
  <si>
    <t>PR 1055459962</t>
  </si>
  <si>
    <t>Incoming Payments - C1098823827</t>
  </si>
  <si>
    <t>105934</t>
  </si>
  <si>
    <t>PR 1055459153</t>
  </si>
  <si>
    <t>164551</t>
  </si>
  <si>
    <t>PR 1055460643</t>
  </si>
  <si>
    <t>Incoming Payments - C52101169</t>
  </si>
  <si>
    <t>173212</t>
  </si>
  <si>
    <t>PR 1055460817</t>
  </si>
  <si>
    <t>Incoming Payments - C79230329</t>
  </si>
  <si>
    <t>613963</t>
  </si>
  <si>
    <t>PR 1055459157</t>
  </si>
  <si>
    <t>Incoming Payments - C65756821</t>
  </si>
  <si>
    <t>583417</t>
  </si>
  <si>
    <t>PR 1055460741</t>
  </si>
  <si>
    <t>Incoming Payments - C8392622</t>
  </si>
  <si>
    <t>068429</t>
  </si>
  <si>
    <t>PR 1055459296</t>
  </si>
  <si>
    <t>Incoming Payments - C98670378</t>
  </si>
  <si>
    <t>143922</t>
  </si>
  <si>
    <t>PR 1055460001</t>
  </si>
  <si>
    <t>Incoming Payments - C79058142</t>
  </si>
  <si>
    <t>567376</t>
  </si>
  <si>
    <t>PR 1055460324</t>
  </si>
  <si>
    <t>Incoming Payments - C1096949761</t>
  </si>
  <si>
    <t>125641</t>
  </si>
  <si>
    <t>PR 1055459676</t>
  </si>
  <si>
    <t>163154</t>
  </si>
  <si>
    <t>PR 1055459083</t>
  </si>
  <si>
    <t>Incoming Payments - C98660995</t>
  </si>
  <si>
    <t>210984</t>
  </si>
  <si>
    <t>PR 1055459444</t>
  </si>
  <si>
    <t>Incoming Payments - C31179184</t>
  </si>
  <si>
    <t>574670</t>
  </si>
  <si>
    <t>PR 1055460433</t>
  </si>
  <si>
    <t>Incoming Payments - C901457954</t>
  </si>
  <si>
    <t>085430</t>
  </si>
  <si>
    <t>PR 1055458638</t>
  </si>
  <si>
    <t>Incoming Payments - C901421357</t>
  </si>
  <si>
    <t>111054</t>
  </si>
  <si>
    <t>PR 1055459209</t>
  </si>
  <si>
    <t>Incoming Payments - C98669694</t>
  </si>
  <si>
    <t>664136</t>
  </si>
  <si>
    <t>PR 1055459828</t>
  </si>
  <si>
    <t>Incoming Payments - C19289689</t>
  </si>
  <si>
    <t>135412</t>
  </si>
  <si>
    <t>PR 1055459836</t>
  </si>
  <si>
    <t>Incoming Payments - C52081410</t>
  </si>
  <si>
    <t>141114</t>
  </si>
  <si>
    <t>PR 1055459891</t>
  </si>
  <si>
    <t>Incoming Payments - C900598514</t>
  </si>
  <si>
    <t>371114</t>
  </si>
  <si>
    <t>PR 1055459463</t>
  </si>
  <si>
    <t>Incoming Payments - C37792170</t>
  </si>
  <si>
    <t>882099</t>
  </si>
  <si>
    <t>PR 1055459532</t>
  </si>
  <si>
    <t>Incoming Payments - C1001345187</t>
  </si>
  <si>
    <t>944743</t>
  </si>
  <si>
    <t>PR 1055460174</t>
  </si>
  <si>
    <t>101331</t>
  </si>
  <si>
    <t>PR 1055458935</t>
  </si>
  <si>
    <t>Incoming Payments - C55160267</t>
  </si>
  <si>
    <t>845439</t>
  </si>
  <si>
    <t>PR 1055460248</t>
  </si>
  <si>
    <t>Incoming Payments - C31149456</t>
  </si>
  <si>
    <t>256170</t>
  </si>
  <si>
    <t>PR 1055458702</t>
  </si>
  <si>
    <t>Incoming Payments - C52800626</t>
  </si>
  <si>
    <t>289782</t>
  </si>
  <si>
    <t>PR 1055459811</t>
  </si>
  <si>
    <t>Incoming Payments - C39624538</t>
  </si>
  <si>
    <t>602404</t>
  </si>
  <si>
    <t>PR 1055459941</t>
  </si>
  <si>
    <t>Incoming Payments - C63274017</t>
  </si>
  <si>
    <t>847438</t>
  </si>
  <si>
    <t>PR 1055458857</t>
  </si>
  <si>
    <t>Incoming Payments - C1098702803</t>
  </si>
  <si>
    <t>600941</t>
  </si>
  <si>
    <t>PR 1055460146</t>
  </si>
  <si>
    <t>603616</t>
  </si>
  <si>
    <t>PR 1055460607</t>
  </si>
  <si>
    <t>Incoming Payments - C52262266</t>
  </si>
  <si>
    <t>PR 1055458574</t>
  </si>
  <si>
    <t>Incoming Payments - C1116235233</t>
  </si>
  <si>
    <t>740286</t>
  </si>
  <si>
    <t>PR 1055458708</t>
  </si>
  <si>
    <t>Incoming Payments - C1063481773</t>
  </si>
  <si>
    <t>172809</t>
  </si>
  <si>
    <t>PR 1055460806</t>
  </si>
  <si>
    <t>Incoming Payments - C1039683550</t>
  </si>
  <si>
    <t>120410</t>
  </si>
  <si>
    <t>PR 1055459479</t>
  </si>
  <si>
    <t>Incoming Payments - C71718349</t>
  </si>
  <si>
    <t>686712</t>
  </si>
  <si>
    <t>PR 1055460083</t>
  </si>
  <si>
    <t>Incoming Payments - C43669915</t>
  </si>
  <si>
    <t>807376</t>
  </si>
  <si>
    <t>PR 1055459741</t>
  </si>
  <si>
    <t>084111</t>
  </si>
  <si>
    <t>PR 1055458607</t>
  </si>
  <si>
    <t>Incoming Payments - C1020831535</t>
  </si>
  <si>
    <t>614179</t>
  </si>
  <si>
    <t>PR 1055459704</t>
  </si>
  <si>
    <t>Incoming Payments - C901178876</t>
  </si>
  <si>
    <t>5833</t>
  </si>
  <si>
    <t>PR 1055458653</t>
  </si>
  <si>
    <t>Incoming Payments - C1030542265</t>
  </si>
  <si>
    <t>142026</t>
  </si>
  <si>
    <t>PR 1055459922</t>
  </si>
  <si>
    <t>Incoming Payments - C51812690</t>
  </si>
  <si>
    <t>716064</t>
  </si>
  <si>
    <t>PR 1055460302</t>
  </si>
  <si>
    <t>Incoming Payments - C901489764</t>
  </si>
  <si>
    <t>104312</t>
  </si>
  <si>
    <t>PR 1055459062</t>
  </si>
  <si>
    <t>Incoming Payments - C67031785</t>
  </si>
  <si>
    <t>PMQCKA</t>
  </si>
  <si>
    <t>PR 1055459257</t>
  </si>
  <si>
    <t>Incoming Payments - C901202315</t>
  </si>
  <si>
    <t>153856</t>
  </si>
  <si>
    <t>PR 1055460288</t>
  </si>
  <si>
    <t>Incoming Payments - C42083626</t>
  </si>
  <si>
    <t>150127</t>
  </si>
  <si>
    <t>PR 1055460102</t>
  </si>
  <si>
    <t>Incoming Payments - C1036635816</t>
  </si>
  <si>
    <t>133221</t>
  </si>
  <si>
    <t>PR 1055459765</t>
  </si>
  <si>
    <t>Incoming Payments - C901975030</t>
  </si>
  <si>
    <t>382738</t>
  </si>
  <si>
    <t>PR 1055460492</t>
  </si>
  <si>
    <t>Incoming Payments - C80392844</t>
  </si>
  <si>
    <t>739370</t>
  </si>
  <si>
    <t>PR 1055460837</t>
  </si>
  <si>
    <t>Incoming Payments - C21847754</t>
  </si>
  <si>
    <t>103020</t>
  </si>
  <si>
    <t>PR 1055459007</t>
  </si>
  <si>
    <t>Incoming Payments - C1112478883</t>
  </si>
  <si>
    <t>528055</t>
  </si>
  <si>
    <t>PR 1055459753</t>
  </si>
  <si>
    <t>Incoming Payments - C900810120</t>
  </si>
  <si>
    <t>602042</t>
  </si>
  <si>
    <t>PR 1055459924</t>
  </si>
  <si>
    <t>Incoming Payments - C195288</t>
  </si>
  <si>
    <t>165455</t>
  </si>
  <si>
    <t>PR 1055460691</t>
  </si>
  <si>
    <t>Incoming Payments - C79327420</t>
  </si>
  <si>
    <t>114551</t>
  </si>
  <si>
    <t>PR 1055459396</t>
  </si>
  <si>
    <t>Incoming Payments - C901006154</t>
  </si>
  <si>
    <t>007595</t>
  </si>
  <si>
    <t>PR 1055459604</t>
  </si>
  <si>
    <t>604546</t>
  </si>
  <si>
    <t>PR 1055458615</t>
  </si>
  <si>
    <t>Incoming Payments - C901868137</t>
  </si>
  <si>
    <t>PR 1055458835</t>
  </si>
  <si>
    <t>Incoming Payments - C79503897</t>
  </si>
  <si>
    <t>113734</t>
  </si>
  <si>
    <t>PR 1055459354</t>
  </si>
  <si>
    <t>Incoming Payments - C901978996</t>
  </si>
  <si>
    <t>152814</t>
  </si>
  <si>
    <t>PR 1055460243</t>
  </si>
  <si>
    <t>Incoming Payments - C79359686</t>
  </si>
  <si>
    <t>315466</t>
  </si>
  <si>
    <t>PR 1055459175</t>
  </si>
  <si>
    <t>Incoming Payments - C79393817</t>
  </si>
  <si>
    <t>246522</t>
  </si>
  <si>
    <t>PR 1055458846</t>
  </si>
  <si>
    <t>Incoming Payments - C80421731</t>
  </si>
  <si>
    <t>768359</t>
  </si>
  <si>
    <t>PR 1055458675</t>
  </si>
  <si>
    <t>Incoming Payments - C1072640292</t>
  </si>
  <si>
    <t>605949</t>
  </si>
  <si>
    <t>PR 1055458654</t>
  </si>
  <si>
    <t>Incoming Payments - C52710015</t>
  </si>
  <si>
    <t>084765</t>
  </si>
  <si>
    <t>PR 1055458620</t>
  </si>
  <si>
    <t>Incoming Payments - C900777063</t>
  </si>
  <si>
    <t>902818</t>
  </si>
  <si>
    <t>PR 1055459535</t>
  </si>
  <si>
    <t>602005</t>
  </si>
  <si>
    <t>PR 1055459542</t>
  </si>
  <si>
    <t>Incoming Payments - C8393939</t>
  </si>
  <si>
    <t>153242</t>
  </si>
  <si>
    <t>PR 1055460263</t>
  </si>
  <si>
    <t>Incoming Payments - C1030570858</t>
  </si>
  <si>
    <t>102724</t>
  </si>
  <si>
    <t>PR 1055458994</t>
  </si>
  <si>
    <t>Incoming Payments - C36148766</t>
  </si>
  <si>
    <t>171251</t>
  </si>
  <si>
    <t>PR 1055460766</t>
  </si>
  <si>
    <t>Incoming Payments - C1099375514</t>
  </si>
  <si>
    <t>759657</t>
  </si>
  <si>
    <t>PR 1055459935</t>
  </si>
  <si>
    <t>Incoming Payments - C901671076</t>
  </si>
  <si>
    <t>9254</t>
  </si>
  <si>
    <t>PR 1055459599</t>
  </si>
  <si>
    <t>Incoming Payments - C79149355</t>
  </si>
  <si>
    <t>145915</t>
  </si>
  <si>
    <t>PR 1055460090</t>
  </si>
  <si>
    <t>Incoming Payments - C63491209</t>
  </si>
  <si>
    <t>10014</t>
  </si>
  <si>
    <t>PR 1055460120</t>
  </si>
  <si>
    <t>Incoming Payments - C1075252788</t>
  </si>
  <si>
    <t>036414</t>
  </si>
  <si>
    <t>PR 1055460694</t>
  </si>
  <si>
    <t>Incoming Payments - C71601153</t>
  </si>
  <si>
    <t>103741</t>
  </si>
  <si>
    <t>PR 1055459038</t>
  </si>
  <si>
    <t>Incoming Payments - C900366451</t>
  </si>
  <si>
    <t>206954</t>
  </si>
  <si>
    <t>PR 1055458698</t>
  </si>
  <si>
    <t>Incoming Payments - C79579817</t>
  </si>
  <si>
    <t>226368</t>
  </si>
  <si>
    <t>PR 1055460431</t>
  </si>
  <si>
    <t>Incoming Payments - C900017817</t>
  </si>
  <si>
    <t>104632</t>
  </si>
  <si>
    <t>PR 1055459087</t>
  </si>
  <si>
    <t>Incoming Payments - C41629910</t>
  </si>
  <si>
    <t>115452</t>
  </si>
  <si>
    <t>PR 1055459440</t>
  </si>
  <si>
    <t>Incoming Payments - C51843266</t>
  </si>
  <si>
    <t>153449</t>
  </si>
  <si>
    <t>PR 1055460268</t>
  </si>
  <si>
    <t>282226</t>
  </si>
  <si>
    <t>PR 1055458921</t>
  </si>
  <si>
    <t>Incoming Payments - C29663195</t>
  </si>
  <si>
    <t>546726</t>
  </si>
  <si>
    <t>PR 1055460023</t>
  </si>
  <si>
    <t>Incoming Payments - C66713461</t>
  </si>
  <si>
    <t>756609</t>
  </si>
  <si>
    <t>PR 1055459999</t>
  </si>
  <si>
    <t>Incoming Payments - C901159689</t>
  </si>
  <si>
    <t>165337</t>
  </si>
  <si>
    <t>PR 1055460685</t>
  </si>
  <si>
    <t>Incoming Payments - C94497637</t>
  </si>
  <si>
    <t>091442</t>
  </si>
  <si>
    <t>PR 1055460767</t>
  </si>
  <si>
    <t>Incoming Payments - C60324674</t>
  </si>
  <si>
    <t>561275</t>
  </si>
  <si>
    <t>PR 1055460227</t>
  </si>
  <si>
    <t>Incoming Payments - C1098675877</t>
  </si>
  <si>
    <t>174921</t>
  </si>
  <si>
    <t>PR 1055460848</t>
  </si>
  <si>
    <t>Incoming Payments - C94321594</t>
  </si>
  <si>
    <t>162600</t>
  </si>
  <si>
    <t>PR 1055460550</t>
  </si>
  <si>
    <t>Incoming Payments - C52059815</t>
  </si>
  <si>
    <t>182955</t>
  </si>
  <si>
    <t>PR 1055459564</t>
  </si>
  <si>
    <t>Incoming Payments - C19122350</t>
  </si>
  <si>
    <t>228246</t>
  </si>
  <si>
    <t>PR 1055459543</t>
  </si>
  <si>
    <t>Incoming Payments - C63482454</t>
  </si>
  <si>
    <t>PR 1055460139</t>
  </si>
  <si>
    <t>Incoming Payments - C9807986</t>
  </si>
  <si>
    <t>331644</t>
  </si>
  <si>
    <t>PR 1055460022</t>
  </si>
  <si>
    <t>Incoming Payments - C1095811562</t>
  </si>
  <si>
    <t>113401</t>
  </si>
  <si>
    <t>PR 1055459339</t>
  </si>
  <si>
    <t>Incoming Payments - C900180331</t>
  </si>
  <si>
    <t>082304</t>
  </si>
  <si>
    <t>PR 1055458569</t>
  </si>
  <si>
    <t>Incoming Payments - C901386524</t>
  </si>
  <si>
    <t>112758</t>
  </si>
  <si>
    <t>PR 1055459297</t>
  </si>
  <si>
    <t>717051</t>
  </si>
  <si>
    <t>PR 1055459827</t>
  </si>
  <si>
    <t>Incoming Payments - C3348340</t>
  </si>
  <si>
    <t>752441</t>
  </si>
  <si>
    <t>PR 1055458905</t>
  </si>
  <si>
    <t>Incoming Payments - C74371155</t>
  </si>
  <si>
    <t>10349</t>
  </si>
  <si>
    <t>PR 1055459008</t>
  </si>
  <si>
    <t>Incoming Payments - C37838921</t>
  </si>
  <si>
    <t>017889</t>
  </si>
  <si>
    <t>PR 1055459312</t>
  </si>
  <si>
    <t>Incoming Payments - C91216526</t>
  </si>
  <si>
    <t>114619</t>
  </si>
  <si>
    <t>PR 1055459399</t>
  </si>
  <si>
    <t>Incoming Payments - C901818349</t>
  </si>
  <si>
    <t>544700</t>
  </si>
  <si>
    <t>PR 1055458551</t>
  </si>
  <si>
    <t>Incoming Payments - C1015406120</t>
  </si>
  <si>
    <t>400145</t>
  </si>
  <si>
    <t>PR 1055459583</t>
  </si>
  <si>
    <t>Incoming Payments - C860401496</t>
  </si>
  <si>
    <t>600823</t>
  </si>
  <si>
    <t>PR 1055459882</t>
  </si>
  <si>
    <t>Incoming Payments - C79903884</t>
  </si>
  <si>
    <t>603649</t>
  </si>
  <si>
    <t>PR 1055459348</t>
  </si>
  <si>
    <t>Incoming Payments - C901451690</t>
  </si>
  <si>
    <t>140638</t>
  </si>
  <si>
    <t>PR 1055459875</t>
  </si>
  <si>
    <t>Incoming Payments - C900934917</t>
  </si>
  <si>
    <t>R06506</t>
  </si>
  <si>
    <t>PR 1055459900</t>
  </si>
  <si>
    <t>Incoming Payments - C900762637</t>
  </si>
  <si>
    <t>134622</t>
  </si>
  <si>
    <t>PR 1055459814</t>
  </si>
  <si>
    <t>Incoming Payments - C39542279</t>
  </si>
  <si>
    <t>132720</t>
  </si>
  <si>
    <t>PR 1055459752</t>
  </si>
  <si>
    <t>Incoming Payments - C79994633</t>
  </si>
  <si>
    <t>357019</t>
  </si>
  <si>
    <t>PR 1055460067</t>
  </si>
  <si>
    <t>Incoming Payments - C1116866898</t>
  </si>
  <si>
    <t>601005</t>
  </si>
  <si>
    <t>PR 1055458546</t>
  </si>
  <si>
    <t>Incoming Payments - C19427958</t>
  </si>
  <si>
    <t>312662</t>
  </si>
  <si>
    <t>PR 1055459910</t>
  </si>
  <si>
    <t>Incoming Payments - C31528088</t>
  </si>
  <si>
    <t>588963</t>
  </si>
  <si>
    <t>PR 1055460621</t>
  </si>
  <si>
    <t>387680</t>
  </si>
  <si>
    <t>PR 1055460637</t>
  </si>
  <si>
    <t>Incoming Payments - C39747111</t>
  </si>
  <si>
    <t>368952</t>
  </si>
  <si>
    <t>PR 1055459455</t>
  </si>
  <si>
    <t>Incoming Payments - C901126787</t>
  </si>
  <si>
    <t>121312</t>
  </si>
  <si>
    <t>PR 1055459514</t>
  </si>
  <si>
    <t>Incoming Payments - C51912555</t>
  </si>
  <si>
    <t>131353</t>
  </si>
  <si>
    <t>PR 1055459722</t>
  </si>
  <si>
    <t>Incoming Payments - C52155544</t>
  </si>
  <si>
    <t>602814</t>
  </si>
  <si>
    <t>PR 1055459959</t>
  </si>
  <si>
    <t>Incoming Payments - C76328710</t>
  </si>
  <si>
    <t>383553</t>
  </si>
  <si>
    <t>PR 1055460514</t>
  </si>
  <si>
    <t>Incoming Payments - C70138389</t>
  </si>
  <si>
    <t>081000</t>
  </si>
  <si>
    <t>PR 1055458545</t>
  </si>
  <si>
    <t>Incoming Payments - C1054658886</t>
  </si>
  <si>
    <t>144910</t>
  </si>
  <si>
    <t>PR 1055458898</t>
  </si>
  <si>
    <t>000336</t>
  </si>
  <si>
    <t>PR 1055459623</t>
  </si>
  <si>
    <t>Incoming Payments - C1072466935</t>
  </si>
  <si>
    <t>PR 1055458699</t>
  </si>
  <si>
    <t>Incoming Payments - C3068798</t>
  </si>
  <si>
    <t>110804</t>
  </si>
  <si>
    <t>PR 1055459191</t>
  </si>
  <si>
    <t>Incoming Payments - C71391425</t>
  </si>
  <si>
    <t>151915</t>
  </si>
  <si>
    <t>PR 1055460197</t>
  </si>
  <si>
    <t>Incoming Payments - C900975938</t>
  </si>
  <si>
    <t>164552</t>
  </si>
  <si>
    <t>PR 1055460646</t>
  </si>
  <si>
    <t>Incoming Payments - C88249449</t>
  </si>
  <si>
    <t>132106</t>
  </si>
  <si>
    <t>PR 1055459137</t>
  </si>
  <si>
    <t>Incoming Payments - C1000156917</t>
  </si>
  <si>
    <t>015077</t>
  </si>
  <si>
    <t>PR 1055459605</t>
  </si>
  <si>
    <t>Incoming Payments - C88229679</t>
  </si>
  <si>
    <t>092650</t>
  </si>
  <si>
    <t>PR 1055458750</t>
  </si>
  <si>
    <t>Incoming Payments - C41699930</t>
  </si>
  <si>
    <t>961475</t>
  </si>
  <si>
    <t>PR 1055459188</t>
  </si>
  <si>
    <t>Incoming Payments - C46663385</t>
  </si>
  <si>
    <t>307047</t>
  </si>
  <si>
    <t>PR 1055459128</t>
  </si>
  <si>
    <t>Incoming Payments - C830115597</t>
  </si>
  <si>
    <t>125839</t>
  </si>
  <si>
    <t>PR 1055459682</t>
  </si>
  <si>
    <t>Incoming Payments - C860036704</t>
  </si>
  <si>
    <t>R04394</t>
  </si>
  <si>
    <t>PR 1055459432</t>
  </si>
  <si>
    <t>Incoming Payments - C901974365</t>
  </si>
  <si>
    <t>603548</t>
  </si>
  <si>
    <t>PR 1055459031</t>
  </si>
  <si>
    <t>Incoming Payments - C901245947</t>
  </si>
  <si>
    <t>084827</t>
  </si>
  <si>
    <t>PR 1055458625</t>
  </si>
  <si>
    <t>Incoming Payments - C3180072</t>
  </si>
  <si>
    <t>600114</t>
  </si>
  <si>
    <t>PR 1055459857</t>
  </si>
  <si>
    <t>Incoming Payments - C15510141</t>
  </si>
  <si>
    <t>996310</t>
  </si>
  <si>
    <t>PR 1055460584</t>
  </si>
  <si>
    <t>Incoming Payments - C900935544</t>
  </si>
  <si>
    <t>RIZRDQ</t>
  </si>
  <si>
    <t>PR 1055460394</t>
  </si>
  <si>
    <t>Incoming Payments - C900316475</t>
  </si>
  <si>
    <t>R06580</t>
  </si>
  <si>
    <t>PR 1055458614</t>
  </si>
  <si>
    <t>123003</t>
  </si>
  <si>
    <t>PR 1055459588</t>
  </si>
  <si>
    <t>Incoming Payments - C901465538</t>
  </si>
  <si>
    <t>155636</t>
  </si>
  <si>
    <t>PR 1055460392</t>
  </si>
  <si>
    <t>Venta Contado Persona Natural No 58953  POR EECTIVO</t>
  </si>
  <si>
    <t>215334</t>
  </si>
  <si>
    <t>DP 215334</t>
  </si>
  <si>
    <t>Incoming Payments - C901728170</t>
  </si>
  <si>
    <t>600786</t>
  </si>
  <si>
    <t>PR 1055459696</t>
  </si>
  <si>
    <t>Incoming Payments - C900503676</t>
  </si>
  <si>
    <t>160057</t>
  </si>
  <si>
    <t>PR 1055460418</t>
  </si>
  <si>
    <t>Incoming Payments - C43255751</t>
  </si>
  <si>
    <t>142148</t>
  </si>
  <si>
    <t>PR 1055459927</t>
  </si>
  <si>
    <t>Incoming Payments - C41776749</t>
  </si>
  <si>
    <t>099492</t>
  </si>
  <si>
    <t>PR 1055458651</t>
  </si>
  <si>
    <t>Incoming Payments - C900524608</t>
  </si>
  <si>
    <t>137082</t>
  </si>
  <si>
    <t>PR 1055458901</t>
  </si>
  <si>
    <t>Incoming Payments - C51971057</t>
  </si>
  <si>
    <t>623896</t>
  </si>
  <si>
    <t>PR 1055458917</t>
  </si>
  <si>
    <t>Incoming Payments - C40024514</t>
  </si>
  <si>
    <t>111002</t>
  </si>
  <si>
    <t>PR 1055459207</t>
  </si>
  <si>
    <t>Incoming Payments - C1016099106</t>
  </si>
  <si>
    <t>326825</t>
  </si>
  <si>
    <t>PR 1055459866</t>
  </si>
  <si>
    <t>Incoming Payments - C1082995146</t>
  </si>
  <si>
    <t>172916</t>
  </si>
  <si>
    <t>PR 1055460808</t>
  </si>
  <si>
    <t>Incoming Payments - C1094240125</t>
  </si>
  <si>
    <t>135034</t>
  </si>
  <si>
    <t>PR 1055459829</t>
  </si>
  <si>
    <t>Incoming Payments - C1113699086</t>
  </si>
  <si>
    <t>042836</t>
  </si>
  <si>
    <t>PR 1055460211</t>
  </si>
  <si>
    <t>Incoming Payments - C79942317</t>
  </si>
  <si>
    <t>134248</t>
  </si>
  <si>
    <t>PR 1055459807</t>
  </si>
  <si>
    <t>Incoming Payments - C1075652385</t>
  </si>
  <si>
    <t>386695</t>
  </si>
  <si>
    <t>PR 1055460597</t>
  </si>
  <si>
    <t>Incoming Payments - C41594318</t>
  </si>
  <si>
    <t>131930</t>
  </si>
  <si>
    <t>PR 1055459731</t>
  </si>
  <si>
    <t>Incoming Payments - C79330858</t>
  </si>
  <si>
    <t>111357</t>
  </si>
  <si>
    <t>PR 1055459233</t>
  </si>
  <si>
    <t>Incoming Payments - C1020781701</t>
  </si>
  <si>
    <t>605155</t>
  </si>
  <si>
    <t>PR 1055460677</t>
  </si>
  <si>
    <t>Incoming Payments - C86068154</t>
  </si>
  <si>
    <t>141038</t>
  </si>
  <si>
    <t>PR 1055459886</t>
  </si>
  <si>
    <t>Incoming Payments - C900435714</t>
  </si>
  <si>
    <t>605612</t>
  </si>
  <si>
    <t>PR 1055459445</t>
  </si>
  <si>
    <t>Incoming Payments - C91267286</t>
  </si>
  <si>
    <t>273657</t>
  </si>
  <si>
    <t>PR 1055458690</t>
  </si>
  <si>
    <t>Incoming Payments - C79350147</t>
  </si>
  <si>
    <t>151637</t>
  </si>
  <si>
    <t>PR 1055460185</t>
  </si>
  <si>
    <t>Incoming Payments - C901772197</t>
  </si>
  <si>
    <t>095420</t>
  </si>
  <si>
    <t>PR 1055458867</t>
  </si>
  <si>
    <t>Incoming Payments - C39539825</t>
  </si>
  <si>
    <t>735872</t>
  </si>
  <si>
    <t>PR 1055459481</t>
  </si>
  <si>
    <t>Incoming Payments - C80312635</t>
  </si>
  <si>
    <t>089264</t>
  </si>
  <si>
    <t>PR 1055460194</t>
  </si>
  <si>
    <t>Incoming Payments - C1098690676</t>
  </si>
  <si>
    <t>828476</t>
  </si>
  <si>
    <t>PR 1055459714</t>
  </si>
  <si>
    <t>355742</t>
  </si>
  <si>
    <t>PR 1055460029</t>
  </si>
  <si>
    <t>Incoming Payments - C63546269</t>
  </si>
  <si>
    <t>184854</t>
  </si>
  <si>
    <t>PR 1055460564</t>
  </si>
  <si>
    <t>Incoming Payments - C902043655</t>
  </si>
  <si>
    <t>124543</t>
  </si>
  <si>
    <t>PR 1055459641</t>
  </si>
  <si>
    <t>Incoming Payments - C830015061</t>
  </si>
  <si>
    <t>437498</t>
  </si>
  <si>
    <t>PR 1055459698</t>
  </si>
  <si>
    <t>Incoming Payments - C901805456</t>
  </si>
  <si>
    <t>143752</t>
  </si>
  <si>
    <t>PR 1055459995</t>
  </si>
  <si>
    <t>Incoming Payments - C900775263</t>
  </si>
  <si>
    <t>499929</t>
  </si>
  <si>
    <t>PR 1055459863</t>
  </si>
  <si>
    <t>600158</t>
  </si>
  <si>
    <t>PR 1055460098</t>
  </si>
  <si>
    <t>Incoming Payments - C901730094</t>
  </si>
  <si>
    <t>029520</t>
  </si>
  <si>
    <t>PR 1055460305</t>
  </si>
  <si>
    <t>Incoming Payments - C900359713</t>
  </si>
  <si>
    <t>150351</t>
  </si>
  <si>
    <t>PR 1055460111</t>
  </si>
  <si>
    <t>Incoming Payments - C1072026911</t>
  </si>
  <si>
    <t>073542</t>
  </si>
  <si>
    <t>PR 1055458531</t>
  </si>
  <si>
    <t>Incoming Payments - C51783578</t>
  </si>
  <si>
    <t>122310</t>
  </si>
  <si>
    <t>PR 1055459551</t>
  </si>
  <si>
    <t>Incoming Payments - C63370434</t>
  </si>
  <si>
    <t>585136</t>
  </si>
  <si>
    <t>PR 1055460609</t>
  </si>
  <si>
    <t>Incoming Payments - C901017959</t>
  </si>
  <si>
    <t>603909</t>
  </si>
  <si>
    <t>PR 1055458801</t>
  </si>
  <si>
    <t>Incoming Payments - C830007202</t>
  </si>
  <si>
    <t>603902</t>
  </si>
  <si>
    <t>PR 1055460831</t>
  </si>
  <si>
    <t>Incoming Payments - C41495716</t>
  </si>
  <si>
    <t>805632</t>
  </si>
  <si>
    <t>PR 1055460376</t>
  </si>
  <si>
    <t>Incoming Payments - C901443073</t>
  </si>
  <si>
    <t>PR 1055459195</t>
  </si>
  <si>
    <t>Incoming Payments - C41676415</t>
  </si>
  <si>
    <t>602647</t>
  </si>
  <si>
    <t>PR 1055459574</t>
  </si>
  <si>
    <t>Incoming Payments - C900826657</t>
  </si>
  <si>
    <t>278707</t>
  </si>
  <si>
    <t>PR 1055458937</t>
  </si>
  <si>
    <t>Incoming Payments - C830029703</t>
  </si>
  <si>
    <t>403491</t>
  </si>
  <si>
    <t>PR 1055459279</t>
  </si>
  <si>
    <t>Incoming Payments - C901618511</t>
  </si>
  <si>
    <t>603824</t>
  </si>
  <si>
    <t>PR 1055460614</t>
  </si>
  <si>
    <t>Incoming Payments - C28604277</t>
  </si>
  <si>
    <t>125228</t>
  </si>
  <si>
    <t>PR 1055459659</t>
  </si>
  <si>
    <t>Incoming Payments - C79737530</t>
  </si>
  <si>
    <t>153215</t>
  </si>
  <si>
    <t>PR 1055460258</t>
  </si>
  <si>
    <t>Incoming Payments - C901165581</t>
  </si>
  <si>
    <t>602156</t>
  </si>
  <si>
    <t>PR 1055458725</t>
  </si>
  <si>
    <t>Incoming Payments - C19204235</t>
  </si>
  <si>
    <t>600509</t>
  </si>
  <si>
    <t>PR 1055459483</t>
  </si>
  <si>
    <t>Incoming Payments - C56082730</t>
  </si>
  <si>
    <t>154006</t>
  </si>
  <si>
    <t>PR 1055460295</t>
  </si>
  <si>
    <t>Incoming Payments - C29874860</t>
  </si>
  <si>
    <t>408393</t>
  </si>
  <si>
    <t>PR 1055460196</t>
  </si>
  <si>
    <t>Incoming Payments - C32316597</t>
  </si>
  <si>
    <t>100319</t>
  </si>
  <si>
    <t>PR 1055458893</t>
  </si>
  <si>
    <t>Incoming Payments - C1094884897</t>
  </si>
  <si>
    <t>093409</t>
  </si>
  <si>
    <t>PR 1055458783</t>
  </si>
  <si>
    <t>Incoming Payments - C901273303</t>
  </si>
  <si>
    <t>707079</t>
  </si>
  <si>
    <t>PR 1055460334</t>
  </si>
  <si>
    <t>Incoming Payments - C1037614535</t>
  </si>
  <si>
    <t>111936</t>
  </si>
  <si>
    <t>PR 1055459251</t>
  </si>
  <si>
    <t>Incoming Payments - C830066041</t>
  </si>
  <si>
    <t>104915</t>
  </si>
  <si>
    <t>PR 1055459100</t>
  </si>
  <si>
    <t>Incoming Payments - C65774193</t>
  </si>
  <si>
    <t>215598</t>
  </si>
  <si>
    <t>PR 1055458694</t>
  </si>
  <si>
    <t>604628</t>
  </si>
  <si>
    <t>PR 1055460343</t>
  </si>
  <si>
    <t>Incoming Payments - C830117178</t>
  </si>
  <si>
    <t>130744</t>
  </si>
  <si>
    <t>PR 1055459706</t>
  </si>
  <si>
    <t>Incoming Payments - C900966274</t>
  </si>
  <si>
    <t>154215</t>
  </si>
  <si>
    <t>PR 1055460310</t>
  </si>
  <si>
    <t>603058</t>
  </si>
  <si>
    <t>PR 1055458586</t>
  </si>
  <si>
    <t>Incoming Payments - C1098612508</t>
  </si>
  <si>
    <t>151348</t>
  </si>
  <si>
    <t>PR 1055460171</t>
  </si>
  <si>
    <t>Incoming Payments - C19241859</t>
  </si>
  <si>
    <t>193738</t>
  </si>
  <si>
    <t>PR 1055459632</t>
  </si>
  <si>
    <t>Incoming Payments - C1130610904</t>
  </si>
  <si>
    <t>160511</t>
  </si>
  <si>
    <t>PR 1055460443</t>
  </si>
  <si>
    <t>Incoming Payments - C43724401</t>
  </si>
  <si>
    <t>PR 1055460235</t>
  </si>
  <si>
    <t>Incoming Payments - C900613902</t>
  </si>
  <si>
    <t>037822</t>
  </si>
  <si>
    <t>PR 1055459245</t>
  </si>
  <si>
    <t>Incoming Payments - C901646274</t>
  </si>
  <si>
    <t>121653</t>
  </si>
  <si>
    <t>PR 1055459531</t>
  </si>
  <si>
    <t>Incoming Payments - C901727614</t>
  </si>
  <si>
    <t>878563</t>
  </si>
  <si>
    <t>PR 1055459106</t>
  </si>
  <si>
    <t>Incoming Payments - C901169092</t>
  </si>
  <si>
    <t>974665</t>
  </si>
  <si>
    <t>PR 1055459400</t>
  </si>
  <si>
    <t>PR 1055459104</t>
  </si>
  <si>
    <t>Incoming Payments - C900907909</t>
  </si>
  <si>
    <t>102736</t>
  </si>
  <si>
    <t>PR 1055458997</t>
  </si>
  <si>
    <t>Incoming Payments - C52983506</t>
  </si>
  <si>
    <t>142838</t>
  </si>
  <si>
    <t>PR 1055459845</t>
  </si>
  <si>
    <t>Incoming Payments - C1001096635</t>
  </si>
  <si>
    <t>R06618</t>
  </si>
  <si>
    <t>PR 1055459565</t>
  </si>
  <si>
    <t>Incoming Payments - C1020760913</t>
  </si>
  <si>
    <t>626521</t>
  </si>
  <si>
    <t>PR 1055460730</t>
  </si>
  <si>
    <t>Incoming Payments - C800162592</t>
  </si>
  <si>
    <t>113007</t>
  </si>
  <si>
    <t>PR 1055459306</t>
  </si>
  <si>
    <t>Incoming Payments - C901072419</t>
  </si>
  <si>
    <t>135749</t>
  </si>
  <si>
    <t>PR 1055459846</t>
  </si>
  <si>
    <t>Incoming Payments - C900712348</t>
  </si>
  <si>
    <t>604824</t>
  </si>
  <si>
    <t>PR 1055458840</t>
  </si>
  <si>
    <t>Incoming Payments - C89006260</t>
  </si>
  <si>
    <t>093843</t>
  </si>
  <si>
    <t>PR 1055458799</t>
  </si>
  <si>
    <t>Incoming Payments - C900493816</t>
  </si>
  <si>
    <t>151022</t>
  </si>
  <si>
    <t>PR 1055460151</t>
  </si>
  <si>
    <t>Incoming Payments - C901022711</t>
  </si>
  <si>
    <t>305151</t>
  </si>
  <si>
    <t>PR 1055459873</t>
  </si>
  <si>
    <t>Incoming Payments - C901667201</t>
  </si>
  <si>
    <t>600606</t>
  </si>
  <si>
    <t>PR 1055460446</t>
  </si>
  <si>
    <t>Incoming Payments - C1057594890</t>
  </si>
  <si>
    <t>01955</t>
  </si>
  <si>
    <t>PR 1055460785</t>
  </si>
  <si>
    <t>Incoming Payments - C830071549</t>
  </si>
  <si>
    <t>123334</t>
  </si>
  <si>
    <t>PR 1055459602</t>
  </si>
  <si>
    <t>Incoming Payments - C901282689</t>
  </si>
  <si>
    <t>140054</t>
  </si>
  <si>
    <t>PR 1055459856</t>
  </si>
  <si>
    <t>Incoming Payments - C901552304</t>
  </si>
  <si>
    <t>141413</t>
  </si>
  <si>
    <t>PR 1055459928</t>
  </si>
  <si>
    <t>Incoming Payments - C901555556</t>
  </si>
  <si>
    <t>600441</t>
  </si>
  <si>
    <t>PR 1055460113</t>
  </si>
  <si>
    <t>Incoming Payments - C79989338</t>
  </si>
  <si>
    <t>104123</t>
  </si>
  <si>
    <t>PR 1055459054</t>
  </si>
  <si>
    <t>Incoming Payments - C1013660790</t>
  </si>
  <si>
    <t>611288</t>
  </si>
  <si>
    <t>PR 1055459620</t>
  </si>
  <si>
    <t>Incoming Payments - C23547259</t>
  </si>
  <si>
    <t>091704</t>
  </si>
  <si>
    <t>PR 1055458903</t>
  </si>
  <si>
    <t>Incoming Payments - C901571998</t>
  </si>
  <si>
    <t>603216</t>
  </si>
  <si>
    <t>PR 1055459595</t>
  </si>
  <si>
    <t>Incoming Payments - C900770016</t>
  </si>
  <si>
    <t>093046</t>
  </si>
  <si>
    <t>PR 1055458764</t>
  </si>
  <si>
    <t>Pagos recibidos - C901737381</t>
  </si>
  <si>
    <t>423629</t>
  </si>
  <si>
    <t>PR 1010287666</t>
  </si>
  <si>
    <t>PR 1055458692</t>
  </si>
  <si>
    <t>Incoming Payments - C18392928</t>
  </si>
  <si>
    <t>992765</t>
  </si>
  <si>
    <t>PR 1055459914</t>
  </si>
  <si>
    <t>Incoming Payments - C98523075</t>
  </si>
  <si>
    <t>134050</t>
  </si>
  <si>
    <t>PR 1055459936</t>
  </si>
  <si>
    <t>Incoming Payments - C901198612</t>
  </si>
  <si>
    <t>155914</t>
  </si>
  <si>
    <t>PR 1055460408</t>
  </si>
  <si>
    <t>Incoming Payments - C830146973</t>
  </si>
  <si>
    <t>PR 1055458745</t>
  </si>
  <si>
    <t>Incoming Payments - C325906</t>
  </si>
  <si>
    <t>101210</t>
  </si>
  <si>
    <t>PR 1055458928</t>
  </si>
  <si>
    <t>534818</t>
  </si>
  <si>
    <t>PR 1055460438</t>
  </si>
  <si>
    <t>Pagos recibidos - C901717539</t>
  </si>
  <si>
    <t>579169</t>
  </si>
  <si>
    <t>PR 1010287580</t>
  </si>
  <si>
    <t>Incoming Payments - C901793846</t>
  </si>
  <si>
    <t>332903</t>
  </si>
  <si>
    <t>PR 1055460025</t>
  </si>
  <si>
    <t>PAGO DE FACTURA 23137 Y 23380</t>
  </si>
  <si>
    <t>153940</t>
  </si>
  <si>
    <t>PR 1010287520</t>
  </si>
  <si>
    <t>ABONA A LA FAC23378 1.271.400 PDT 500.000</t>
  </si>
  <si>
    <t>154205</t>
  </si>
  <si>
    <t>PR 1010287435</t>
  </si>
  <si>
    <t>Incoming Payments - C1098795620</t>
  </si>
  <si>
    <t>336014</t>
  </si>
  <si>
    <t>PR 1055460117</t>
  </si>
  <si>
    <t>Incoming Payments - C800084075</t>
  </si>
  <si>
    <t>516685</t>
  </si>
  <si>
    <t>PR 1055459148</t>
  </si>
  <si>
    <t>Incoming Payments - C900862097</t>
  </si>
  <si>
    <t>100748</t>
  </si>
  <si>
    <t>PR 1055459006</t>
  </si>
  <si>
    <t>PV007- CANCELA FACTURA EN EFECTIVO NO. 27826 Y CANCELARON CON TARJETA</t>
  </si>
  <si>
    <t>215351</t>
  </si>
  <si>
    <t>DP 215351</t>
  </si>
  <si>
    <t>Incoming Payments - C1082999234</t>
  </si>
  <si>
    <t>091259</t>
  </si>
  <si>
    <t>PR 1055458773</t>
  </si>
  <si>
    <t>Incoming Payments - C98452447</t>
  </si>
  <si>
    <t>144009</t>
  </si>
  <si>
    <t>PR 1055460002</t>
  </si>
  <si>
    <t>fac 31447</t>
  </si>
  <si>
    <t>310563</t>
  </si>
  <si>
    <t>PR 1010287468</t>
  </si>
  <si>
    <t>Incoming Payments - C900815974</t>
  </si>
  <si>
    <t>172712</t>
  </si>
  <si>
    <t>PR 1055460804</t>
  </si>
  <si>
    <t>Incoming Payments - C1102717374</t>
  </si>
  <si>
    <t>154051</t>
  </si>
  <si>
    <t>PR 1055460301</t>
  </si>
  <si>
    <t>R07377</t>
  </si>
  <si>
    <t>PR 1010287608</t>
  </si>
  <si>
    <t>Incoming Payments - C901374562</t>
  </si>
  <si>
    <t>132226</t>
  </si>
  <si>
    <t>PR 1055459745</t>
  </si>
  <si>
    <t>Incoming Payments - C901914240</t>
  </si>
  <si>
    <t>121329</t>
  </si>
  <si>
    <t>PR 1055459615</t>
  </si>
  <si>
    <t>Incoming Payments - C9431235</t>
  </si>
  <si>
    <t>PR 1055423987</t>
  </si>
  <si>
    <t>Incoming Payments - C830130028</t>
  </si>
  <si>
    <t>PR 1055427347</t>
  </si>
  <si>
    <t>Incoming Payments - C79896884</t>
  </si>
  <si>
    <t>PR 1055431509</t>
  </si>
  <si>
    <t>Incoming Payments - C51744834</t>
  </si>
  <si>
    <t>PR 1055431838</t>
  </si>
  <si>
    <t>Incoming Payments - C1019018140</t>
  </si>
  <si>
    <t>PR 1055434737</t>
  </si>
  <si>
    <t>Incoming Payments - C80112565</t>
  </si>
  <si>
    <t>PR 1055438857</t>
  </si>
  <si>
    <t>Incoming Payments - C901964641</t>
  </si>
  <si>
    <t>PR 1055439082</t>
  </si>
  <si>
    <t>Incoming Payments - C69800922</t>
  </si>
  <si>
    <t>PR 1055445757</t>
  </si>
  <si>
    <t>Incoming Payments - C80212094</t>
  </si>
  <si>
    <t>PR 1055447661</t>
  </si>
  <si>
    <t>PR 1055459783</t>
  </si>
  <si>
    <t>PR 1055460509</t>
  </si>
  <si>
    <t>Incoming Payments - C6499352</t>
  </si>
  <si>
    <t>PR 1055460590</t>
  </si>
  <si>
    <t>Devolución de cobro</t>
  </si>
  <si>
    <t>1 al 30 de 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</si>
</sst>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 * #,##0.00_ ;_ * \-#,##0.00_ ;_ * &quot;-&quot;??_ ;_ @_ "/>
    <numFmt numFmtId="165" formatCode="_(* #,##0.00_);_(* \(#,##0.00\);_(* &quot;-&quot;??_);_(@_)"/>
    <numFmt numFmtId="166" formatCode="_ * #,##0_ ;_ * \-#,##0_ ;_ * &quot;-&quot;??_ ;_ @_ 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9"/>
      <name val="Aptos Narrow"/>
      <family val="2"/>
      <scheme val="minor"/>
    </font>
    <font>
      <b/>
      <sz val="9"/>
      <name val="Aptos Narrow"/>
      <family val="2"/>
      <scheme val="minor"/>
    </font>
    <font>
      <b/>
      <sz val="9"/>
      <color theme="4" tint="-0.499984740745262"/>
      <name val="Aptos Narrow"/>
      <family val="2"/>
      <scheme val="minor"/>
    </font>
    <font>
      <b/>
      <i/>
      <sz val="9"/>
      <color theme="0"/>
      <name val="Aptos Narrow"/>
      <family val="2"/>
      <scheme val="minor"/>
    </font>
    <font>
      <b/>
      <i/>
      <sz val="9"/>
      <color rgb="FFC00000"/>
      <name val="Aptos Narrow"/>
      <family val="2"/>
      <scheme val="minor"/>
    </font>
    <font>
      <b/>
      <sz val="9"/>
      <color rgb="FFC0000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i/>
      <sz val="9"/>
      <name val="Aptos Narrow"/>
      <family val="2"/>
      <scheme val="minor"/>
    </font>
    <font>
      <sz val="9"/>
      <color rgb="FFFF0000"/>
      <name val="Aptos Narrow"/>
      <family val="2"/>
      <scheme val="minor"/>
    </font>
    <font>
      <i/>
      <sz val="9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9"/>
      <color indexed="8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  <font>
      <b/>
      <sz val="9"/>
      <color theme="1"/>
      <name val="Aptos Narrow"/>
      <family val="2"/>
      <scheme val="minor"/>
    </font>
    <font>
      <sz val="9"/>
      <name val="Calibri"/>
      <family val="2"/>
    </font>
    <font>
      <b/>
      <sz val="9"/>
      <color theme="4" tint="-0.499984740745262"/>
      <name val="Abadi Extra Light"/>
      <family val="2"/>
    </font>
    <font>
      <b/>
      <sz val="9"/>
      <name val="Abadi Extra Light"/>
      <family val="2"/>
    </font>
  </fonts>
  <fills count="12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0" fontId="2" fillId="0" borderId="0"/>
    <xf numFmtId="0" fontId="13" fillId="0" borderId="0"/>
    <xf numFmtId="165" fontId="13" fillId="0" borderId="0" applyFont="0" applyFill="0" applyBorder="0" applyAlignment="0" applyProtection="0"/>
    <xf numFmtId="0" fontId="1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5" fillId="0" borderId="0"/>
  </cellStyleXfs>
  <cellXfs count="267">
    <xf numFmtId="0" fontId="0" fillId="0" borderId="0" xfId="0"/>
    <xf numFmtId="0" fontId="3" fillId="0" borderId="1" xfId="2" applyFont="1" applyBorder="1"/>
    <xf numFmtId="0" fontId="3" fillId="0" borderId="2" xfId="2" applyFont="1" applyBorder="1"/>
    <xf numFmtId="0" fontId="3" fillId="0" borderId="0" xfId="2" applyFont="1"/>
    <xf numFmtId="0" fontId="4" fillId="0" borderId="4" xfId="3" applyFont="1" applyBorder="1" applyAlignment="1">
      <alignment vertical="center"/>
    </xf>
    <xf numFmtId="0" fontId="5" fillId="0" borderId="0" xfId="3" applyFont="1" applyAlignment="1">
      <alignment horizontal="center" vertical="center"/>
    </xf>
    <xf numFmtId="0" fontId="5" fillId="0" borderId="0" xfId="3" applyFont="1" applyAlignment="1">
      <alignment vertical="center"/>
    </xf>
    <xf numFmtId="0" fontId="4" fillId="0" borderId="0" xfId="3" applyFont="1" applyAlignment="1">
      <alignment vertical="center"/>
    </xf>
    <xf numFmtId="0" fontId="4" fillId="0" borderId="5" xfId="3" applyFont="1" applyBorder="1" applyAlignment="1">
      <alignment vertical="center"/>
    </xf>
    <xf numFmtId="0" fontId="4" fillId="0" borderId="0" xfId="3" applyFont="1" applyAlignment="1">
      <alignment horizontal="center" vertical="center"/>
    </xf>
    <xf numFmtId="0" fontId="4" fillId="0" borderId="4" xfId="2" applyFont="1" applyBorder="1" applyAlignment="1">
      <alignment vertical="center"/>
    </xf>
    <xf numFmtId="0" fontId="4" fillId="0" borderId="0" xfId="2" applyFont="1" applyAlignment="1">
      <alignment horizontal="center" vertical="center"/>
    </xf>
    <xf numFmtId="0" fontId="4" fillId="0" borderId="5" xfId="2" applyFont="1" applyBorder="1" applyAlignment="1">
      <alignment vertical="center"/>
    </xf>
    <xf numFmtId="0" fontId="6" fillId="2" borderId="4" xfId="2" applyFont="1" applyFill="1" applyBorder="1" applyAlignment="1">
      <alignment horizontal="center" vertical="center"/>
    </xf>
    <xf numFmtId="0" fontId="6" fillId="2" borderId="0" xfId="2" applyFont="1" applyFill="1" applyAlignment="1">
      <alignment horizontal="center" vertical="center"/>
    </xf>
    <xf numFmtId="0" fontId="6" fillId="2" borderId="5" xfId="2" applyFont="1" applyFill="1" applyBorder="1" applyAlignment="1">
      <alignment horizontal="center" vertical="center"/>
    </xf>
    <xf numFmtId="0" fontId="3" fillId="0" borderId="4" xfId="2" applyFont="1" applyBorder="1"/>
    <xf numFmtId="0" fontId="4" fillId="0" borderId="0" xfId="2" applyFont="1"/>
    <xf numFmtId="0" fontId="7" fillId="3" borderId="0" xfId="2" applyFont="1" applyFill="1"/>
    <xf numFmtId="0" fontId="3" fillId="3" borderId="0" xfId="2" applyFont="1" applyFill="1"/>
    <xf numFmtId="0" fontId="4" fillId="0" borderId="4" xfId="2" applyFont="1" applyBorder="1"/>
    <xf numFmtId="43" fontId="4" fillId="0" borderId="6" xfId="1" applyFont="1" applyBorder="1"/>
    <xf numFmtId="0" fontId="3" fillId="0" borderId="4" xfId="2" applyFont="1" applyBorder="1" applyAlignment="1">
      <alignment horizontal="center" vertical="center"/>
    </xf>
    <xf numFmtId="14" fontId="3" fillId="0" borderId="0" xfId="2" applyNumberFormat="1" applyFont="1" applyAlignment="1">
      <alignment horizontal="center"/>
    </xf>
    <xf numFmtId="0" fontId="9" fillId="0" borderId="0" xfId="0" applyFont="1"/>
    <xf numFmtId="0" fontId="10" fillId="0" borderId="5" xfId="2" applyFont="1" applyBorder="1" applyAlignment="1">
      <alignment horizontal="center" vertical="center"/>
    </xf>
    <xf numFmtId="14" fontId="3" fillId="0" borderId="0" xfId="2" applyNumberFormat="1" applyFont="1" applyAlignment="1">
      <alignment horizontal="center" vertical="center"/>
    </xf>
    <xf numFmtId="43" fontId="9" fillId="0" borderId="0" xfId="1" applyFont="1"/>
    <xf numFmtId="0" fontId="9" fillId="0" borderId="0" xfId="5" applyFont="1"/>
    <xf numFmtId="0" fontId="11" fillId="3" borderId="0" xfId="2" applyFont="1" applyFill="1"/>
    <xf numFmtId="0" fontId="4" fillId="0" borderId="0" xfId="2" applyFont="1" applyAlignment="1">
      <alignment horizontal="right" vertical="center"/>
    </xf>
    <xf numFmtId="0" fontId="4" fillId="0" borderId="0" xfId="2" applyFont="1" applyAlignment="1">
      <alignment vertical="center"/>
    </xf>
    <xf numFmtId="0" fontId="3" fillId="0" borderId="7" xfId="2" applyFont="1" applyBorder="1"/>
    <xf numFmtId="0" fontId="3" fillId="0" borderId="8" xfId="2" applyFont="1" applyBorder="1"/>
    <xf numFmtId="0" fontId="3" fillId="7" borderId="10" xfId="2" applyFont="1" applyFill="1" applyBorder="1"/>
    <xf numFmtId="0" fontId="3" fillId="0" borderId="0" xfId="2" applyFont="1" applyAlignment="1">
      <alignment vertical="center"/>
    </xf>
    <xf numFmtId="0" fontId="3" fillId="8" borderId="10" xfId="2" applyFont="1" applyFill="1" applyBorder="1"/>
    <xf numFmtId="0" fontId="4" fillId="0" borderId="0" xfId="6" applyFont="1"/>
    <xf numFmtId="0" fontId="3" fillId="4" borderId="10" xfId="2" applyFont="1" applyFill="1" applyBorder="1"/>
    <xf numFmtId="0" fontId="3" fillId="5" borderId="10" xfId="6" applyFont="1" applyFill="1" applyBorder="1"/>
    <xf numFmtId="0" fontId="3" fillId="0" borderId="3" xfId="2" applyFont="1" applyBorder="1"/>
    <xf numFmtId="0" fontId="4" fillId="0" borderId="4" xfId="3" applyFont="1" applyBorder="1" applyAlignment="1">
      <alignment vertical="center" wrapText="1"/>
    </xf>
    <xf numFmtId="0" fontId="4" fillId="0" borderId="5" xfId="3" applyFont="1" applyBorder="1" applyAlignment="1">
      <alignment vertical="center" wrapText="1"/>
    </xf>
    <xf numFmtId="0" fontId="4" fillId="0" borderId="0" xfId="3" applyFont="1" applyAlignment="1">
      <alignment horizontal="center" vertical="center" wrapText="1"/>
    </xf>
    <xf numFmtId="0" fontId="4" fillId="0" borderId="0" xfId="3" applyFont="1" applyAlignment="1">
      <alignment vertical="center" wrapText="1"/>
    </xf>
    <xf numFmtId="0" fontId="3" fillId="0" borderId="5" xfId="2" applyFont="1" applyBorder="1"/>
    <xf numFmtId="164" fontId="8" fillId="3" borderId="6" xfId="4" applyFont="1" applyFill="1" applyBorder="1"/>
    <xf numFmtId="164" fontId="4" fillId="0" borderId="6" xfId="2" applyNumberFormat="1" applyFont="1" applyBorder="1"/>
    <xf numFmtId="164" fontId="3" fillId="0" borderId="0" xfId="4" applyFont="1" applyBorder="1"/>
    <xf numFmtId="0" fontId="4" fillId="0" borderId="6" xfId="2" applyFont="1" applyBorder="1"/>
    <xf numFmtId="0" fontId="12" fillId="0" borderId="4" xfId="2" applyFont="1" applyBorder="1" applyAlignment="1">
      <alignment horizontal="center" vertical="center"/>
    </xf>
    <xf numFmtId="0" fontId="7" fillId="9" borderId="0" xfId="2" applyFont="1" applyFill="1"/>
    <xf numFmtId="0" fontId="11" fillId="9" borderId="0" xfId="2" applyFont="1" applyFill="1"/>
    <xf numFmtId="164" fontId="8" fillId="9" borderId="6" xfId="4" applyFont="1" applyFill="1" applyBorder="1"/>
    <xf numFmtId="0" fontId="3" fillId="0" borderId="9" xfId="2" applyFont="1" applyBorder="1"/>
    <xf numFmtId="0" fontId="5" fillId="0" borderId="0" xfId="3" applyFont="1" applyAlignment="1">
      <alignment horizontal="center" vertical="center" wrapText="1"/>
    </xf>
    <xf numFmtId="0" fontId="5" fillId="0" borderId="0" xfId="3" applyFont="1" applyAlignment="1">
      <alignment vertical="center" wrapText="1"/>
    </xf>
    <xf numFmtId="4" fontId="9" fillId="0" borderId="0" xfId="0" applyNumberFormat="1" applyFont="1"/>
    <xf numFmtId="43" fontId="3" fillId="0" borderId="0" xfId="1" applyFont="1" applyFill="1"/>
    <xf numFmtId="43" fontId="3" fillId="0" borderId="0" xfId="2" applyNumberFormat="1" applyFont="1"/>
    <xf numFmtId="4" fontId="14" fillId="0" borderId="0" xfId="7" applyNumberFormat="1" applyFont="1"/>
    <xf numFmtId="165" fontId="3" fillId="0" borderId="5" xfId="2" applyNumberFormat="1" applyFont="1" applyBorder="1"/>
    <xf numFmtId="165" fontId="3" fillId="0" borderId="0" xfId="8" applyFont="1" applyAlignment="1"/>
    <xf numFmtId="164" fontId="8" fillId="3" borderId="6" xfId="4" applyFont="1" applyFill="1" applyBorder="1" applyAlignment="1"/>
    <xf numFmtId="43" fontId="3" fillId="0" borderId="5" xfId="2" applyNumberFormat="1" applyFont="1" applyBorder="1"/>
    <xf numFmtId="14" fontId="14" fillId="0" borderId="0" xfId="7" applyNumberFormat="1" applyFont="1"/>
    <xf numFmtId="0" fontId="14" fillId="0" borderId="0" xfId="7" applyFont="1"/>
    <xf numFmtId="165" fontId="3" fillId="0" borderId="5" xfId="8" applyFont="1" applyBorder="1" applyAlignment="1"/>
    <xf numFmtId="0" fontId="14" fillId="0" borderId="0" xfId="9" applyFont="1"/>
    <xf numFmtId="0" fontId="6" fillId="6" borderId="4" xfId="2" applyFont="1" applyFill="1" applyBorder="1" applyAlignment="1">
      <alignment horizontal="center" vertical="center"/>
    </xf>
    <xf numFmtId="0" fontId="6" fillId="6" borderId="5" xfId="2" applyFont="1" applyFill="1" applyBorder="1" applyAlignment="1">
      <alignment horizontal="center" vertical="center"/>
    </xf>
    <xf numFmtId="0" fontId="3" fillId="0" borderId="0" xfId="2" applyFont="1" applyAlignment="1">
      <alignment horizontal="right" vertical="center"/>
    </xf>
    <xf numFmtId="4" fontId="3" fillId="0" borderId="0" xfId="2" applyNumberFormat="1" applyFont="1"/>
    <xf numFmtId="165" fontId="4" fillId="0" borderId="6" xfId="2" applyNumberFormat="1" applyFont="1" applyBorder="1"/>
    <xf numFmtId="22" fontId="3" fillId="0" borderId="0" xfId="2" applyNumberFormat="1" applyFont="1"/>
    <xf numFmtId="164" fontId="3" fillId="0" borderId="0" xfId="4" applyFont="1" applyFill="1" applyBorder="1"/>
    <xf numFmtId="14" fontId="9" fillId="0" borderId="0" xfId="0" applyNumberFormat="1" applyFont="1" applyAlignment="1">
      <alignment horizontal="center" vertical="center"/>
    </xf>
    <xf numFmtId="165" fontId="3" fillId="0" borderId="0" xfId="8" applyFont="1"/>
    <xf numFmtId="3" fontId="8" fillId="3" borderId="6" xfId="4" applyNumberFormat="1" applyFont="1" applyFill="1" applyBorder="1"/>
    <xf numFmtId="166" fontId="8" fillId="3" borderId="6" xfId="4" applyNumberFormat="1" applyFont="1" applyFill="1" applyBorder="1"/>
    <xf numFmtId="4" fontId="9" fillId="0" borderId="8" xfId="0" applyNumberFormat="1" applyFont="1" applyBorder="1"/>
    <xf numFmtId="43" fontId="3" fillId="0" borderId="2" xfId="1" applyFont="1" applyBorder="1"/>
    <xf numFmtId="0" fontId="3" fillId="0" borderId="3" xfId="2" applyFont="1" applyBorder="1" applyAlignment="1">
      <alignment vertical="center"/>
    </xf>
    <xf numFmtId="43" fontId="4" fillId="0" borderId="0" xfId="1" applyFont="1" applyAlignment="1">
      <alignment horizontal="center" vertical="center"/>
    </xf>
    <xf numFmtId="43" fontId="6" fillId="2" borderId="0" xfId="1" applyFont="1" applyFill="1" applyAlignment="1">
      <alignment horizontal="center" vertical="center"/>
    </xf>
    <xf numFmtId="0" fontId="3" fillId="0" borderId="0" xfId="2" applyFont="1" applyAlignment="1">
      <alignment horizontal="center" vertical="center"/>
    </xf>
    <xf numFmtId="43" fontId="3" fillId="0" borderId="0" xfId="1" applyFont="1"/>
    <xf numFmtId="0" fontId="3" fillId="0" borderId="5" xfId="2" applyFont="1" applyBorder="1" applyAlignment="1">
      <alignment vertical="center"/>
    </xf>
    <xf numFmtId="0" fontId="4" fillId="0" borderId="0" xfId="4" applyNumberFormat="1" applyFont="1" applyBorder="1" applyAlignment="1"/>
    <xf numFmtId="165" fontId="3" fillId="0" borderId="5" xfId="2" applyNumberFormat="1" applyFont="1" applyBorder="1" applyAlignment="1">
      <alignment vertical="center"/>
    </xf>
    <xf numFmtId="43" fontId="8" fillId="3" borderId="6" xfId="1" applyFont="1" applyFill="1" applyBorder="1" applyAlignment="1"/>
    <xf numFmtId="0" fontId="3" fillId="0" borderId="0" xfId="2" applyFont="1" applyAlignment="1">
      <alignment horizontal="center"/>
    </xf>
    <xf numFmtId="43" fontId="3" fillId="5" borderId="0" xfId="1" applyFont="1" applyFill="1" applyBorder="1" applyAlignment="1"/>
    <xf numFmtId="43" fontId="9" fillId="5" borderId="0" xfId="1" applyFont="1" applyFill="1" applyBorder="1"/>
    <xf numFmtId="43" fontId="9" fillId="0" borderId="0" xfId="1" applyFont="1" applyBorder="1"/>
    <xf numFmtId="43" fontId="4" fillId="0" borderId="6" xfId="1" applyFont="1" applyBorder="1" applyAlignment="1"/>
    <xf numFmtId="0" fontId="3" fillId="0" borderId="0" xfId="2" applyFont="1" applyAlignment="1">
      <alignment horizontal="left" vertical="center"/>
    </xf>
    <xf numFmtId="43" fontId="4" fillId="0" borderId="0" xfId="1" applyFont="1" applyAlignment="1">
      <alignment vertical="center"/>
    </xf>
    <xf numFmtId="43" fontId="3" fillId="0" borderId="8" xfId="1" applyFont="1" applyBorder="1"/>
    <xf numFmtId="0" fontId="3" fillId="0" borderId="9" xfId="2" applyFont="1" applyBorder="1" applyAlignment="1">
      <alignment vertical="center"/>
    </xf>
    <xf numFmtId="0" fontId="3" fillId="0" borderId="0" xfId="2" applyFont="1" applyAlignment="1">
      <alignment horizontal="left"/>
    </xf>
    <xf numFmtId="43" fontId="3" fillId="0" borderId="0" xfId="11" applyFont="1" applyAlignment="1">
      <alignment vertical="center"/>
    </xf>
    <xf numFmtId="0" fontId="3" fillId="0" borderId="0" xfId="2" applyFont="1" applyAlignment="1">
      <alignment horizontal="left" vertical="center" wrapText="1"/>
    </xf>
    <xf numFmtId="0" fontId="3" fillId="0" borderId="0" xfId="2" applyFont="1" applyAlignment="1">
      <alignment vertical="center" wrapText="1"/>
    </xf>
    <xf numFmtId="0" fontId="3" fillId="0" borderId="1" xfId="2" applyFont="1" applyBorder="1" applyAlignment="1">
      <alignment vertical="center"/>
    </xf>
    <xf numFmtId="0" fontId="3" fillId="0" borderId="2" xfId="2" applyFont="1" applyBorder="1" applyAlignment="1">
      <alignment vertical="center"/>
    </xf>
    <xf numFmtId="0" fontId="3" fillId="0" borderId="2" xfId="2" applyFont="1" applyBorder="1" applyAlignment="1">
      <alignment horizontal="right" vertical="center"/>
    </xf>
    <xf numFmtId="43" fontId="3" fillId="0" borderId="2" xfId="11" applyFont="1" applyBorder="1" applyAlignment="1">
      <alignment vertical="center"/>
    </xf>
    <xf numFmtId="0" fontId="3" fillId="0" borderId="2" xfId="2" applyFont="1" applyBorder="1" applyAlignment="1">
      <alignment horizontal="left" vertical="center" wrapText="1"/>
    </xf>
    <xf numFmtId="0" fontId="3" fillId="0" borderId="2" xfId="2" applyFont="1" applyBorder="1" applyAlignment="1">
      <alignment horizontal="left" vertical="center"/>
    </xf>
    <xf numFmtId="0" fontId="3" fillId="0" borderId="3" xfId="2" applyFont="1" applyBorder="1" applyAlignment="1">
      <alignment vertical="center" wrapText="1"/>
    </xf>
    <xf numFmtId="0" fontId="5" fillId="0" borderId="0" xfId="3" applyFont="1" applyAlignment="1">
      <alignment horizontal="left" vertical="center"/>
    </xf>
    <xf numFmtId="0" fontId="4" fillId="0" borderId="0" xfId="3" applyFont="1" applyAlignment="1">
      <alignment horizontal="left" vertical="center"/>
    </xf>
    <xf numFmtId="0" fontId="4" fillId="0" borderId="0" xfId="3" applyFont="1" applyAlignment="1">
      <alignment horizontal="right" vertical="center"/>
    </xf>
    <xf numFmtId="0" fontId="3" fillId="0" borderId="0" xfId="12" applyNumberFormat="1" applyFont="1" applyFill="1" applyBorder="1" applyAlignment="1">
      <alignment horizontal="left" vertical="center" wrapText="1"/>
    </xf>
    <xf numFmtId="0" fontId="3" fillId="0" borderId="0" xfId="12" applyNumberFormat="1" applyFont="1" applyFill="1" applyBorder="1" applyAlignment="1">
      <alignment horizontal="left" vertical="center"/>
    </xf>
    <xf numFmtId="0" fontId="4" fillId="0" borderId="0" xfId="2" applyFont="1" applyAlignment="1">
      <alignment horizontal="left" vertical="center"/>
    </xf>
    <xf numFmtId="0" fontId="4" fillId="0" borderId="5" xfId="2" applyFont="1" applyBorder="1" applyAlignment="1">
      <alignment vertical="center" wrapText="1"/>
    </xf>
    <xf numFmtId="0" fontId="6" fillId="2" borderId="5" xfId="2" applyFont="1" applyFill="1" applyBorder="1" applyAlignment="1">
      <alignment horizontal="center" vertical="center" wrapText="1"/>
    </xf>
    <xf numFmtId="0" fontId="3" fillId="0" borderId="4" xfId="2" applyFont="1" applyBorder="1" applyAlignment="1">
      <alignment vertical="center"/>
    </xf>
    <xf numFmtId="0" fontId="3" fillId="0" borderId="5" xfId="2" applyFont="1" applyBorder="1" applyAlignment="1">
      <alignment vertical="center" wrapText="1"/>
    </xf>
    <xf numFmtId="43" fontId="4" fillId="0" borderId="8" xfId="1" applyFont="1" applyBorder="1" applyAlignment="1">
      <alignment vertical="center"/>
    </xf>
    <xf numFmtId="0" fontId="4" fillId="0" borderId="0" xfId="13" applyNumberFormat="1" applyFont="1" applyBorder="1" applyAlignment="1">
      <alignment horizontal="left" vertical="center" wrapText="1"/>
    </xf>
    <xf numFmtId="0" fontId="4" fillId="0" borderId="0" xfId="14" applyNumberFormat="1" applyFont="1" applyBorder="1" applyAlignment="1">
      <alignment horizontal="left" vertical="center"/>
    </xf>
    <xf numFmtId="43" fontId="4" fillId="0" borderId="0" xfId="13" applyFont="1" applyBorder="1" applyAlignment="1">
      <alignment horizontal="left" vertical="center" wrapText="1"/>
    </xf>
    <xf numFmtId="0" fontId="3" fillId="3" borderId="0" xfId="2" applyFont="1" applyFill="1" applyAlignment="1">
      <alignment horizontal="right"/>
    </xf>
    <xf numFmtId="43" fontId="8" fillId="3" borderId="6" xfId="11" applyFont="1" applyFill="1" applyBorder="1" applyAlignment="1"/>
    <xf numFmtId="0" fontId="8" fillId="0" borderId="0" xfId="14" applyNumberFormat="1" applyFont="1" applyFill="1" applyBorder="1" applyAlignment="1">
      <alignment horizontal="left" wrapText="1"/>
    </xf>
    <xf numFmtId="164" fontId="8" fillId="0" borderId="0" xfId="14" applyFont="1" applyFill="1" applyBorder="1" applyAlignment="1">
      <alignment horizontal="left"/>
    </xf>
    <xf numFmtId="0" fontId="8" fillId="0" borderId="0" xfId="14" applyNumberFormat="1" applyFont="1" applyFill="1" applyBorder="1" applyAlignment="1">
      <alignment horizontal="left"/>
    </xf>
    <xf numFmtId="0" fontId="3" fillId="0" borderId="5" xfId="2" applyFont="1" applyBorder="1" applyAlignment="1">
      <alignment wrapText="1"/>
    </xf>
    <xf numFmtId="43" fontId="4" fillId="0" borderId="6" xfId="11" applyFont="1" applyBorder="1" applyAlignment="1">
      <alignment vertical="center"/>
    </xf>
    <xf numFmtId="0" fontId="6" fillId="2" borderId="0" xfId="2" applyFont="1" applyFill="1" applyAlignment="1">
      <alignment horizontal="right" vertical="center"/>
    </xf>
    <xf numFmtId="43" fontId="3" fillId="5" borderId="0" xfId="1" applyFont="1" applyFill="1" applyBorder="1" applyAlignment="1">
      <alignment horizontal="right" vertical="center"/>
    </xf>
    <xf numFmtId="0" fontId="3" fillId="0" borderId="5" xfId="2" applyFont="1" applyBorder="1" applyAlignment="1">
      <alignment horizontal="left" vertical="center" wrapText="1"/>
    </xf>
    <xf numFmtId="43" fontId="17" fillId="0" borderId="0" xfId="1" applyFont="1" applyFill="1" applyBorder="1" applyAlignment="1">
      <alignment horizontal="right" vertical="center"/>
    </xf>
    <xf numFmtId="0" fontId="4" fillId="0" borderId="0" xfId="14" applyNumberFormat="1" applyFont="1" applyBorder="1" applyAlignment="1">
      <alignment horizontal="left" vertical="center" wrapText="1"/>
    </xf>
    <xf numFmtId="0" fontId="10" fillId="0" borderId="5" xfId="2" applyFont="1" applyBorder="1" applyAlignment="1">
      <alignment horizontal="center" vertical="center" wrapText="1"/>
    </xf>
    <xf numFmtId="43" fontId="3" fillId="0" borderId="0" xfId="1" applyFont="1" applyFill="1" applyBorder="1" applyAlignment="1">
      <alignment horizontal="right" vertical="center"/>
    </xf>
    <xf numFmtId="43" fontId="3" fillId="0" borderId="0" xfId="11" applyFont="1" applyFill="1" applyBorder="1" applyAlignment="1">
      <alignment horizontal="right" vertical="center"/>
    </xf>
    <xf numFmtId="0" fontId="3" fillId="0" borderId="0" xfId="2" applyFont="1" applyAlignment="1">
      <alignment horizontal="left" vertical="top"/>
    </xf>
    <xf numFmtId="0" fontId="11" fillId="3" borderId="0" xfId="2" applyFont="1" applyFill="1" applyAlignment="1">
      <alignment horizontal="right"/>
    </xf>
    <xf numFmtId="0" fontId="3" fillId="0" borderId="7" xfId="2" applyFont="1" applyBorder="1" applyAlignment="1">
      <alignment vertical="center"/>
    </xf>
    <xf numFmtId="0" fontId="3" fillId="0" borderId="8" xfId="2" applyFont="1" applyBorder="1" applyAlignment="1">
      <alignment vertical="center"/>
    </xf>
    <xf numFmtId="0" fontId="3" fillId="0" borderId="8" xfId="2" applyFont="1" applyBorder="1" applyAlignment="1">
      <alignment horizontal="right" vertical="center"/>
    </xf>
    <xf numFmtId="43" fontId="3" fillId="0" borderId="8" xfId="11" applyFont="1" applyBorder="1" applyAlignment="1">
      <alignment vertical="center"/>
    </xf>
    <xf numFmtId="0" fontId="3" fillId="0" borderId="8" xfId="2" applyFont="1" applyBorder="1" applyAlignment="1">
      <alignment horizontal="left" vertical="center" wrapText="1"/>
    </xf>
    <xf numFmtId="0" fontId="3" fillId="0" borderId="8" xfId="2" applyFont="1" applyBorder="1" applyAlignment="1">
      <alignment horizontal="left" vertical="center"/>
    </xf>
    <xf numFmtId="0" fontId="3" fillId="0" borderId="9" xfId="2" applyFont="1" applyBorder="1" applyAlignment="1">
      <alignment vertical="center" wrapText="1"/>
    </xf>
    <xf numFmtId="0" fontId="3" fillId="7" borderId="10" xfId="2" applyFont="1" applyFill="1" applyBorder="1" applyAlignment="1">
      <alignment vertical="center"/>
    </xf>
    <xf numFmtId="0" fontId="3" fillId="8" borderId="10" xfId="2" applyFont="1" applyFill="1" applyBorder="1" applyAlignment="1">
      <alignment vertical="center"/>
    </xf>
    <xf numFmtId="0" fontId="3" fillId="5" borderId="10" xfId="6" applyFont="1" applyFill="1" applyBorder="1" applyAlignment="1">
      <alignment vertical="center"/>
    </xf>
    <xf numFmtId="0" fontId="4" fillId="0" borderId="0" xfId="6" applyFont="1" applyAlignment="1">
      <alignment vertical="center"/>
    </xf>
    <xf numFmtId="43" fontId="4" fillId="0" borderId="0" xfId="11" applyFont="1" applyBorder="1" applyAlignment="1">
      <alignment horizontal="center" vertical="center"/>
    </xf>
    <xf numFmtId="43" fontId="6" fillId="2" borderId="0" xfId="11" applyFont="1" applyFill="1" applyBorder="1" applyAlignment="1">
      <alignment horizontal="center" vertical="center"/>
    </xf>
    <xf numFmtId="43" fontId="3" fillId="0" borderId="0" xfId="11" applyFont="1" applyBorder="1" applyAlignment="1">
      <alignment vertical="center"/>
    </xf>
    <xf numFmtId="43" fontId="4" fillId="0" borderId="8" xfId="11" applyFont="1" applyBorder="1" applyAlignment="1">
      <alignment vertical="center"/>
    </xf>
    <xf numFmtId="14" fontId="9" fillId="0" borderId="0" xfId="0" applyNumberFormat="1" applyFont="1" applyAlignment="1">
      <alignment horizontal="center"/>
    </xf>
    <xf numFmtId="49" fontId="9" fillId="0" borderId="0" xfId="0" applyNumberFormat="1" applyFont="1"/>
    <xf numFmtId="4" fontId="8" fillId="3" borderId="6" xfId="11" applyNumberFormat="1" applyFont="1" applyFill="1" applyBorder="1" applyAlignment="1"/>
    <xf numFmtId="0" fontId="8" fillId="0" borderId="0" xfId="4" applyNumberFormat="1" applyFont="1" applyFill="1" applyBorder="1" applyAlignment="1"/>
    <xf numFmtId="43" fontId="16" fillId="0" borderId="0" xfId="1" applyFont="1"/>
    <xf numFmtId="0" fontId="3" fillId="0" borderId="5" xfId="2" applyFont="1" applyBorder="1" applyAlignment="1">
      <alignment horizontal="left" vertical="center"/>
    </xf>
    <xf numFmtId="0" fontId="3" fillId="0" borderId="5" xfId="12" applyNumberFormat="1" applyFont="1" applyFill="1" applyBorder="1" applyAlignment="1">
      <alignment horizontal="left" vertical="center"/>
    </xf>
    <xf numFmtId="43" fontId="3" fillId="0" borderId="0" xfId="1" applyFont="1" applyBorder="1" applyAlignment="1">
      <alignment horizontal="right" vertical="center"/>
    </xf>
    <xf numFmtId="4" fontId="4" fillId="0" borderId="11" xfId="1" applyNumberFormat="1" applyFont="1" applyBorder="1" applyAlignment="1"/>
    <xf numFmtId="43" fontId="9" fillId="5" borderId="0" xfId="1" applyFont="1" applyFill="1" applyBorder="1" applyAlignment="1"/>
    <xf numFmtId="4" fontId="6" fillId="2" borderId="0" xfId="11" applyNumberFormat="1" applyFont="1" applyFill="1" applyBorder="1" applyAlignment="1">
      <alignment horizontal="center" vertical="center"/>
    </xf>
    <xf numFmtId="0" fontId="9" fillId="0" borderId="0" xfId="12" applyNumberFormat="1" applyFont="1" applyFill="1" applyBorder="1" applyAlignment="1">
      <alignment horizontal="left" vertical="center"/>
    </xf>
    <xf numFmtId="0" fontId="9" fillId="0" borderId="5" xfId="2" applyFont="1" applyBorder="1" applyAlignment="1">
      <alignment horizontal="left" vertical="center"/>
    </xf>
    <xf numFmtId="0" fontId="5" fillId="0" borderId="0" xfId="3" applyFont="1" applyAlignment="1">
      <alignment horizontal="left" vertical="center" wrapText="1"/>
    </xf>
    <xf numFmtId="0" fontId="4" fillId="0" borderId="0" xfId="3" applyFont="1" applyAlignment="1">
      <alignment horizontal="left" vertical="center" wrapText="1"/>
    </xf>
    <xf numFmtId="0" fontId="4" fillId="0" borderId="0" xfId="2" applyFont="1" applyAlignment="1">
      <alignment horizontal="left" vertical="center" wrapText="1"/>
    </xf>
    <xf numFmtId="0" fontId="6" fillId="2" borderId="0" xfId="2" applyFont="1" applyFill="1" applyAlignment="1">
      <alignment horizontal="center" vertical="center" wrapText="1"/>
    </xf>
    <xf numFmtId="0" fontId="9" fillId="0" borderId="0" xfId="2" applyFont="1" applyAlignment="1">
      <alignment horizontal="left" vertical="center"/>
    </xf>
    <xf numFmtId="0" fontId="6" fillId="6" borderId="0" xfId="2" applyFont="1" applyFill="1" applyAlignment="1">
      <alignment horizontal="center" vertical="center"/>
    </xf>
    <xf numFmtId="49" fontId="3" fillId="0" borderId="0" xfId="2" applyNumberFormat="1" applyFont="1" applyAlignment="1">
      <alignment horizontal="center"/>
    </xf>
    <xf numFmtId="43" fontId="9" fillId="0" borderId="0" xfId="1" applyFont="1" applyFill="1"/>
    <xf numFmtId="43" fontId="9" fillId="0" borderId="0" xfId="1" applyFont="1" applyFill="1" applyBorder="1"/>
    <xf numFmtId="0" fontId="9" fillId="0" borderId="0" xfId="12" applyNumberFormat="1" applyFont="1" applyFill="1" applyBorder="1" applyAlignment="1">
      <alignment horizontal="left" vertical="center" wrapText="1"/>
    </xf>
    <xf numFmtId="43" fontId="3" fillId="10" borderId="0" xfId="1" applyFont="1" applyFill="1" applyBorder="1" applyAlignment="1">
      <alignment horizontal="right" vertical="center"/>
    </xf>
    <xf numFmtId="43" fontId="3" fillId="0" borderId="0" xfId="12" applyNumberFormat="1" applyFont="1" applyFill="1" applyBorder="1" applyAlignment="1">
      <alignment horizontal="left" vertical="center" wrapText="1"/>
    </xf>
    <xf numFmtId="0" fontId="3" fillId="0" borderId="0" xfId="0" applyFont="1"/>
    <xf numFmtId="43" fontId="9" fillId="5" borderId="0" xfId="0" applyNumberFormat="1" applyFont="1" applyFill="1"/>
    <xf numFmtId="14" fontId="3" fillId="11" borderId="0" xfId="0" applyNumberFormat="1" applyFont="1" applyFill="1" applyAlignment="1">
      <alignment horizontal="center"/>
    </xf>
    <xf numFmtId="0" fontId="3" fillId="11" borderId="0" xfId="0" applyFont="1" applyFill="1"/>
    <xf numFmtId="49" fontId="3" fillId="11" borderId="0" xfId="0" applyNumberFormat="1" applyFont="1" applyFill="1"/>
    <xf numFmtId="0" fontId="3" fillId="11" borderId="0" xfId="2" applyFont="1" applyFill="1" applyAlignment="1">
      <alignment horizontal="right" vertical="center"/>
    </xf>
    <xf numFmtId="43" fontId="9" fillId="0" borderId="0" xfId="0" applyNumberFormat="1" applyFont="1"/>
    <xf numFmtId="49" fontId="3" fillId="0" borderId="0" xfId="2" applyNumberFormat="1" applyFont="1" applyAlignment="1">
      <alignment horizontal="right" vertical="center"/>
    </xf>
    <xf numFmtId="14" fontId="9" fillId="0" borderId="0" xfId="0" applyNumberFormat="1" applyFont="1"/>
    <xf numFmtId="0" fontId="6" fillId="0" borderId="0" xfId="2" applyFont="1" applyAlignment="1">
      <alignment horizontal="left" vertical="center" wrapText="1"/>
    </xf>
    <xf numFmtId="0" fontId="6" fillId="0" borderId="0" xfId="2" applyFont="1" applyAlignment="1">
      <alignment horizontal="left" vertical="center"/>
    </xf>
    <xf numFmtId="14" fontId="9" fillId="11" borderId="0" xfId="0" applyNumberFormat="1" applyFont="1" applyFill="1" applyAlignment="1">
      <alignment horizontal="center" vertical="center"/>
    </xf>
    <xf numFmtId="43" fontId="3" fillId="5" borderId="0" xfId="0" applyNumberFormat="1" applyFont="1" applyFill="1"/>
    <xf numFmtId="43" fontId="3" fillId="0" borderId="0" xfId="0" applyNumberFormat="1" applyFont="1"/>
    <xf numFmtId="165" fontId="14" fillId="0" borderId="0" xfId="8" applyFont="1"/>
    <xf numFmtId="43" fontId="3" fillId="5" borderId="0" xfId="1" applyFont="1" applyFill="1"/>
    <xf numFmtId="4" fontId="9" fillId="0" borderId="0" xfId="1" applyNumberFormat="1" applyFont="1" applyFill="1"/>
    <xf numFmtId="4" fontId="9" fillId="0" borderId="0" xfId="1" applyNumberFormat="1" applyFont="1" applyFill="1" applyBorder="1"/>
    <xf numFmtId="14" fontId="3" fillId="0" borderId="0" xfId="0" applyNumberFormat="1" applyFont="1" applyAlignment="1">
      <alignment horizontal="center"/>
    </xf>
    <xf numFmtId="43" fontId="3" fillId="0" borderId="0" xfId="1" applyFont="1" applyFill="1" applyBorder="1" applyAlignment="1">
      <alignment horizontal="left" vertical="center"/>
    </xf>
    <xf numFmtId="43" fontId="3" fillId="0" borderId="0" xfId="12" applyNumberFormat="1" applyFont="1" applyFill="1" applyBorder="1" applyAlignment="1">
      <alignment horizontal="left" vertical="center"/>
    </xf>
    <xf numFmtId="14" fontId="3" fillId="0" borderId="0" xfId="12" applyNumberFormat="1" applyFont="1" applyFill="1" applyBorder="1" applyAlignment="1">
      <alignment horizontal="left" vertical="center"/>
    </xf>
    <xf numFmtId="0" fontId="3" fillId="0" borderId="12" xfId="2" applyFont="1" applyBorder="1" applyAlignment="1">
      <alignment vertical="center"/>
    </xf>
    <xf numFmtId="0" fontId="3" fillId="0" borderId="13" xfId="2" applyFont="1" applyBorder="1" applyAlignment="1">
      <alignment vertical="center"/>
    </xf>
    <xf numFmtId="0" fontId="3" fillId="0" borderId="13" xfId="2" applyFont="1" applyBorder="1" applyAlignment="1">
      <alignment horizontal="right" vertical="center"/>
    </xf>
    <xf numFmtId="43" fontId="3" fillId="0" borderId="13" xfId="11" applyFont="1" applyBorder="1" applyAlignment="1">
      <alignment vertical="center"/>
    </xf>
    <xf numFmtId="0" fontId="3" fillId="0" borderId="13" xfId="2" applyFont="1" applyBorder="1" applyAlignment="1">
      <alignment horizontal="left" vertical="center" wrapText="1"/>
    </xf>
    <xf numFmtId="0" fontId="3" fillId="0" borderId="13" xfId="2" applyFont="1" applyBorder="1" applyAlignment="1">
      <alignment horizontal="left" vertical="center"/>
    </xf>
    <xf numFmtId="0" fontId="3" fillId="0" borderId="14" xfId="2" applyFont="1" applyBorder="1" applyAlignment="1">
      <alignment vertical="center" wrapText="1"/>
    </xf>
    <xf numFmtId="0" fontId="4" fillId="0" borderId="15" xfId="3" applyFont="1" applyBorder="1" applyAlignment="1">
      <alignment vertical="center"/>
    </xf>
    <xf numFmtId="0" fontId="4" fillId="0" borderId="16" xfId="3" applyFont="1" applyBorder="1" applyAlignment="1">
      <alignment vertical="center" wrapText="1"/>
    </xf>
    <xf numFmtId="0" fontId="4" fillId="0" borderId="15" xfId="2" applyFont="1" applyBorder="1" applyAlignment="1">
      <alignment vertical="center"/>
    </xf>
    <xf numFmtId="0" fontId="4" fillId="0" borderId="16" xfId="2" applyFont="1" applyBorder="1" applyAlignment="1">
      <alignment vertical="center" wrapText="1"/>
    </xf>
    <xf numFmtId="0" fontId="6" fillId="2" borderId="15" xfId="2" applyFont="1" applyFill="1" applyBorder="1" applyAlignment="1">
      <alignment horizontal="center" vertical="center"/>
    </xf>
    <xf numFmtId="0" fontId="6" fillId="2" borderId="16" xfId="2" applyFont="1" applyFill="1" applyBorder="1" applyAlignment="1">
      <alignment horizontal="center" vertical="center" wrapText="1"/>
    </xf>
    <xf numFmtId="0" fontId="3" fillId="0" borderId="15" xfId="2" applyFont="1" applyBorder="1" applyAlignment="1">
      <alignment vertical="center"/>
    </xf>
    <xf numFmtId="0" fontId="3" fillId="0" borderId="16" xfId="2" applyFont="1" applyBorder="1" applyAlignment="1">
      <alignment vertical="center" wrapText="1"/>
    </xf>
    <xf numFmtId="0" fontId="3" fillId="0" borderId="15" xfId="2" applyFont="1" applyBorder="1"/>
    <xf numFmtId="0" fontId="3" fillId="0" borderId="16" xfId="2" applyFont="1" applyBorder="1" applyAlignment="1">
      <alignment wrapText="1"/>
    </xf>
    <xf numFmtId="0" fontId="3" fillId="0" borderId="15" xfId="2" applyFont="1" applyBorder="1" applyAlignment="1">
      <alignment horizontal="center" vertical="center"/>
    </xf>
    <xf numFmtId="0" fontId="3" fillId="0" borderId="5" xfId="12" applyNumberFormat="1" applyFont="1" applyFill="1" applyBorder="1" applyAlignment="1">
      <alignment horizontal="left" vertical="center" wrapText="1"/>
    </xf>
    <xf numFmtId="0" fontId="3" fillId="0" borderId="16" xfId="12" applyNumberFormat="1" applyFont="1" applyFill="1" applyBorder="1" applyAlignment="1">
      <alignment horizontal="left" vertical="center"/>
    </xf>
    <xf numFmtId="0" fontId="10" fillId="0" borderId="16" xfId="2" applyFont="1" applyBorder="1" applyAlignment="1">
      <alignment horizontal="center" vertical="center" wrapText="1"/>
    </xf>
    <xf numFmtId="0" fontId="3" fillId="0" borderId="16" xfId="2" applyFont="1" applyBorder="1" applyAlignment="1">
      <alignment horizontal="left" vertical="center" wrapText="1"/>
    </xf>
    <xf numFmtId="0" fontId="3" fillId="0" borderId="17" xfId="2" applyFont="1" applyBorder="1" applyAlignment="1">
      <alignment vertical="center"/>
    </xf>
    <xf numFmtId="0" fontId="3" fillId="0" borderId="18" xfId="2" applyFont="1" applyBorder="1" applyAlignment="1">
      <alignment vertical="center"/>
    </xf>
    <xf numFmtId="0" fontId="3" fillId="0" borderId="18" xfId="2" applyFont="1" applyBorder="1" applyAlignment="1">
      <alignment horizontal="right" vertical="center"/>
    </xf>
    <xf numFmtId="43" fontId="3" fillId="0" borderId="18" xfId="11" applyFont="1" applyBorder="1" applyAlignment="1">
      <alignment vertical="center"/>
    </xf>
    <xf numFmtId="0" fontId="3" fillId="0" borderId="18" xfId="2" applyFont="1" applyBorder="1" applyAlignment="1">
      <alignment horizontal="left" vertical="center" wrapText="1"/>
    </xf>
    <xf numFmtId="0" fontId="3" fillId="0" borderId="18" xfId="2" applyFont="1" applyBorder="1" applyAlignment="1">
      <alignment horizontal="left" vertical="center"/>
    </xf>
    <xf numFmtId="0" fontId="3" fillId="0" borderId="19" xfId="2" applyFont="1" applyBorder="1" applyAlignment="1">
      <alignment vertical="center" wrapText="1"/>
    </xf>
    <xf numFmtId="4" fontId="4" fillId="0" borderId="0" xfId="2" applyNumberFormat="1" applyFont="1" applyAlignment="1">
      <alignment horizontal="left" vertical="center" wrapText="1"/>
    </xf>
    <xf numFmtId="0" fontId="3" fillId="0" borderId="16" xfId="2" applyFont="1" applyBorder="1" applyAlignment="1">
      <alignment horizontal="left" vertical="center"/>
    </xf>
    <xf numFmtId="14" fontId="17" fillId="0" borderId="0" xfId="2" applyNumberFormat="1" applyFont="1" applyAlignment="1">
      <alignment horizontal="center" vertical="center"/>
    </xf>
    <xf numFmtId="0" fontId="17" fillId="0" borderId="0" xfId="2" applyFont="1" applyAlignment="1">
      <alignment vertical="center"/>
    </xf>
    <xf numFmtId="0" fontId="17" fillId="0" borderId="0" xfId="2" applyFont="1" applyAlignment="1">
      <alignment horizontal="right" vertical="center"/>
    </xf>
    <xf numFmtId="0" fontId="6" fillId="2" borderId="0" xfId="2" applyFont="1" applyFill="1" applyAlignment="1">
      <alignment horizontal="left" vertical="center" wrapText="1"/>
    </xf>
    <xf numFmtId="0" fontId="6" fillId="2" borderId="0" xfId="2" applyFont="1" applyFill="1" applyAlignment="1">
      <alignment horizontal="left" vertical="center"/>
    </xf>
    <xf numFmtId="4" fontId="3" fillId="0" borderId="0" xfId="2" applyNumberFormat="1" applyFont="1" applyAlignment="1">
      <alignment horizontal="left" vertical="center" wrapText="1"/>
    </xf>
    <xf numFmtId="43" fontId="3" fillId="0" borderId="0" xfId="2" applyNumberFormat="1" applyFont="1" applyAlignment="1">
      <alignment horizontal="left" vertical="center" wrapText="1"/>
    </xf>
    <xf numFmtId="0" fontId="3" fillId="0" borderId="16" xfId="12" applyNumberFormat="1" applyFont="1" applyFill="1" applyBorder="1" applyAlignment="1">
      <alignment horizontal="left" vertical="center" wrapText="1"/>
    </xf>
    <xf numFmtId="43" fontId="3" fillId="0" borderId="0" xfId="1" applyFont="1" applyFill="1" applyAlignment="1">
      <alignment horizontal="right" vertical="center"/>
    </xf>
    <xf numFmtId="43" fontId="9" fillId="5" borderId="0" xfId="1" applyFont="1" applyFill="1"/>
    <xf numFmtId="4" fontId="3" fillId="10" borderId="0" xfId="2" applyNumberFormat="1" applyFont="1" applyFill="1"/>
    <xf numFmtId="43" fontId="9" fillId="7" borderId="0" xfId="1" applyFont="1" applyFill="1"/>
    <xf numFmtId="43" fontId="3" fillId="0" borderId="0" xfId="1" applyFont="1" applyFill="1" applyBorder="1"/>
    <xf numFmtId="49" fontId="3" fillId="0" borderId="0" xfId="0" applyNumberFormat="1" applyFont="1"/>
    <xf numFmtId="0" fontId="9" fillId="0" borderId="0" xfId="15" applyFont="1"/>
    <xf numFmtId="4" fontId="9" fillId="0" borderId="0" xfId="1" applyNumberFormat="1" applyFont="1" applyFill="1" applyBorder="1" applyAlignment="1"/>
    <xf numFmtId="0" fontId="18" fillId="0" borderId="0" xfId="3" applyFont="1" applyAlignment="1">
      <alignment horizontal="center" vertical="center" wrapText="1"/>
    </xf>
    <xf numFmtId="0" fontId="18" fillId="0" borderId="0" xfId="3" applyFont="1" applyAlignment="1">
      <alignment vertical="center" wrapText="1"/>
    </xf>
    <xf numFmtId="0" fontId="19" fillId="0" borderId="0" xfId="3" applyFont="1" applyAlignment="1">
      <alignment horizontal="center" vertical="center" wrapText="1"/>
    </xf>
    <xf numFmtId="0" fontId="19" fillId="0" borderId="0" xfId="3" applyFont="1" applyAlignment="1">
      <alignment vertical="center" wrapText="1"/>
    </xf>
    <xf numFmtId="0" fontId="19" fillId="0" borderId="0" xfId="2" applyFont="1" applyAlignment="1">
      <alignment horizontal="center" vertical="center"/>
    </xf>
    <xf numFmtId="0" fontId="19" fillId="0" borderId="0" xfId="2" applyFont="1" applyAlignment="1">
      <alignment horizontal="right" vertical="center"/>
    </xf>
    <xf numFmtId="0" fontId="4" fillId="0" borderId="0" xfId="3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3" fillId="0" borderId="16" xfId="2" applyFont="1" applyBorder="1" applyAlignment="1">
      <alignment horizontal="left" vertical="center" wrapText="1"/>
    </xf>
    <xf numFmtId="0" fontId="5" fillId="0" borderId="0" xfId="3" applyFont="1" applyAlignment="1">
      <alignment horizontal="center" vertical="center"/>
    </xf>
    <xf numFmtId="43" fontId="4" fillId="0" borderId="0" xfId="1" applyFont="1" applyBorder="1" applyAlignment="1">
      <alignment horizontal="center" vertical="center"/>
    </xf>
    <xf numFmtId="0" fontId="4" fillId="0" borderId="0" xfId="3" applyFont="1" applyAlignment="1">
      <alignment horizontal="center" vertical="center" wrapText="1"/>
    </xf>
    <xf numFmtId="0" fontId="5" fillId="0" borderId="0" xfId="3" applyFont="1" applyAlignment="1">
      <alignment horizontal="center" vertical="center" wrapText="1"/>
    </xf>
    <xf numFmtId="0" fontId="19" fillId="0" borderId="0" xfId="3" applyFont="1" applyAlignment="1">
      <alignment horizontal="center" vertical="center" wrapText="1"/>
    </xf>
    <xf numFmtId="0" fontId="19" fillId="0" borderId="0" xfId="2" applyFont="1" applyAlignment="1">
      <alignment horizontal="center" vertical="center"/>
    </xf>
    <xf numFmtId="0" fontId="18" fillId="0" borderId="0" xfId="3" applyFont="1" applyAlignment="1">
      <alignment horizontal="center" vertical="center" wrapText="1"/>
    </xf>
  </cellXfs>
  <cellStyles count="16">
    <cellStyle name="Millares" xfId="1" builtinId="3"/>
    <cellStyle name="Millares 2 2 2 2 2" xfId="14" xr:uid="{3823FD26-CAB3-42CB-B514-96A3E5A6F866}"/>
    <cellStyle name="Millares 2 2 2 3" xfId="8" xr:uid="{19280089-C988-4288-A83C-4261B633CD53}"/>
    <cellStyle name="Millares 2 2 3 2 2 2 2 2" xfId="12" xr:uid="{FB849450-BA26-4062-944B-3B67A5133736}"/>
    <cellStyle name="Millares 2 2 3 2 2 2 2 2 2" xfId="10" xr:uid="{B0BBA383-981D-4043-AF3B-0C93E7A21835}"/>
    <cellStyle name="Millares 2 2 4" xfId="13" xr:uid="{6F311AEC-7585-46C7-8518-EAB6A65E5E69}"/>
    <cellStyle name="Millares 3 2" xfId="4" xr:uid="{38F2F3D1-510C-456B-B6ED-7C61A208D988}"/>
    <cellStyle name="Millares 5" xfId="11" xr:uid="{446F79A9-66DF-42CD-8E53-9876964EBD5C}"/>
    <cellStyle name="Normal" xfId="0" builtinId="0"/>
    <cellStyle name="Normal 2" xfId="7" xr:uid="{A6B1F813-2814-4504-B4FD-2E3F8FB415A0}"/>
    <cellStyle name="Normal 2 2" xfId="15" xr:uid="{7C854E83-54E2-4BD3-A4B8-FEA23390A1EB}"/>
    <cellStyle name="Normal 2 2 2" xfId="2" xr:uid="{C16E6D03-0FBB-4AC9-80F8-846F4B5B5FA5}"/>
    <cellStyle name="Normal 3" xfId="6" xr:uid="{CAF00E48-1984-420E-967A-1D09997D1A40}"/>
    <cellStyle name="Normal 4 2" xfId="9" xr:uid="{DA8C0430-6A84-4F32-99B3-617E2968B995}"/>
    <cellStyle name="Normal 5" xfId="5" xr:uid="{7EF12E8A-951D-47CB-BF0C-1C305D3426DB}"/>
    <cellStyle name="Normal_CONCILIACIONES FEBRERO-10" xfId="3" xr:uid="{9906C05E-903D-4C7D-ADAB-70EF686C5ED7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26" Type="http://schemas.openxmlformats.org/officeDocument/2006/relationships/externalLink" Target="externalLinks/externalLink18.xml"/><Relationship Id="rId39" Type="http://schemas.openxmlformats.org/officeDocument/2006/relationships/externalLink" Target="externalLinks/externalLink31.xml"/><Relationship Id="rId21" Type="http://schemas.openxmlformats.org/officeDocument/2006/relationships/externalLink" Target="externalLinks/externalLink13.xml"/><Relationship Id="rId34" Type="http://schemas.openxmlformats.org/officeDocument/2006/relationships/externalLink" Target="externalLinks/externalLink26.xml"/><Relationship Id="rId42" Type="http://schemas.openxmlformats.org/officeDocument/2006/relationships/externalLink" Target="externalLinks/externalLink34.xml"/><Relationship Id="rId47" Type="http://schemas.openxmlformats.org/officeDocument/2006/relationships/externalLink" Target="externalLinks/externalLink39.xml"/><Relationship Id="rId50" Type="http://schemas.openxmlformats.org/officeDocument/2006/relationships/externalLink" Target="externalLinks/externalLink42.xml"/><Relationship Id="rId55" Type="http://schemas.openxmlformats.org/officeDocument/2006/relationships/externalLink" Target="externalLinks/externalLink4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9" Type="http://schemas.openxmlformats.org/officeDocument/2006/relationships/externalLink" Target="externalLinks/externalLink21.xml"/><Relationship Id="rId11" Type="http://schemas.openxmlformats.org/officeDocument/2006/relationships/externalLink" Target="externalLinks/externalLink3.xml"/><Relationship Id="rId24" Type="http://schemas.openxmlformats.org/officeDocument/2006/relationships/externalLink" Target="externalLinks/externalLink16.xml"/><Relationship Id="rId32" Type="http://schemas.openxmlformats.org/officeDocument/2006/relationships/externalLink" Target="externalLinks/externalLink24.xml"/><Relationship Id="rId37" Type="http://schemas.openxmlformats.org/officeDocument/2006/relationships/externalLink" Target="externalLinks/externalLink29.xml"/><Relationship Id="rId40" Type="http://schemas.openxmlformats.org/officeDocument/2006/relationships/externalLink" Target="externalLinks/externalLink32.xml"/><Relationship Id="rId45" Type="http://schemas.openxmlformats.org/officeDocument/2006/relationships/externalLink" Target="externalLinks/externalLink37.xml"/><Relationship Id="rId53" Type="http://schemas.openxmlformats.org/officeDocument/2006/relationships/externalLink" Target="externalLinks/externalLink45.xml"/><Relationship Id="rId58" Type="http://schemas.openxmlformats.org/officeDocument/2006/relationships/externalLink" Target="externalLinks/externalLink50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externalLink" Target="externalLinks/externalLink11.xml"/><Relationship Id="rId14" Type="http://schemas.openxmlformats.org/officeDocument/2006/relationships/externalLink" Target="externalLinks/externalLink6.xml"/><Relationship Id="rId22" Type="http://schemas.openxmlformats.org/officeDocument/2006/relationships/externalLink" Target="externalLinks/externalLink14.xml"/><Relationship Id="rId27" Type="http://schemas.openxmlformats.org/officeDocument/2006/relationships/externalLink" Target="externalLinks/externalLink19.xml"/><Relationship Id="rId30" Type="http://schemas.openxmlformats.org/officeDocument/2006/relationships/externalLink" Target="externalLinks/externalLink22.xml"/><Relationship Id="rId35" Type="http://schemas.openxmlformats.org/officeDocument/2006/relationships/externalLink" Target="externalLinks/externalLink27.xml"/><Relationship Id="rId43" Type="http://schemas.openxmlformats.org/officeDocument/2006/relationships/externalLink" Target="externalLinks/externalLink35.xml"/><Relationship Id="rId48" Type="http://schemas.openxmlformats.org/officeDocument/2006/relationships/externalLink" Target="externalLinks/externalLink40.xml"/><Relationship Id="rId56" Type="http://schemas.openxmlformats.org/officeDocument/2006/relationships/externalLink" Target="externalLinks/externalLink48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3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externalLink" Target="externalLinks/externalLink17.xml"/><Relationship Id="rId33" Type="http://schemas.openxmlformats.org/officeDocument/2006/relationships/externalLink" Target="externalLinks/externalLink25.xml"/><Relationship Id="rId38" Type="http://schemas.openxmlformats.org/officeDocument/2006/relationships/externalLink" Target="externalLinks/externalLink30.xml"/><Relationship Id="rId46" Type="http://schemas.openxmlformats.org/officeDocument/2006/relationships/externalLink" Target="externalLinks/externalLink38.xml"/><Relationship Id="rId59" Type="http://schemas.openxmlformats.org/officeDocument/2006/relationships/theme" Target="theme/theme1.xml"/><Relationship Id="rId20" Type="http://schemas.openxmlformats.org/officeDocument/2006/relationships/externalLink" Target="externalLinks/externalLink12.xml"/><Relationship Id="rId41" Type="http://schemas.openxmlformats.org/officeDocument/2006/relationships/externalLink" Target="externalLinks/externalLink33.xml"/><Relationship Id="rId54" Type="http://schemas.openxmlformats.org/officeDocument/2006/relationships/externalLink" Target="externalLinks/externalLink46.xml"/><Relationship Id="rId62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7.xml"/><Relationship Id="rId23" Type="http://schemas.openxmlformats.org/officeDocument/2006/relationships/externalLink" Target="externalLinks/externalLink15.xml"/><Relationship Id="rId28" Type="http://schemas.openxmlformats.org/officeDocument/2006/relationships/externalLink" Target="externalLinks/externalLink20.xml"/><Relationship Id="rId36" Type="http://schemas.openxmlformats.org/officeDocument/2006/relationships/externalLink" Target="externalLinks/externalLink28.xml"/><Relationship Id="rId49" Type="http://schemas.openxmlformats.org/officeDocument/2006/relationships/externalLink" Target="externalLinks/externalLink41.xml"/><Relationship Id="rId57" Type="http://schemas.openxmlformats.org/officeDocument/2006/relationships/externalLink" Target="externalLinks/externalLink49.xml"/><Relationship Id="rId10" Type="http://schemas.openxmlformats.org/officeDocument/2006/relationships/externalLink" Target="externalLinks/externalLink2.xml"/><Relationship Id="rId31" Type="http://schemas.openxmlformats.org/officeDocument/2006/relationships/externalLink" Target="externalLinks/externalLink23.xml"/><Relationship Id="rId44" Type="http://schemas.openxmlformats.org/officeDocument/2006/relationships/externalLink" Target="externalLinks/externalLink36.xml"/><Relationship Id="rId52" Type="http://schemas.openxmlformats.org/officeDocument/2006/relationships/externalLink" Target="externalLinks/externalLink44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XLCONSOL\FLUJOEF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tabilidad2a\mis%20documentos\Mis%20documentos\Trm2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Documents%20and%20Settings/CONTABILIDAD/Configuraci&#243;n%20local/Archivos%20temporales%20de%20Internet/Content.Outlook/073F3LME/CMD/Ventas%20de%20Cartera/Vc.xls" TargetMode="External"/><Relationship Id="rId1" Type="http://schemas.openxmlformats.org/officeDocument/2006/relationships/externalLinkPath" Target="/Documents%20and%20Settings/CONTABILIDAD/Configuraci&#243;n%20local/Archivos%20temporales%20de%20Internet/Content.Outlook/073F3LME/CMD/Ventas%20de%20Cartera/V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CONTABILIDAD\Configuraci&#243;n%20local\Archivos%20temporales%20de%20Internet\Content.Outlook\073F3LME\CMD\Ventas%20de%20Cartera\V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.22\Contab_Cadena_Contab$\Documents%20and%20Settings\CONTABILIDAD\Configuraci&#243;n%20local\Archivos%20temporales%20de%20Internet\Content.Outlook\073F3LME\CMD\Ventas%20de%20Cartera\Vc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Documents%20and%20Settings/CONTABILIDAD/Configuraci&#243;n%20local/Archivos%20temporales%20de%20Internet/Content.Outlook/073F3LME/2008/Mayo%202008/ANEXOS%20PRESIDENCIA%20MAY%2008.xls" TargetMode="External"/><Relationship Id="rId1" Type="http://schemas.openxmlformats.org/officeDocument/2006/relationships/externalLinkPath" Target="/Documents%20and%20Settings/CONTABILIDAD/Configuraci&#243;n%20local/Archivos%20temporales%20de%20Internet/Content.Outlook/073F3LME/2008/Mayo%202008/ANEXOS%20PRESIDENCIA%20MAY%200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CONTABILIDAD\Configuraci&#243;n%20local\Archivos%20temporales%20de%20Internet\Content.Outlook\073F3LME\2008\Mayo%202008\ANEXOS%20PRESIDENCIA%20MAY%2008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.22\Contab_Cadena_Contab$\Documents%20and%20Settings\CONTABILIDAD\Configuraci&#243;n%20local\Archivos%20temporales%20de%20Internet\Content.Outlook\073F3LME\2008\Mayo%202008\ANEXOS%20PRESIDENCIA%20MAY%200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tabilidad2a\mis%20documentos\CMD\Ventas%20de%20Cartera\V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.81\contab$\CMD\Ventas%20de%20Cartera\V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.22\Contab_Cadena_Imp$\Documents%20and%20Settings\glorgong\Mis%20documentos\COPIAS\Copia%20de%2004%20Balance%20Abril%20201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gcaacon003\PUBLICA\william\CARA991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7300020\balances2001\WINDOWS\TEMP\PRESENTACION\DICIEMBRE200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j72508m0\JOSEGUTS\Archivos%20Da&#241;ados\Archivos%20Originales\06%20Junio\06%20Balance%20JUNIO_0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01\cxp\Documents%20and%20Settings\leongrav\Mis%20documentos\BDO%20AUDITORIA%20ETB%20SEP-2007\Info%20Suminis%20por%20ETB\09%20Balance%20Septiembre%20Gloria%20Mireya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tabilidad2a\mis%20documentos\CLIENTES\Spradling%20Venezuela,%20C.A\200701-Cierre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tabilidad2a\mis%20documentos\$Datazoom\2007\COLOMBIA%202007\OCTUBRE\INFPRES10-2007%20CON%20DW%20COL%20Y%20CRC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.22\Contab_Cadena_Imp$\Users\auxiliar-contab\AppData\Local\Microsoft\Windows\Temporary%20Internet%20Files\Content.Outlook\PKPDT4WR\LISTA%20DE%20CHEQUEO%20NOMINA%20JUNIO-13.xls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Documents%20and%20Settings/CONTABILIDAD/Configuraci&#243;n%20local/Archivos%20temporales%20de%20Internet/Content.Outlook/073F3LME/Mis%20documentos/Trm2.xls" TargetMode="External"/><Relationship Id="rId1" Type="http://schemas.openxmlformats.org/officeDocument/2006/relationships/externalLinkPath" Target="/Documents%20and%20Settings/CONTABILIDAD/Configuraci&#243;n%20local/Archivos%20temporales%20de%20Internet/Content.Outlook/073F3LME/Mis%20documentos/Trm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CONTABILIDAD\Configuraci&#243;n%20local\Archivos%20temporales%20de%20Internet\Content.Outlook\073F3LME\Mis%20documentos\Trm2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.22\Contab_Cadena_Contab$\Documents%20and%20Settings\CONTABILIDAD\Configuraci&#243;n%20local\Archivos%20temporales%20de%20Internet\Content.Outlook\073F3LME\Mis%20documentos\Trm2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tabilidad2a\mis%20documentos\Datos\2007\Dat%20Excel\SPRADLING%20VENEZUELA\OCTUBRE\INFORM%20VENZ%20OCT%20%2007%20MAS%20%20proyectado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bo-mramirez\jbuitrag\DOCUME~1\DBO-JA~1\CONFIG~1\Temp\RESUMEN%20DIC2003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tabilidad2a\mis%20documentos\Documents%20and%20Settings\TIBANA-MARTIN\Configuraci&#243;n%20local\Archivos%20temporales%20de%20Internet\OLK27\200708-Compras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tabilidad2a\mis%20documentos\$Datazoom\2007\COLOMBIA%202007\datos\2003\Datexcel\inventarios%202003\repuestos%20nov%20y%20dic.xls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Users/IZE%20consultores/Dropbox/IZE%20Consultor&#237;a/2.%20Proyectos/Proquinal/DM/DM_SPRADLING_FCCS_141020_1.0.xlsm" TargetMode="External"/><Relationship Id="rId1" Type="http://schemas.openxmlformats.org/officeDocument/2006/relationships/externalLinkPath" Target="/Users/IZE%20consultores/Dropbox/IZE%20Consultor&#237;a/2.%20Proyectos/Proquinal/DM/DM_SPRADLING_FCCS_141020_1.0.xlsm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.22\Contab_Cadena_Contab$\Users\IZE%20consultores\Dropbox\IZE%20Consultor&#237;a\2.%20Proyectos\Proquinal\DM\DM_SPRADLING_FCCS_141020_1.0.xlsm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.22\Contab_Cadena_Imp$\Users\aux-nomina2\Desktop\RECONOCIMIENTO%20INCAPACIDADES\saldo_incapacidad%20PROQUINAL.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tabilidad2a\mis%20documentos\Datos\Informe%20Financiero\Historia%20y%20Proyecciones%20CR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rea-elba\2001\windows\TEMP\WINDOWS\TEMP\Libro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tabilidad2a\mis%20documentos\CLIENTES\Spradling%20Venezuela,%20C.A\2007\Inventario\200710-Inventario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7300020\balances2001\WINDOWS\TEMP\Mis%20documentos\WINDOWS\TEMP\Larga%20Distancia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0118795002000\BALANCES%202004\PETETES\BALANCES%202002\BALANCEPETETE\BALANCES2001\Mis%20documentos\WINDOWS\TEMP\Larga%20Distanci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istem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L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CR" TargetMode="External"/></Relationships>
</file>

<file path=xl/externalLinks/_rels/externalLink37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proquinal-my.sharepoint.com/personal/analista_cajaybancos_ccs_spradling_group/Documents/CAJA%20Y%20BANCOS/BANCOS/CONCILIACION/CALYPSO/CONCILIACIONES%20BANCARIAS/CONCILIACIONES%20BANCARIAS%202023/ABRIL/Reclasificaciones%20Bancos.xlsx" TargetMode="External"/><Relationship Id="rId2" Type="http://schemas.microsoft.com/office/2019/04/relationships/externalLinkLongPath" Target="/personal/analista_cajaybancos_ccs_spradling_group/Documents/CAJA%20Y%20BANCOS/BANCOS/CONCILIACION/CALYPSO/CONCILIACIONES%20BANCARIAS/CONCILIACIONES%20BANCARIAS%202023/ABRIL/Reclasificaciones%20Bancos.xlsx?2EB4EE57" TargetMode="External"/><Relationship Id="rId1" Type="http://schemas.openxmlformats.org/officeDocument/2006/relationships/externalLinkPath" Target="file:///\\2EB4EE57\Reclasificaciones%20Bancos.xlsx" TargetMode="External"/><Relationship Id="rId4" Type="http://schemas.openxmlformats.org/officeDocument/2006/relationships/externalLinkPath" Target="../../../../../../../../../analista_cajaybancos_ccs_spradling_group/Documents/CAJA%20Y%20BANCOS/BANCOS/CONCILIACION/CALYPSO/CONCILIACIONES%20BANCARIAS/CONCILIACIONES%20BANCARIAS%202023/ABRIL/Reclasificaciones%20Bancos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Especificacione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laneaci&#243;n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mplementaci&#243;n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istema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.22\Contab_Cadena_Imp$\Users\analista-dls5\AppData\Local\Microsoft\Windows\INetCache\Content.Outlook\8I05MUXX\Aplicativo%20renta%202017%20BUSINESS%20110%20TAX%20v1.1%20-%20TRIBUTAR%20(002).xlsm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720023\balances2000\WINDOWS\TEMP\Larga%20Distancia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URIN\Planeacion_Financiera$\Datos\2018\COLOMBIA\INFORMACION%20CONTABLE\NOMINA\10.OCTUBRE\LISTA%20DE%20CHEQUEO%20NOMINA%20OCT-18.xlsm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URIN\Planeacion_Financiera$\Datos\Documentos\Datos\Datos\Datos\2017\COLOMBIA\PROPIEDAD,%20PLANTA%20Y%20EQUIPO\ACTIVOS%20EN%20MONTAJE%20-%20AGOSTO%2017%20(PCGA).xlsx" TargetMode="External"/></Relationships>
</file>

<file path=xl/externalLinks/_rels/externalLink4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Users/medin/Dropbox/IZE%20Consultor&#237;a%20(1)/2.%20Proyectos/Proquinal/DM/DM_SPRADLING_FCCS_220228_2.0.xlsm" TargetMode="External"/><Relationship Id="rId1" Type="http://schemas.openxmlformats.org/officeDocument/2006/relationships/externalLinkPath" Target="/Users/medin/Dropbox/IZE%20Consultor&#237;a%20(1)/2.%20Proyectos/Proquinal/DM/DM_SPRADLING_FCCS_220228_2.0.xlsm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.22\Contab_Cadena_Contab$\Users\medin\Dropbox\IZE%20Consultor&#237;a%20(1)\2.%20Proyectos\Proquinal\DM\DM_SPRADLING_FCCS_220228_2.0.xlsm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tabilidad2a\mis%20documentos\Documents%20and%20Settings\GONZALEZ-VICTOR\Configuraci&#243;n%20local\Archivos%20temporales%20de%20Internet\OLK99\TRM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0118795002000\BALANCES%202004\PETETES\BALANCES%202002\BALANCEPETETE\BALANCES%202002\INFORMEEJECUTIVO\BALANCES2001\Mis%20documentos\WINDOWS\TEMP\Larga%20Distancia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tos\2007\Datexcel\Informes%20de%20Presidencia\2006\Archivo%20base%202006%20v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UJO"/>
      <sheetName val="analisis cambios"/>
      <sheetName val="ESTCAMBSET"/>
      <sheetName val="EFSV0995 "/>
      <sheetName val="bce ingles"/>
      <sheetName val="GYP0695"/>
      <sheetName val="EFSV0695"/>
      <sheetName val="ANEXO 44"/>
      <sheetName val="analisis_camb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M 97-2000"/>
      <sheetName val="TRM Bimestre"/>
      <sheetName val="Serie TRM"/>
    </sheetNames>
    <sheetDataSet>
      <sheetData sheetId="0" refreshError="1"/>
      <sheetData sheetId="1" refreshError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sumen"/>
    </sheetNames>
    <sheetDataSet>
      <sheetData sheetId="0" refreshError="1">
        <row r="3">
          <cell r="B3">
            <v>37135</v>
          </cell>
        </row>
        <row r="8">
          <cell r="M8">
            <v>16119.124507312848</v>
          </cell>
          <cell r="Q8">
            <v>7166.3829126500004</v>
          </cell>
          <cell r="U8">
            <v>240.5457740916668</v>
          </cell>
          <cell r="Y8">
            <v>0</v>
          </cell>
        </row>
        <row r="9">
          <cell r="M9">
            <v>12770.658637214934</v>
          </cell>
          <cell r="Q9">
            <v>3690.8923762625013</v>
          </cell>
          <cell r="U9">
            <v>0</v>
          </cell>
          <cell r="Y9">
            <v>0</v>
          </cell>
        </row>
        <row r="10">
          <cell r="M10">
            <v>14590.678001472221</v>
          </cell>
          <cell r="Q10">
            <v>2142.1282032333329</v>
          </cell>
          <cell r="U10">
            <v>51.166736927777762</v>
          </cell>
          <cell r="Y10">
            <v>0</v>
          </cell>
        </row>
        <row r="11">
          <cell r="M11">
            <v>29525.122643988208</v>
          </cell>
          <cell r="Q11">
            <v>0</v>
          </cell>
          <cell r="U11">
            <v>0</v>
          </cell>
          <cell r="Y11">
            <v>0</v>
          </cell>
        </row>
        <row r="12">
          <cell r="M12">
            <v>29817.70176460834</v>
          </cell>
          <cell r="Q12">
            <v>236.61169327638891</v>
          </cell>
          <cell r="U12">
            <v>118.35966752847224</v>
          </cell>
          <cell r="Y12">
            <v>729.24441517083358</v>
          </cell>
        </row>
        <row r="13">
          <cell r="M13">
            <v>38256.403012638897</v>
          </cell>
          <cell r="Q13">
            <v>0</v>
          </cell>
          <cell r="U13">
            <v>0</v>
          </cell>
          <cell r="Y13">
            <v>0</v>
          </cell>
        </row>
        <row r="14">
          <cell r="M14">
            <v>21087.624775966666</v>
          </cell>
          <cell r="Q14">
            <v>411.13459053333332</v>
          </cell>
          <cell r="U14">
            <v>327.59345962777775</v>
          </cell>
          <cell r="Y14">
            <v>0</v>
          </cell>
        </row>
        <row r="15">
          <cell r="M15">
            <v>24332.78223146667</v>
          </cell>
          <cell r="Q15">
            <v>0</v>
          </cell>
          <cell r="U15">
            <v>0</v>
          </cell>
          <cell r="Y15">
            <v>0</v>
          </cell>
        </row>
        <row r="16">
          <cell r="M16">
            <v>28804.478451799991</v>
          </cell>
          <cell r="Q16">
            <v>0</v>
          </cell>
          <cell r="U16">
            <v>0</v>
          </cell>
          <cell r="Y16">
            <v>0</v>
          </cell>
        </row>
        <row r="17">
          <cell r="M17">
            <v>22081.234415546183</v>
          </cell>
          <cell r="Q17">
            <v>1461.0460687312504</v>
          </cell>
          <cell r="U17">
            <v>656.02919894652791</v>
          </cell>
          <cell r="Y17">
            <v>0</v>
          </cell>
        </row>
        <row r="18">
          <cell r="M18">
            <v>12709.673634531251</v>
          </cell>
          <cell r="Q18">
            <v>1162.8100650000003</v>
          </cell>
          <cell r="U18">
            <v>0</v>
          </cell>
          <cell r="Y18">
            <v>0</v>
          </cell>
        </row>
        <row r="19">
          <cell r="M19">
            <v>10358.418703966665</v>
          </cell>
          <cell r="Q19">
            <v>14129.966351874999</v>
          </cell>
          <cell r="U19">
            <v>0</v>
          </cell>
          <cell r="Y19">
            <v>0</v>
          </cell>
        </row>
        <row r="20">
          <cell r="M20">
            <v>12263.725058333333</v>
          </cell>
          <cell r="Q20">
            <v>0</v>
          </cell>
        </row>
        <row r="21">
          <cell r="M21">
            <v>16286.105352430557</v>
          </cell>
          <cell r="Q21">
            <v>3.386387152777778</v>
          </cell>
        </row>
        <row r="22">
          <cell r="M22">
            <v>32294.361425625</v>
          </cell>
          <cell r="Q22">
            <v>0</v>
          </cell>
        </row>
        <row r="23">
          <cell r="M23">
            <v>147.99</v>
          </cell>
          <cell r="Q23">
            <v>19557.12296149167</v>
          </cell>
        </row>
        <row r="24">
          <cell r="M24">
            <v>10468.692320000002</v>
          </cell>
          <cell r="Q24">
            <v>-0.46</v>
          </cell>
        </row>
        <row r="25">
          <cell r="M25">
            <v>7018.97</v>
          </cell>
          <cell r="Q25">
            <v>-0.46</v>
          </cell>
        </row>
        <row r="26">
          <cell r="M26">
            <v>15494.846339916663</v>
          </cell>
          <cell r="Q26">
            <v>2264.448381149999</v>
          </cell>
        </row>
        <row r="27">
          <cell r="M27">
            <v>20746.374821033332</v>
          </cell>
        </row>
        <row r="28">
          <cell r="M28">
            <v>11465.478616933333</v>
          </cell>
          <cell r="Q28">
            <v>209.55231540000005</v>
          </cell>
        </row>
        <row r="29">
          <cell r="M29">
            <v>11512.389360799998</v>
          </cell>
        </row>
        <row r="30">
          <cell r="M30">
            <v>13753.011480352774</v>
          </cell>
          <cell r="Q30">
            <v>2066.8691939999994</v>
          </cell>
          <cell r="U30">
            <v>699.02803809166585</v>
          </cell>
        </row>
        <row r="31">
          <cell r="M31">
            <v>7810.5193523279995</v>
          </cell>
          <cell r="Q31">
            <v>706.90587061725012</v>
          </cell>
        </row>
        <row r="32">
          <cell r="M32">
            <v>6097.9856175000004</v>
          </cell>
          <cell r="Q32">
            <v>3646.0189873937506</v>
          </cell>
          <cell r="U32">
            <v>144.41</v>
          </cell>
        </row>
        <row r="33">
          <cell r="M33">
            <v>4700.3806042916667</v>
          </cell>
          <cell r="Q33">
            <v>4236.75</v>
          </cell>
        </row>
        <row r="34">
          <cell r="M34">
            <v>10111.904083968751</v>
          </cell>
          <cell r="Q34">
            <v>1471.54488840625</v>
          </cell>
          <cell r="U34">
            <v>1376.7525115555559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</sheetNames>
    <sheetDataSet>
      <sheetData sheetId="0" refreshError="1">
        <row r="3">
          <cell r="B3">
            <v>37135</v>
          </cell>
        </row>
        <row r="8">
          <cell r="M8">
            <v>16119.124507312848</v>
          </cell>
          <cell r="Q8">
            <v>7166.3829126500004</v>
          </cell>
          <cell r="U8">
            <v>240.5457740916668</v>
          </cell>
          <cell r="Y8">
            <v>0</v>
          </cell>
        </row>
        <row r="9">
          <cell r="M9">
            <v>12770.658637214934</v>
          </cell>
          <cell r="Q9">
            <v>3690.8923762625013</v>
          </cell>
          <cell r="U9">
            <v>0</v>
          </cell>
          <cell r="Y9">
            <v>0</v>
          </cell>
        </row>
        <row r="10">
          <cell r="M10">
            <v>14590.678001472221</v>
          </cell>
          <cell r="Q10">
            <v>2142.1282032333329</v>
          </cell>
          <cell r="U10">
            <v>51.166736927777762</v>
          </cell>
          <cell r="Y10">
            <v>0</v>
          </cell>
        </row>
        <row r="11">
          <cell r="M11">
            <v>29525.122643988208</v>
          </cell>
          <cell r="Q11">
            <v>0</v>
          </cell>
          <cell r="U11">
            <v>0</v>
          </cell>
          <cell r="Y11">
            <v>0</v>
          </cell>
        </row>
        <row r="12">
          <cell r="M12">
            <v>29817.70176460834</v>
          </cell>
          <cell r="Q12">
            <v>236.61169327638891</v>
          </cell>
          <cell r="U12">
            <v>118.35966752847224</v>
          </cell>
          <cell r="Y12">
            <v>729.24441517083358</v>
          </cell>
        </row>
        <row r="13">
          <cell r="M13">
            <v>38256.403012638897</v>
          </cell>
          <cell r="Q13">
            <v>0</v>
          </cell>
          <cell r="U13">
            <v>0</v>
          </cell>
          <cell r="Y13">
            <v>0</v>
          </cell>
        </row>
        <row r="14">
          <cell r="M14">
            <v>21087.624775966666</v>
          </cell>
          <cell r="Q14">
            <v>411.13459053333332</v>
          </cell>
          <cell r="U14">
            <v>327.59345962777775</v>
          </cell>
          <cell r="Y14">
            <v>0</v>
          </cell>
        </row>
        <row r="15">
          <cell r="M15">
            <v>24332.78223146667</v>
          </cell>
          <cell r="Q15">
            <v>0</v>
          </cell>
          <cell r="U15">
            <v>0</v>
          </cell>
          <cell r="Y15">
            <v>0</v>
          </cell>
        </row>
        <row r="16">
          <cell r="M16">
            <v>28804.478451799991</v>
          </cell>
          <cell r="Q16">
            <v>0</v>
          </cell>
          <cell r="U16">
            <v>0</v>
          </cell>
          <cell r="Y16">
            <v>0</v>
          </cell>
        </row>
        <row r="17">
          <cell r="M17">
            <v>22081.234415546183</v>
          </cell>
          <cell r="Q17">
            <v>1461.0460687312504</v>
          </cell>
          <cell r="U17">
            <v>656.02919894652791</v>
          </cell>
          <cell r="Y17">
            <v>0</v>
          </cell>
        </row>
        <row r="18">
          <cell r="M18">
            <v>12709.673634531251</v>
          </cell>
          <cell r="Q18">
            <v>1162.8100650000003</v>
          </cell>
          <cell r="U18">
            <v>0</v>
          </cell>
          <cell r="Y18">
            <v>0</v>
          </cell>
        </row>
        <row r="19">
          <cell r="M19">
            <v>10358.418703966665</v>
          </cell>
          <cell r="Q19">
            <v>14129.966351874999</v>
          </cell>
          <cell r="U19">
            <v>0</v>
          </cell>
          <cell r="Y19">
            <v>0</v>
          </cell>
        </row>
        <row r="20">
          <cell r="M20">
            <v>12263.725058333333</v>
          </cell>
          <cell r="Q20">
            <v>0</v>
          </cell>
        </row>
        <row r="21">
          <cell r="M21">
            <v>16286.105352430557</v>
          </cell>
          <cell r="Q21">
            <v>3.386387152777778</v>
          </cell>
        </row>
        <row r="22">
          <cell r="M22">
            <v>32294.361425625</v>
          </cell>
          <cell r="Q22">
            <v>0</v>
          </cell>
        </row>
        <row r="23">
          <cell r="M23">
            <v>147.99</v>
          </cell>
          <cell r="Q23">
            <v>19557.12296149167</v>
          </cell>
        </row>
        <row r="24">
          <cell r="M24">
            <v>10468.692320000002</v>
          </cell>
          <cell r="Q24">
            <v>-0.46</v>
          </cell>
        </row>
        <row r="25">
          <cell r="M25">
            <v>7018.97</v>
          </cell>
          <cell r="Q25">
            <v>-0.46</v>
          </cell>
        </row>
        <row r="26">
          <cell r="M26">
            <v>15494.846339916663</v>
          </cell>
          <cell r="Q26">
            <v>2264.448381149999</v>
          </cell>
        </row>
        <row r="27">
          <cell r="M27">
            <v>20746.374821033332</v>
          </cell>
        </row>
        <row r="28">
          <cell r="M28">
            <v>11465.478616933333</v>
          </cell>
          <cell r="Q28">
            <v>209.55231540000005</v>
          </cell>
        </row>
        <row r="29">
          <cell r="M29">
            <v>11512.389360799998</v>
          </cell>
        </row>
        <row r="30">
          <cell r="M30">
            <v>13753.011480352774</v>
          </cell>
          <cell r="Q30">
            <v>2066.8691939999994</v>
          </cell>
          <cell r="U30">
            <v>699.02803809166585</v>
          </cell>
        </row>
        <row r="31">
          <cell r="M31">
            <v>7810.5193523279995</v>
          </cell>
          <cell r="Q31">
            <v>706.90587061725012</v>
          </cell>
        </row>
        <row r="32">
          <cell r="M32">
            <v>6097.9856175000004</v>
          </cell>
          <cell r="Q32">
            <v>3646.0189873937506</v>
          </cell>
          <cell r="U32">
            <v>144.41</v>
          </cell>
        </row>
        <row r="33">
          <cell r="M33">
            <v>4700.3806042916667</v>
          </cell>
          <cell r="Q33">
            <v>4236.75</v>
          </cell>
        </row>
        <row r="34">
          <cell r="M34">
            <v>10111.904083968751</v>
          </cell>
          <cell r="Q34">
            <v>1471.54488840625</v>
          </cell>
          <cell r="U34">
            <v>1376.7525115555559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</sheetNames>
    <sheetDataSet>
      <sheetData sheetId="0" refreshError="1">
        <row r="3">
          <cell r="B3">
            <v>37135</v>
          </cell>
        </row>
        <row r="8">
          <cell r="M8">
            <v>16119.124507312848</v>
          </cell>
          <cell r="Q8">
            <v>7166.3829126500004</v>
          </cell>
          <cell r="U8">
            <v>240.5457740916668</v>
          </cell>
          <cell r="Y8">
            <v>0</v>
          </cell>
        </row>
        <row r="9">
          <cell r="M9">
            <v>12770.658637214934</v>
          </cell>
          <cell r="Q9">
            <v>3690.8923762625013</v>
          </cell>
          <cell r="U9">
            <v>0</v>
          </cell>
          <cell r="Y9">
            <v>0</v>
          </cell>
        </row>
        <row r="10">
          <cell r="M10">
            <v>14590.678001472221</v>
          </cell>
          <cell r="Q10">
            <v>2142.1282032333329</v>
          </cell>
          <cell r="U10">
            <v>51.166736927777762</v>
          </cell>
          <cell r="Y10">
            <v>0</v>
          </cell>
        </row>
        <row r="11">
          <cell r="M11">
            <v>29525.122643988208</v>
          </cell>
          <cell r="Q11">
            <v>0</v>
          </cell>
          <cell r="U11">
            <v>0</v>
          </cell>
          <cell r="Y11">
            <v>0</v>
          </cell>
        </row>
        <row r="12">
          <cell r="M12">
            <v>29817.70176460834</v>
          </cell>
          <cell r="Q12">
            <v>236.61169327638891</v>
          </cell>
          <cell r="U12">
            <v>118.35966752847224</v>
          </cell>
          <cell r="Y12">
            <v>729.24441517083358</v>
          </cell>
        </row>
        <row r="13">
          <cell r="M13">
            <v>38256.403012638897</v>
          </cell>
          <cell r="Q13">
            <v>0</v>
          </cell>
          <cell r="U13">
            <v>0</v>
          </cell>
          <cell r="Y13">
            <v>0</v>
          </cell>
        </row>
        <row r="14">
          <cell r="M14">
            <v>21087.624775966666</v>
          </cell>
          <cell r="Q14">
            <v>411.13459053333332</v>
          </cell>
          <cell r="U14">
            <v>327.59345962777775</v>
          </cell>
          <cell r="Y14">
            <v>0</v>
          </cell>
        </row>
        <row r="15">
          <cell r="M15">
            <v>24332.78223146667</v>
          </cell>
          <cell r="Q15">
            <v>0</v>
          </cell>
          <cell r="U15">
            <v>0</v>
          </cell>
          <cell r="Y15">
            <v>0</v>
          </cell>
        </row>
        <row r="16">
          <cell r="M16">
            <v>28804.478451799991</v>
          </cell>
          <cell r="Q16">
            <v>0</v>
          </cell>
          <cell r="U16">
            <v>0</v>
          </cell>
          <cell r="Y16">
            <v>0</v>
          </cell>
        </row>
        <row r="17">
          <cell r="M17">
            <v>22081.234415546183</v>
          </cell>
          <cell r="Q17">
            <v>1461.0460687312504</v>
          </cell>
          <cell r="U17">
            <v>656.02919894652791</v>
          </cell>
          <cell r="Y17">
            <v>0</v>
          </cell>
        </row>
        <row r="18">
          <cell r="M18">
            <v>12709.673634531251</v>
          </cell>
          <cell r="Q18">
            <v>1162.8100650000003</v>
          </cell>
          <cell r="U18">
            <v>0</v>
          </cell>
          <cell r="Y18">
            <v>0</v>
          </cell>
        </row>
        <row r="19">
          <cell r="M19">
            <v>10358.418703966665</v>
          </cell>
          <cell r="Q19">
            <v>14129.966351874999</v>
          </cell>
          <cell r="U19">
            <v>0</v>
          </cell>
          <cell r="Y19">
            <v>0</v>
          </cell>
        </row>
        <row r="20">
          <cell r="M20">
            <v>12263.725058333333</v>
          </cell>
          <cell r="Q20">
            <v>0</v>
          </cell>
        </row>
        <row r="21">
          <cell r="M21">
            <v>16286.105352430557</v>
          </cell>
          <cell r="Q21">
            <v>3.386387152777778</v>
          </cell>
        </row>
        <row r="22">
          <cell r="M22">
            <v>32294.361425625</v>
          </cell>
          <cell r="Q22">
            <v>0</v>
          </cell>
        </row>
        <row r="23">
          <cell r="M23">
            <v>147.99</v>
          </cell>
          <cell r="Q23">
            <v>19557.12296149167</v>
          </cell>
        </row>
        <row r="24">
          <cell r="M24">
            <v>10468.692320000002</v>
          </cell>
          <cell r="Q24">
            <v>-0.46</v>
          </cell>
        </row>
        <row r="25">
          <cell r="M25">
            <v>7018.97</v>
          </cell>
          <cell r="Q25">
            <v>-0.46</v>
          </cell>
        </row>
        <row r="26">
          <cell r="M26">
            <v>15494.846339916663</v>
          </cell>
          <cell r="Q26">
            <v>2264.448381149999</v>
          </cell>
        </row>
        <row r="27">
          <cell r="M27">
            <v>20746.374821033332</v>
          </cell>
        </row>
        <row r="28">
          <cell r="M28">
            <v>11465.478616933333</v>
          </cell>
          <cell r="Q28">
            <v>209.55231540000005</v>
          </cell>
        </row>
        <row r="29">
          <cell r="M29">
            <v>11512.389360799998</v>
          </cell>
        </row>
        <row r="30">
          <cell r="M30">
            <v>13753.011480352774</v>
          </cell>
          <cell r="Q30">
            <v>2066.8691939999994</v>
          </cell>
          <cell r="U30">
            <v>699.02803809166585</v>
          </cell>
        </row>
        <row r="31">
          <cell r="M31">
            <v>7810.5193523279995</v>
          </cell>
          <cell r="Q31">
            <v>706.90587061725012</v>
          </cell>
        </row>
        <row r="32">
          <cell r="M32">
            <v>6097.9856175000004</v>
          </cell>
          <cell r="Q32">
            <v>3646.0189873937506</v>
          </cell>
          <cell r="U32">
            <v>144.41</v>
          </cell>
        </row>
        <row r="33">
          <cell r="M33">
            <v>4700.3806042916667</v>
          </cell>
          <cell r="Q33">
            <v>4236.75</v>
          </cell>
        </row>
        <row r="34">
          <cell r="M34">
            <v>10111.904083968751</v>
          </cell>
          <cell r="Q34">
            <v>1471.54488840625</v>
          </cell>
          <cell r="U34">
            <v>1376.7525115555559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CIF  COL CR"/>
      <sheetName val="GTOS PERSONAL COL Y CR"/>
      <sheetName val="PT MOD - CIF"/>
      <sheetName val="COSTO PRODUCCION COL Y CR"/>
      <sheetName val="BALANCE PQN"/>
      <sheetName val="CAMBIO COL"/>
      <sheetName val="PYG NO OPERACIONAL CR"/>
      <sheetName val="CAMBIO CR"/>
    </sheetNames>
    <sheetDataSet>
      <sheetData sheetId="0"/>
      <sheetData sheetId="1">
        <row r="5">
          <cell r="C5" t="str">
            <v>05 DE 2008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IF  COL CR"/>
      <sheetName val="GTOS PERSONAL COL Y CR"/>
      <sheetName val="PT MOD - CIF"/>
      <sheetName val="COSTO PRODUCCION COL Y CR"/>
      <sheetName val="BALANCE PQN"/>
      <sheetName val="CAMBIO COL"/>
      <sheetName val="PYG NO OPERACIONAL CR"/>
      <sheetName val="CAMBIO CR"/>
    </sheetNames>
    <sheetDataSet>
      <sheetData sheetId="0"/>
      <sheetData sheetId="1">
        <row r="5">
          <cell r="C5" t="str">
            <v>05 DE 2008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IF  COL CR"/>
      <sheetName val="GTOS PERSONAL COL Y CR"/>
      <sheetName val="PT MOD - CIF"/>
      <sheetName val="COSTO PRODUCCION COL Y CR"/>
      <sheetName val="BALANCE PQN"/>
      <sheetName val="CAMBIO COL"/>
      <sheetName val="PYG NO OPERACIONAL CR"/>
      <sheetName val="CAMBIO CR"/>
    </sheetNames>
    <sheetDataSet>
      <sheetData sheetId="0"/>
      <sheetData sheetId="1">
        <row r="5">
          <cell r="C5" t="str">
            <v>05 DE 2008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ESTIMADOS 2016"/>
      <sheetName val="Homologación"/>
    </sheetNames>
    <sheetDataSet>
      <sheetData sheetId="0">
        <row r="3">
          <cell r="B3">
            <v>37135</v>
          </cell>
        </row>
        <row r="4">
          <cell r="B4">
            <v>37164</v>
          </cell>
        </row>
        <row r="8">
          <cell r="D8">
            <v>36145</v>
          </cell>
          <cell r="E8">
            <v>1000085.7100000001</v>
          </cell>
          <cell r="G8">
            <v>118</v>
          </cell>
          <cell r="J8">
            <v>36236</v>
          </cell>
          <cell r="K8">
            <v>91</v>
          </cell>
          <cell r="L8">
            <v>157147.12</v>
          </cell>
          <cell r="M8">
            <v>16119.124507312848</v>
          </cell>
          <cell r="N8">
            <v>36284</v>
          </cell>
          <cell r="O8">
            <v>48</v>
          </cell>
          <cell r="P8">
            <v>616586.94999999995</v>
          </cell>
          <cell r="Q8">
            <v>7166.3829126500004</v>
          </cell>
          <cell r="R8">
            <v>36290</v>
          </cell>
          <cell r="S8">
            <v>6</v>
          </cell>
          <cell r="T8">
            <v>226351.64</v>
          </cell>
          <cell r="U8">
            <v>240.5457740916668</v>
          </cell>
          <cell r="W8">
            <v>0</v>
          </cell>
          <cell r="Y8">
            <v>0</v>
          </cell>
          <cell r="Z8">
            <v>0</v>
          </cell>
          <cell r="AI8">
            <v>0</v>
          </cell>
          <cell r="AK8">
            <v>0</v>
          </cell>
          <cell r="AM8">
            <v>0</v>
          </cell>
          <cell r="AO8">
            <v>0</v>
          </cell>
        </row>
        <row r="9">
          <cell r="D9">
            <v>36145</v>
          </cell>
          <cell r="E9">
            <v>1015528.4900000001</v>
          </cell>
          <cell r="G9">
            <v>176</v>
          </cell>
          <cell r="J9">
            <v>36216</v>
          </cell>
          <cell r="K9">
            <v>71</v>
          </cell>
          <cell r="L9">
            <v>649939.01</v>
          </cell>
          <cell r="M9">
            <v>12770.658637214934</v>
          </cell>
          <cell r="N9">
            <v>36273</v>
          </cell>
          <cell r="O9">
            <v>57</v>
          </cell>
          <cell r="P9">
            <v>365589.48</v>
          </cell>
          <cell r="Q9">
            <v>3690.8923762625013</v>
          </cell>
          <cell r="S9">
            <v>0</v>
          </cell>
          <cell r="U9">
            <v>0</v>
          </cell>
          <cell r="W9">
            <v>0</v>
          </cell>
          <cell r="Y9">
            <v>0</v>
          </cell>
          <cell r="Z9">
            <v>0</v>
          </cell>
          <cell r="AI9">
            <v>0</v>
          </cell>
          <cell r="AK9">
            <v>0</v>
          </cell>
          <cell r="AM9">
            <v>0</v>
          </cell>
          <cell r="AO9">
            <v>0</v>
          </cell>
        </row>
        <row r="10">
          <cell r="D10">
            <v>36152</v>
          </cell>
          <cell r="E10">
            <v>910681.45</v>
          </cell>
          <cell r="G10">
            <v>108</v>
          </cell>
          <cell r="J10">
            <v>36255</v>
          </cell>
          <cell r="K10">
            <v>103</v>
          </cell>
          <cell r="L10">
            <v>199667.11</v>
          </cell>
          <cell r="M10">
            <v>14590.678001472221</v>
          </cell>
          <cell r="N10">
            <v>36272</v>
          </cell>
          <cell r="O10">
            <v>17</v>
          </cell>
          <cell r="P10">
            <v>422299.21</v>
          </cell>
          <cell r="Q10">
            <v>2142.1282032333329</v>
          </cell>
          <cell r="R10">
            <v>36273</v>
          </cell>
          <cell r="S10">
            <v>1</v>
          </cell>
          <cell r="T10">
            <v>288715.13</v>
          </cell>
          <cell r="U10">
            <v>51.166736927777762</v>
          </cell>
          <cell r="W10">
            <v>0</v>
          </cell>
          <cell r="Y10">
            <v>0</v>
          </cell>
          <cell r="Z10">
            <v>0</v>
          </cell>
          <cell r="AI10">
            <v>0</v>
          </cell>
          <cell r="AK10">
            <v>0</v>
          </cell>
          <cell r="AM10">
            <v>0</v>
          </cell>
          <cell r="AO10">
            <v>0</v>
          </cell>
        </row>
        <row r="11">
          <cell r="D11">
            <v>36185</v>
          </cell>
          <cell r="E11">
            <v>1256884.8900000004</v>
          </cell>
          <cell r="G11">
            <v>150</v>
          </cell>
          <cell r="J11">
            <v>36321</v>
          </cell>
          <cell r="K11">
            <v>136</v>
          </cell>
          <cell r="L11">
            <v>1256884.8899999999</v>
          </cell>
          <cell r="M11">
            <v>29525.122643988208</v>
          </cell>
          <cell r="O11">
            <v>0</v>
          </cell>
          <cell r="Q11">
            <v>0</v>
          </cell>
          <cell r="S11">
            <v>0</v>
          </cell>
          <cell r="U11">
            <v>0</v>
          </cell>
          <cell r="W11">
            <v>0</v>
          </cell>
          <cell r="Y11">
            <v>0</v>
          </cell>
          <cell r="Z11">
            <v>0</v>
          </cell>
          <cell r="AI11">
            <v>0</v>
          </cell>
          <cell r="AK11">
            <v>0</v>
          </cell>
          <cell r="AM11">
            <v>0</v>
          </cell>
          <cell r="AO11">
            <v>0</v>
          </cell>
        </row>
        <row r="12">
          <cell r="D12">
            <v>36222</v>
          </cell>
          <cell r="E12">
            <v>1613681.79</v>
          </cell>
          <cell r="G12">
            <v>104</v>
          </cell>
          <cell r="J12">
            <v>36326</v>
          </cell>
          <cell r="K12">
            <v>104</v>
          </cell>
          <cell r="L12">
            <v>281960.71000000002</v>
          </cell>
          <cell r="M12">
            <v>29817.70176460834</v>
          </cell>
          <cell r="N12">
            <v>36327</v>
          </cell>
          <cell r="O12">
            <v>1</v>
          </cell>
          <cell r="P12">
            <v>665557.62</v>
          </cell>
          <cell r="Q12">
            <v>236.61169327638891</v>
          </cell>
          <cell r="R12">
            <v>36328</v>
          </cell>
          <cell r="S12">
            <v>1</v>
          </cell>
          <cell r="T12">
            <v>324129.73</v>
          </cell>
          <cell r="U12">
            <v>118.35966752847224</v>
          </cell>
          <cell r="V12">
            <v>36340</v>
          </cell>
          <cell r="W12">
            <v>12</v>
          </cell>
          <cell r="X12">
            <v>342033.73</v>
          </cell>
          <cell r="Y12">
            <v>729.24441517083358</v>
          </cell>
          <cell r="Z12">
            <v>0</v>
          </cell>
          <cell r="AI12">
            <v>0</v>
          </cell>
          <cell r="AK12">
            <v>0</v>
          </cell>
          <cell r="AM12">
            <v>0</v>
          </cell>
          <cell r="AO12">
            <v>0</v>
          </cell>
        </row>
        <row r="13">
          <cell r="D13">
            <v>36245</v>
          </cell>
          <cell r="E13">
            <v>1201902.9200000002</v>
          </cell>
          <cell r="G13">
            <v>132</v>
          </cell>
          <cell r="J13">
            <v>36423</v>
          </cell>
          <cell r="K13">
            <v>178</v>
          </cell>
          <cell r="L13">
            <v>1201902.92</v>
          </cell>
          <cell r="M13">
            <v>38256.403012638897</v>
          </cell>
          <cell r="O13">
            <v>0</v>
          </cell>
          <cell r="Q13">
            <v>0</v>
          </cell>
          <cell r="S13">
            <v>0</v>
          </cell>
          <cell r="U13">
            <v>0</v>
          </cell>
          <cell r="W13">
            <v>0</v>
          </cell>
          <cell r="Y13">
            <v>0</v>
          </cell>
          <cell r="Z13">
            <v>0</v>
          </cell>
          <cell r="AI13">
            <v>0</v>
          </cell>
          <cell r="AK13">
            <v>0</v>
          </cell>
          <cell r="AM13">
            <v>0</v>
          </cell>
          <cell r="AO13">
            <v>0</v>
          </cell>
        </row>
        <row r="14">
          <cell r="D14">
            <v>36258</v>
          </cell>
          <cell r="E14">
            <v>1037975.46</v>
          </cell>
          <cell r="G14">
            <v>118</v>
          </cell>
          <cell r="J14">
            <v>36374</v>
          </cell>
          <cell r="K14">
            <v>116</v>
          </cell>
          <cell r="L14">
            <v>451106.1</v>
          </cell>
          <cell r="M14">
            <v>21087.624775966666</v>
          </cell>
          <cell r="N14">
            <v>36378</v>
          </cell>
          <cell r="O14">
            <v>4</v>
          </cell>
          <cell r="P14">
            <v>319658.2</v>
          </cell>
          <cell r="Q14">
            <v>411.13459053333332</v>
          </cell>
          <cell r="R14">
            <v>36385</v>
          </cell>
          <cell r="S14">
            <v>7</v>
          </cell>
          <cell r="T14">
            <v>267211.15999999997</v>
          </cell>
          <cell r="U14">
            <v>327.59345962777775</v>
          </cell>
          <cell r="W14">
            <v>0</v>
          </cell>
          <cell r="Y14">
            <v>0</v>
          </cell>
          <cell r="Z14">
            <v>0</v>
          </cell>
          <cell r="AI14">
            <v>0</v>
          </cell>
          <cell r="AK14">
            <v>0</v>
          </cell>
          <cell r="AM14">
            <v>0</v>
          </cell>
          <cell r="AO14">
            <v>0</v>
          </cell>
        </row>
        <row r="15">
          <cell r="D15">
            <v>36291</v>
          </cell>
          <cell r="E15">
            <v>1080453.8999999999</v>
          </cell>
          <cell r="G15">
            <v>133</v>
          </cell>
          <cell r="J15">
            <v>36419</v>
          </cell>
          <cell r="K15">
            <v>128</v>
          </cell>
          <cell r="L15">
            <v>1080453.8999999999</v>
          </cell>
          <cell r="M15">
            <v>24332.78223146667</v>
          </cell>
          <cell r="O15">
            <v>0</v>
          </cell>
          <cell r="Q15">
            <v>0</v>
          </cell>
          <cell r="S15">
            <v>0</v>
          </cell>
          <cell r="U15">
            <v>0</v>
          </cell>
          <cell r="W15">
            <v>0</v>
          </cell>
          <cell r="Y15">
            <v>0</v>
          </cell>
          <cell r="Z15">
            <v>0</v>
          </cell>
          <cell r="AI15">
            <v>0</v>
          </cell>
          <cell r="AK15">
            <v>0</v>
          </cell>
          <cell r="AM15">
            <v>0</v>
          </cell>
          <cell r="AO15">
            <v>0</v>
          </cell>
        </row>
        <row r="16">
          <cell r="D16">
            <v>36321</v>
          </cell>
          <cell r="E16">
            <v>1539386.0399999993</v>
          </cell>
          <cell r="G16">
            <v>118</v>
          </cell>
          <cell r="J16">
            <v>36424</v>
          </cell>
          <cell r="K16">
            <v>103</v>
          </cell>
          <cell r="L16">
            <v>1539386.04</v>
          </cell>
          <cell r="M16">
            <v>28804.478451799991</v>
          </cell>
          <cell r="O16">
            <v>0</v>
          </cell>
          <cell r="Q16">
            <v>0</v>
          </cell>
          <cell r="S16">
            <v>0</v>
          </cell>
          <cell r="U16">
            <v>0</v>
          </cell>
          <cell r="W16">
            <v>0</v>
          </cell>
          <cell r="Y16">
            <v>0</v>
          </cell>
          <cell r="Z16">
            <v>0</v>
          </cell>
          <cell r="AI16">
            <v>0</v>
          </cell>
          <cell r="AK16">
            <v>0</v>
          </cell>
          <cell r="AM16">
            <v>0</v>
          </cell>
          <cell r="AO16">
            <v>0</v>
          </cell>
        </row>
        <row r="17">
          <cell r="D17">
            <v>36335</v>
          </cell>
          <cell r="E17">
            <v>1236296.0300000003</v>
          </cell>
          <cell r="G17">
            <v>118</v>
          </cell>
          <cell r="J17">
            <v>36432</v>
          </cell>
          <cell r="K17">
            <v>97</v>
          </cell>
          <cell r="L17">
            <v>354654.05</v>
          </cell>
          <cell r="M17">
            <v>22081.234415546183</v>
          </cell>
          <cell r="N17">
            <v>36441</v>
          </cell>
          <cell r="O17">
            <v>9</v>
          </cell>
          <cell r="P17">
            <v>372667.52</v>
          </cell>
          <cell r="Q17">
            <v>1461.0460687312504</v>
          </cell>
          <cell r="R17">
            <v>36448</v>
          </cell>
          <cell r="S17">
            <v>7</v>
          </cell>
          <cell r="T17">
            <v>508974.46</v>
          </cell>
          <cell r="U17">
            <v>656.02919894652791</v>
          </cell>
          <cell r="W17">
            <v>0</v>
          </cell>
          <cell r="Y17">
            <v>0</v>
          </cell>
          <cell r="Z17">
            <v>0</v>
          </cell>
          <cell r="AI17">
            <v>0</v>
          </cell>
          <cell r="AK17">
            <v>0</v>
          </cell>
          <cell r="AM17">
            <v>0</v>
          </cell>
          <cell r="AO17">
            <v>0</v>
          </cell>
        </row>
        <row r="18">
          <cell r="D18">
            <v>36398</v>
          </cell>
          <cell r="E18">
            <v>857132.89000000013</v>
          </cell>
          <cell r="G18">
            <v>106</v>
          </cell>
          <cell r="J18">
            <v>36476</v>
          </cell>
          <cell r="K18">
            <v>78</v>
          </cell>
          <cell r="L18">
            <v>347407.93</v>
          </cell>
          <cell r="M18">
            <v>12709.673634531251</v>
          </cell>
          <cell r="N18">
            <v>36488</v>
          </cell>
          <cell r="O18">
            <v>12</v>
          </cell>
          <cell r="P18">
            <v>509724.96</v>
          </cell>
          <cell r="Q18">
            <v>1162.8100650000003</v>
          </cell>
          <cell r="S18">
            <v>0</v>
          </cell>
          <cell r="U18">
            <v>0</v>
          </cell>
          <cell r="W18">
            <v>0</v>
          </cell>
          <cell r="Y18">
            <v>0</v>
          </cell>
          <cell r="Z18">
            <v>0</v>
          </cell>
          <cell r="AI18">
            <v>0</v>
          </cell>
          <cell r="AK18">
            <v>0</v>
          </cell>
          <cell r="AM18">
            <v>0</v>
          </cell>
          <cell r="AO18">
            <v>0</v>
          </cell>
        </row>
        <row r="19">
          <cell r="D19">
            <v>36431</v>
          </cell>
          <cell r="E19">
            <v>1000169.1699999998</v>
          </cell>
          <cell r="G19">
            <v>160</v>
          </cell>
          <cell r="J19">
            <v>36483</v>
          </cell>
          <cell r="K19">
            <v>52</v>
          </cell>
          <cell r="L19">
            <v>383252.32</v>
          </cell>
          <cell r="M19">
            <v>10358.418703966665</v>
          </cell>
          <cell r="N19">
            <v>36598</v>
          </cell>
          <cell r="O19">
            <v>115</v>
          </cell>
          <cell r="P19">
            <v>616916.85</v>
          </cell>
          <cell r="Q19">
            <v>14129.966351874999</v>
          </cell>
          <cell r="S19">
            <v>0</v>
          </cell>
          <cell r="U19">
            <v>0</v>
          </cell>
          <cell r="W19">
            <v>0</v>
          </cell>
          <cell r="Y19">
            <v>0</v>
          </cell>
          <cell r="Z19">
            <v>0</v>
          </cell>
          <cell r="AI19">
            <v>0</v>
          </cell>
          <cell r="AK19">
            <v>0</v>
          </cell>
          <cell r="AM19">
            <v>0</v>
          </cell>
          <cell r="AO19">
            <v>0</v>
          </cell>
        </row>
        <row r="20">
          <cell r="D20">
            <v>36495</v>
          </cell>
          <cell r="E20">
            <v>503299.25</v>
          </cell>
          <cell r="G20">
            <v>120</v>
          </cell>
          <cell r="J20">
            <v>36615</v>
          </cell>
          <cell r="K20">
            <v>120</v>
          </cell>
          <cell r="L20">
            <v>503299.25</v>
          </cell>
          <cell r="M20">
            <v>12263.725058333333</v>
          </cell>
          <cell r="O20">
            <v>0</v>
          </cell>
          <cell r="Q20">
            <v>0</v>
          </cell>
          <cell r="Z20">
            <v>0</v>
          </cell>
          <cell r="AI20">
            <v>0</v>
          </cell>
          <cell r="AK20">
            <v>0</v>
          </cell>
          <cell r="AM20">
            <v>0</v>
          </cell>
          <cell r="AO20">
            <v>0</v>
          </cell>
        </row>
        <row r="21">
          <cell r="D21">
            <v>36530</v>
          </cell>
          <cell r="E21">
            <v>629583.67000000004</v>
          </cell>
          <cell r="G21">
            <v>160</v>
          </cell>
          <cell r="J21">
            <v>36655</v>
          </cell>
          <cell r="K21">
            <v>125</v>
          </cell>
          <cell r="L21">
            <v>613219.92000000004</v>
          </cell>
          <cell r="M21">
            <v>16286.105352430557</v>
          </cell>
          <cell r="N21">
            <v>36656</v>
          </cell>
          <cell r="O21">
            <v>1</v>
          </cell>
          <cell r="P21">
            <v>16363.75</v>
          </cell>
          <cell r="Q21">
            <v>3.386387152777778</v>
          </cell>
          <cell r="Z21">
            <v>0</v>
          </cell>
          <cell r="AI21">
            <v>0</v>
          </cell>
          <cell r="AK21">
            <v>0</v>
          </cell>
          <cell r="AM21">
            <v>0</v>
          </cell>
          <cell r="AO21">
            <v>0</v>
          </cell>
        </row>
        <row r="22">
          <cell r="D22">
            <v>36538</v>
          </cell>
          <cell r="E22">
            <v>1004099.85</v>
          </cell>
          <cell r="G22">
            <v>169</v>
          </cell>
          <cell r="J22">
            <v>36693</v>
          </cell>
          <cell r="K22">
            <v>155</v>
          </cell>
          <cell r="L22">
            <v>1004099.85</v>
          </cell>
          <cell r="M22">
            <v>32294.361425625</v>
          </cell>
          <cell r="O22">
            <v>0</v>
          </cell>
          <cell r="Q22">
            <v>0</v>
          </cell>
          <cell r="Z22">
            <v>0</v>
          </cell>
          <cell r="AI22">
            <v>0</v>
          </cell>
          <cell r="AK22">
            <v>0</v>
          </cell>
          <cell r="AM22">
            <v>0</v>
          </cell>
          <cell r="AO22">
            <v>0</v>
          </cell>
        </row>
        <row r="23">
          <cell r="D23">
            <v>36598</v>
          </cell>
          <cell r="E23">
            <v>701135.23</v>
          </cell>
          <cell r="G23">
            <v>150</v>
          </cell>
          <cell r="J23">
            <v>36599</v>
          </cell>
          <cell r="K23">
            <v>1</v>
          </cell>
          <cell r="M23">
            <v>147.99</v>
          </cell>
          <cell r="N23">
            <v>36731</v>
          </cell>
          <cell r="O23">
            <v>132</v>
          </cell>
          <cell r="P23">
            <v>701135.23</v>
          </cell>
          <cell r="Q23">
            <v>19557.12296149167</v>
          </cell>
          <cell r="Z23">
            <v>0</v>
          </cell>
          <cell r="AI23">
            <v>0</v>
          </cell>
          <cell r="AK23">
            <v>0</v>
          </cell>
          <cell r="AM23">
            <v>0</v>
          </cell>
          <cell r="AO23">
            <v>0</v>
          </cell>
        </row>
        <row r="24">
          <cell r="D24">
            <v>36627</v>
          </cell>
          <cell r="E24">
            <v>607075.65</v>
          </cell>
          <cell r="G24">
            <v>150</v>
          </cell>
          <cell r="J24">
            <v>36707</v>
          </cell>
          <cell r="K24">
            <v>80</v>
          </cell>
          <cell r="L24">
            <v>607075.65</v>
          </cell>
          <cell r="M24">
            <v>10468.692320000002</v>
          </cell>
          <cell r="O24">
            <v>0</v>
          </cell>
          <cell r="Q24">
            <v>-0.46</v>
          </cell>
          <cell r="Z24">
            <v>0</v>
          </cell>
          <cell r="AI24">
            <v>0.01</v>
          </cell>
          <cell r="AK24">
            <v>0</v>
          </cell>
          <cell r="AM24">
            <v>0</v>
          </cell>
          <cell r="AO24">
            <v>0</v>
          </cell>
        </row>
        <row r="25">
          <cell r="D25">
            <v>36661</v>
          </cell>
          <cell r="E25">
            <v>702911.3</v>
          </cell>
          <cell r="G25">
            <v>161</v>
          </cell>
          <cell r="J25">
            <v>36705</v>
          </cell>
          <cell r="K25">
            <v>44</v>
          </cell>
          <cell r="L25">
            <v>702911.3</v>
          </cell>
          <cell r="M25">
            <v>7018.97</v>
          </cell>
          <cell r="O25">
            <v>0</v>
          </cell>
          <cell r="Q25">
            <v>-0.46</v>
          </cell>
          <cell r="Z25">
            <v>0</v>
          </cell>
          <cell r="AI25">
            <v>0</v>
          </cell>
          <cell r="AK25">
            <v>0</v>
          </cell>
          <cell r="AM25">
            <v>0</v>
          </cell>
          <cell r="AO25">
            <v>0</v>
          </cell>
        </row>
        <row r="26">
          <cell r="D26">
            <v>36679</v>
          </cell>
          <cell r="E26">
            <v>702780.5199999999</v>
          </cell>
          <cell r="G26">
            <v>160</v>
          </cell>
          <cell r="J26">
            <v>36774</v>
          </cell>
          <cell r="K26">
            <v>95</v>
          </cell>
          <cell r="L26">
            <v>431751.39</v>
          </cell>
          <cell r="M26">
            <v>15494.846339916663</v>
          </cell>
          <cell r="N26">
            <v>36810</v>
          </cell>
          <cell r="O26">
            <v>36</v>
          </cell>
          <cell r="P26">
            <v>271029.13</v>
          </cell>
          <cell r="Q26">
            <v>2264.448381149999</v>
          </cell>
          <cell r="Z26">
            <v>0</v>
          </cell>
          <cell r="AI26">
            <v>0</v>
          </cell>
          <cell r="AK26">
            <v>0</v>
          </cell>
          <cell r="AM26">
            <v>0</v>
          </cell>
          <cell r="AO26">
            <v>0</v>
          </cell>
        </row>
        <row r="27">
          <cell r="D27">
            <v>36768</v>
          </cell>
          <cell r="E27">
            <v>1005966.13</v>
          </cell>
          <cell r="G27">
            <v>160</v>
          </cell>
          <cell r="J27">
            <v>36860</v>
          </cell>
          <cell r="K27">
            <v>92</v>
          </cell>
          <cell r="L27">
            <v>1005966.13</v>
          </cell>
          <cell r="M27">
            <v>20746.374821033332</v>
          </cell>
          <cell r="O27">
            <v>0</v>
          </cell>
          <cell r="Z27">
            <v>0</v>
          </cell>
          <cell r="AI27">
            <v>0</v>
          </cell>
          <cell r="AK27">
            <v>0</v>
          </cell>
          <cell r="AM27">
            <v>0</v>
          </cell>
          <cell r="AO27">
            <v>0</v>
          </cell>
        </row>
        <row r="28">
          <cell r="D28">
            <v>36768</v>
          </cell>
          <cell r="E28">
            <v>823932.51</v>
          </cell>
          <cell r="G28">
            <v>150</v>
          </cell>
          <cell r="J28">
            <v>36830</v>
          </cell>
          <cell r="K28">
            <v>62</v>
          </cell>
          <cell r="L28">
            <v>720193.74</v>
          </cell>
          <cell r="M28">
            <v>11465.478616933333</v>
          </cell>
          <cell r="N28">
            <v>36839</v>
          </cell>
          <cell r="O28">
            <v>9</v>
          </cell>
          <cell r="P28">
            <v>103738.77</v>
          </cell>
          <cell r="Q28">
            <v>209.55231540000005</v>
          </cell>
          <cell r="Z28">
            <v>0</v>
          </cell>
          <cell r="AI28">
            <v>0</v>
          </cell>
          <cell r="AK28">
            <v>0</v>
          </cell>
          <cell r="AM28">
            <v>0</v>
          </cell>
          <cell r="AO28">
            <v>0</v>
          </cell>
        </row>
        <row r="29">
          <cell r="D29">
            <v>36809</v>
          </cell>
          <cell r="E29">
            <v>503848.98</v>
          </cell>
          <cell r="G29">
            <v>150</v>
          </cell>
          <cell r="J29">
            <v>36915</v>
          </cell>
          <cell r="K29">
            <v>106</v>
          </cell>
          <cell r="L29">
            <v>503848.98</v>
          </cell>
          <cell r="M29">
            <v>11512.389360799998</v>
          </cell>
          <cell r="Z29">
            <v>0</v>
          </cell>
          <cell r="AI29">
            <v>0</v>
          </cell>
          <cell r="AK29">
            <v>0</v>
          </cell>
          <cell r="AM29">
            <v>0</v>
          </cell>
          <cell r="AO29">
            <v>0</v>
          </cell>
        </row>
        <row r="30">
          <cell r="D30">
            <v>36878</v>
          </cell>
          <cell r="E30">
            <v>943620.83</v>
          </cell>
          <cell r="G30">
            <v>150</v>
          </cell>
          <cell r="J30">
            <v>36949</v>
          </cell>
          <cell r="K30">
            <v>71</v>
          </cell>
          <cell r="L30">
            <v>570708.03</v>
          </cell>
          <cell r="M30">
            <v>13753.011480352774</v>
          </cell>
          <cell r="N30">
            <v>36976</v>
          </cell>
          <cell r="O30">
            <v>27</v>
          </cell>
          <cell r="P30">
            <v>306142.63</v>
          </cell>
          <cell r="Q30">
            <v>2066.8691939999994</v>
          </cell>
          <cell r="R30">
            <v>37027</v>
          </cell>
          <cell r="S30">
            <v>51</v>
          </cell>
          <cell r="T30">
            <v>66770.17</v>
          </cell>
          <cell r="U30">
            <v>699.02803809166585</v>
          </cell>
          <cell r="Z30">
            <v>0</v>
          </cell>
          <cell r="AI30">
            <v>0</v>
          </cell>
          <cell r="AK30">
            <v>0</v>
          </cell>
          <cell r="AM30">
            <v>0</v>
          </cell>
          <cell r="AO30">
            <v>0</v>
          </cell>
        </row>
        <row r="31">
          <cell r="D31">
            <v>36893</v>
          </cell>
          <cell r="E31">
            <v>449087.76</v>
          </cell>
          <cell r="G31">
            <v>150</v>
          </cell>
          <cell r="J31">
            <v>36977</v>
          </cell>
          <cell r="K31">
            <v>84</v>
          </cell>
          <cell r="L31">
            <v>389189.07</v>
          </cell>
          <cell r="M31">
            <v>7810.5193523279995</v>
          </cell>
          <cell r="N31">
            <v>37034</v>
          </cell>
          <cell r="O31">
            <v>57</v>
          </cell>
          <cell r="P31">
            <v>59898.69</v>
          </cell>
          <cell r="Q31">
            <v>706.90587061725012</v>
          </cell>
          <cell r="Z31">
            <v>0</v>
          </cell>
          <cell r="AI31">
            <v>0</v>
          </cell>
          <cell r="AK31">
            <v>0</v>
          </cell>
          <cell r="AM31">
            <v>0</v>
          </cell>
          <cell r="AO31">
            <v>0</v>
          </cell>
        </row>
        <row r="32">
          <cell r="D32">
            <v>36913</v>
          </cell>
          <cell r="E32">
            <v>513096</v>
          </cell>
          <cell r="G32">
            <v>150</v>
          </cell>
          <cell r="J32">
            <v>36976</v>
          </cell>
          <cell r="K32">
            <v>63</v>
          </cell>
          <cell r="L32">
            <v>290942.86</v>
          </cell>
          <cell r="M32">
            <v>6097.9856175000004</v>
          </cell>
          <cell r="N32">
            <v>37063</v>
          </cell>
          <cell r="O32">
            <v>87</v>
          </cell>
          <cell r="P32">
            <v>76985.81</v>
          </cell>
          <cell r="Q32">
            <v>3646.0189873937506</v>
          </cell>
          <cell r="R32">
            <v>37070</v>
          </cell>
          <cell r="S32">
            <v>7</v>
          </cell>
          <cell r="T32">
            <v>145167.32999999999</v>
          </cell>
          <cell r="U32">
            <v>144.41</v>
          </cell>
          <cell r="Z32">
            <v>0</v>
          </cell>
          <cell r="AI32">
            <v>0</v>
          </cell>
          <cell r="AK32">
            <v>0</v>
          </cell>
          <cell r="AM32">
            <v>144.41</v>
          </cell>
          <cell r="AO32">
            <v>0</v>
          </cell>
        </row>
        <row r="33">
          <cell r="D33">
            <v>36924</v>
          </cell>
          <cell r="E33">
            <v>505100.45</v>
          </cell>
          <cell r="G33">
            <v>160</v>
          </cell>
          <cell r="J33">
            <v>36976</v>
          </cell>
          <cell r="K33">
            <v>52</v>
          </cell>
          <cell r="L33">
            <v>279644.83</v>
          </cell>
          <cell r="M33">
            <v>4700.3806042916667</v>
          </cell>
          <cell r="N33">
            <v>37081</v>
          </cell>
          <cell r="O33">
            <v>105</v>
          </cell>
          <cell r="P33">
            <v>225455.62</v>
          </cell>
          <cell r="Q33">
            <v>4236.75</v>
          </cell>
          <cell r="S33">
            <v>0</v>
          </cell>
          <cell r="Z33">
            <v>0</v>
          </cell>
          <cell r="AI33">
            <v>0</v>
          </cell>
          <cell r="AK33">
            <v>0</v>
          </cell>
          <cell r="AM33">
            <v>0</v>
          </cell>
          <cell r="AO33">
            <v>0</v>
          </cell>
        </row>
        <row r="34">
          <cell r="D34">
            <v>36952</v>
          </cell>
          <cell r="E34">
            <v>930097.53</v>
          </cell>
          <cell r="G34">
            <v>145</v>
          </cell>
          <cell r="J34">
            <v>37015</v>
          </cell>
          <cell r="K34">
            <v>63</v>
          </cell>
          <cell r="L34">
            <v>481294.26</v>
          </cell>
          <cell r="M34">
            <v>10111.904083968751</v>
          </cell>
          <cell r="N34">
            <v>37034</v>
          </cell>
          <cell r="O34">
            <v>19</v>
          </cell>
          <cell r="P34">
            <v>324147.61</v>
          </cell>
          <cell r="Q34">
            <v>1471.54488840625</v>
          </cell>
          <cell r="R34">
            <v>37098</v>
          </cell>
          <cell r="S34">
            <v>64</v>
          </cell>
          <cell r="T34">
            <v>124655.66</v>
          </cell>
          <cell r="U34">
            <v>1376.7525115555559</v>
          </cell>
          <cell r="Z34">
            <v>0</v>
          </cell>
          <cell r="AI34">
            <v>0</v>
          </cell>
          <cell r="AK34">
            <v>0</v>
          </cell>
          <cell r="AM34">
            <v>0</v>
          </cell>
          <cell r="AO34">
            <v>0</v>
          </cell>
        </row>
      </sheetData>
      <sheetData sheetId="1">
        <row r="3">
          <cell r="B3">
            <v>0</v>
          </cell>
        </row>
      </sheetData>
      <sheetData sheetId="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</sheetNames>
    <sheetDataSet>
      <sheetData sheetId="0" refreshError="1">
        <row r="3">
          <cell r="B3">
            <v>37135</v>
          </cell>
        </row>
        <row r="8">
          <cell r="M8">
            <v>16119.124507312848</v>
          </cell>
          <cell r="Q8">
            <v>7166.3829126500004</v>
          </cell>
          <cell r="U8">
            <v>240.5457740916668</v>
          </cell>
          <cell r="Y8">
            <v>0</v>
          </cell>
        </row>
        <row r="9">
          <cell r="M9">
            <v>12770.658637214934</v>
          </cell>
          <cell r="Q9">
            <v>3690.8923762625013</v>
          </cell>
          <cell r="U9">
            <v>0</v>
          </cell>
          <cell r="Y9">
            <v>0</v>
          </cell>
        </row>
        <row r="10">
          <cell r="M10">
            <v>14590.678001472221</v>
          </cell>
          <cell r="Q10">
            <v>2142.1282032333329</v>
          </cell>
          <cell r="U10">
            <v>51.166736927777762</v>
          </cell>
          <cell r="Y10">
            <v>0</v>
          </cell>
        </row>
        <row r="11">
          <cell r="M11">
            <v>29525.122643988208</v>
          </cell>
          <cell r="Q11">
            <v>0</v>
          </cell>
          <cell r="U11">
            <v>0</v>
          </cell>
          <cell r="Y11">
            <v>0</v>
          </cell>
        </row>
        <row r="12">
          <cell r="M12">
            <v>29817.70176460834</v>
          </cell>
          <cell r="Q12">
            <v>236.61169327638891</v>
          </cell>
          <cell r="U12">
            <v>118.35966752847224</v>
          </cell>
          <cell r="Y12">
            <v>729.24441517083358</v>
          </cell>
        </row>
        <row r="13">
          <cell r="M13">
            <v>38256.403012638897</v>
          </cell>
          <cell r="Q13">
            <v>0</v>
          </cell>
          <cell r="U13">
            <v>0</v>
          </cell>
          <cell r="Y13">
            <v>0</v>
          </cell>
        </row>
        <row r="14">
          <cell r="M14">
            <v>21087.624775966666</v>
          </cell>
          <cell r="Q14">
            <v>411.13459053333332</v>
          </cell>
          <cell r="U14">
            <v>327.59345962777775</v>
          </cell>
          <cell r="Y14">
            <v>0</v>
          </cell>
        </row>
        <row r="15">
          <cell r="M15">
            <v>24332.78223146667</v>
          </cell>
          <cell r="Q15">
            <v>0</v>
          </cell>
          <cell r="U15">
            <v>0</v>
          </cell>
          <cell r="Y15">
            <v>0</v>
          </cell>
        </row>
        <row r="16">
          <cell r="M16">
            <v>28804.478451799991</v>
          </cell>
          <cell r="Q16">
            <v>0</v>
          </cell>
          <cell r="U16">
            <v>0</v>
          </cell>
          <cell r="Y16">
            <v>0</v>
          </cell>
        </row>
        <row r="17">
          <cell r="M17">
            <v>22081.234415546183</v>
          </cell>
          <cell r="Q17">
            <v>1461.0460687312504</v>
          </cell>
          <cell r="U17">
            <v>656.02919894652791</v>
          </cell>
          <cell r="Y17">
            <v>0</v>
          </cell>
        </row>
        <row r="18">
          <cell r="M18">
            <v>12709.673634531251</v>
          </cell>
          <cell r="Q18">
            <v>1162.8100650000003</v>
          </cell>
          <cell r="U18">
            <v>0</v>
          </cell>
          <cell r="Y18">
            <v>0</v>
          </cell>
        </row>
        <row r="19">
          <cell r="M19">
            <v>10358.418703966665</v>
          </cell>
          <cell r="Q19">
            <v>14129.966351874999</v>
          </cell>
          <cell r="U19">
            <v>0</v>
          </cell>
          <cell r="Y19">
            <v>0</v>
          </cell>
        </row>
        <row r="20">
          <cell r="M20">
            <v>12263.725058333333</v>
          </cell>
          <cell r="Q20">
            <v>0</v>
          </cell>
        </row>
        <row r="21">
          <cell r="M21">
            <v>16286.105352430557</v>
          </cell>
          <cell r="Q21">
            <v>3.386387152777778</v>
          </cell>
        </row>
        <row r="22">
          <cell r="M22">
            <v>32294.361425625</v>
          </cell>
          <cell r="Q22">
            <v>0</v>
          </cell>
        </row>
        <row r="23">
          <cell r="M23">
            <v>147.99</v>
          </cell>
          <cell r="Q23">
            <v>19557.12296149167</v>
          </cell>
        </row>
        <row r="24">
          <cell r="M24">
            <v>10468.692320000002</v>
          </cell>
          <cell r="Q24">
            <v>-0.46</v>
          </cell>
        </row>
        <row r="25">
          <cell r="M25">
            <v>7018.97</v>
          </cell>
          <cell r="Q25">
            <v>-0.46</v>
          </cell>
        </row>
        <row r="26">
          <cell r="M26">
            <v>15494.846339916663</v>
          </cell>
          <cell r="Q26">
            <v>2264.448381149999</v>
          </cell>
        </row>
        <row r="27">
          <cell r="M27">
            <v>20746.374821033332</v>
          </cell>
        </row>
        <row r="28">
          <cell r="M28">
            <v>11465.478616933333</v>
          </cell>
          <cell r="Q28">
            <v>209.55231540000005</v>
          </cell>
        </row>
        <row r="29">
          <cell r="M29">
            <v>11512.389360799998</v>
          </cell>
        </row>
        <row r="30">
          <cell r="M30">
            <v>13753.011480352774</v>
          </cell>
          <cell r="Q30">
            <v>2066.8691939999994</v>
          </cell>
          <cell r="U30">
            <v>699.02803809166585</v>
          </cell>
        </row>
        <row r="31">
          <cell r="M31">
            <v>7810.5193523279995</v>
          </cell>
          <cell r="Q31">
            <v>706.90587061725012</v>
          </cell>
        </row>
        <row r="32">
          <cell r="M32">
            <v>6097.9856175000004</v>
          </cell>
          <cell r="Q32">
            <v>3646.0189873937506</v>
          </cell>
          <cell r="U32">
            <v>144.41</v>
          </cell>
        </row>
        <row r="33">
          <cell r="M33">
            <v>4700.3806042916667</v>
          </cell>
          <cell r="Q33">
            <v>4236.75</v>
          </cell>
        </row>
        <row r="34">
          <cell r="M34">
            <v>10111.904083968751</v>
          </cell>
          <cell r="Q34">
            <v>1471.54488840625</v>
          </cell>
          <cell r="U34">
            <v>1376.7525115555559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CODISC05"/>
      <sheetName val="PCCOOCTDISC"/>
      <sheetName val="PCCODICIEMBRE"/>
      <sheetName val="pygresumen"/>
      <sheetName val="PYGDI"/>
      <sheetName val="PYGLOCAL"/>
      <sheetName val="PYGLD"/>
      <sheetName val="4_PYGETBRESUMIDO"/>
      <sheetName val="4_PYGPRESENTACION"/>
      <sheetName val="3_PYGDICDISCRIMINADOACUM"/>
      <sheetName val="baldiscok"/>
      <sheetName val="BALANCEETBRESUMIDO"/>
      <sheetName val="balresdicrefiscal"/>
      <sheetName val="CAMBIOS "/>
      <sheetName val="FLUJO"/>
      <sheetName val="cambios patrimonio "/>
      <sheetName val="INDICADORES nota"/>
      <sheetName val="INDICADOR CRT"/>
      <sheetName val="hoja de trabajo estado de cambi"/>
      <sheetName val="Intangibles"/>
      <sheetName val="Mejoras y Comodato"/>
      <sheetName val="PP y Equipo"/>
      <sheetName val="Diferidos"/>
      <sheetName val="Gastos no oper"/>
      <sheetName val="Ing no Oper "/>
      <sheetName val="ZFBG"/>
      <sheetName val="HW 09_08"/>
      <sheetName val="flujoOCT"/>
      <sheetName val="CAMBIOS DEF "/>
      <sheetName val="INDICADOR INF. GESTION"/>
      <sheetName val="balenmillones"/>
      <sheetName val="INGRESOS DETALLADOS"/>
      <sheetName val="COSTOS Y GASTOS  PRESENTACION"/>
      <sheetName val="Cartera"/>
      <sheetName val="Hoja15"/>
      <sheetName val="Balance"/>
      <sheetName val="P&amp;G"/>
      <sheetName val="Patrimonio"/>
      <sheetName val="Estados"/>
      <sheetName val="Flujo de efectivo"/>
      <sheetName val="HT ECSF"/>
      <sheetName val="componen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-96"/>
      <sheetName val="RESULTADOS"/>
      <sheetName val="Hoja1"/>
    </sheetNames>
    <sheetDataSet>
      <sheetData sheetId="0"/>
      <sheetData sheetId="1" refreshError="1">
        <row r="6">
          <cell r="Q6" t="str">
            <v>Acumulado a Diciembre 31</v>
          </cell>
        </row>
        <row r="7">
          <cell r="O7" t="str">
            <v xml:space="preserve">ESTADO DE GANANCIAS Y PERDIDAS </v>
          </cell>
        </row>
        <row r="8">
          <cell r="Q8" t="str">
            <v xml:space="preserve">  1997</v>
          </cell>
          <cell r="R8" t="str">
            <v xml:space="preserve">  1997</v>
          </cell>
        </row>
        <row r="9">
          <cell r="O9" t="str">
            <v>INGRESOS DE OPERACION</v>
          </cell>
        </row>
        <row r="10">
          <cell r="O10" t="str">
            <v xml:space="preserve">  Operacion Internacional -Pasajes</v>
          </cell>
          <cell r="P10" t="str">
            <v xml:space="preserve">  Operacion Internacional -Pasajes</v>
          </cell>
          <cell r="Q10">
            <v>531329.8452039999</v>
          </cell>
          <cell r="R10">
            <v>404521.53204400005</v>
          </cell>
        </row>
        <row r="11">
          <cell r="O11" t="str">
            <v xml:space="preserve">                          -Carga</v>
          </cell>
          <cell r="P11" t="str">
            <v xml:space="preserve">                          -Carga</v>
          </cell>
          <cell r="Q11">
            <v>35331.397698000001</v>
          </cell>
          <cell r="R11">
            <v>31595.174789999997</v>
          </cell>
        </row>
        <row r="12">
          <cell r="O12" t="str">
            <v xml:space="preserve">                          -Correo</v>
          </cell>
          <cell r="P12" t="str">
            <v xml:space="preserve">                          -Correo</v>
          </cell>
          <cell r="Q12">
            <v>13691.488818</v>
          </cell>
          <cell r="R12">
            <v>9825.358107</v>
          </cell>
        </row>
        <row r="13">
          <cell r="O13" t="str">
            <v xml:space="preserve">  Operacion nacional      -Pasajes</v>
          </cell>
          <cell r="P13" t="str">
            <v xml:space="preserve">  Operacion nacional      -Pasajes</v>
          </cell>
          <cell r="Q13">
            <v>335676.62069800001</v>
          </cell>
          <cell r="R13">
            <v>319740.67712799995</v>
          </cell>
        </row>
        <row r="14">
          <cell r="O14" t="str">
            <v xml:space="preserve">                          -Carga</v>
          </cell>
          <cell r="P14" t="str">
            <v xml:space="preserve">                          -Carga</v>
          </cell>
          <cell r="Q14">
            <v>4284.8846910000011</v>
          </cell>
          <cell r="R14">
            <v>4567.9838489999993</v>
          </cell>
        </row>
        <row r="15">
          <cell r="O15" t="str">
            <v xml:space="preserve">                          -Correo</v>
          </cell>
          <cell r="P15" t="str">
            <v xml:space="preserve">                          -Correo</v>
          </cell>
          <cell r="Q15">
            <v>27342.349432000003</v>
          </cell>
          <cell r="R15">
            <v>40441.067771000002</v>
          </cell>
        </row>
        <row r="16">
          <cell r="O16" t="str">
            <v xml:space="preserve">  Ingresos industriales</v>
          </cell>
          <cell r="P16" t="str">
            <v xml:space="preserve">  Ingresos industriales</v>
          </cell>
          <cell r="Q16">
            <v>27692.465111999998</v>
          </cell>
          <cell r="R16">
            <v>27833.449365</v>
          </cell>
        </row>
        <row r="18">
          <cell r="P18" t="str">
            <v xml:space="preserve">  Total Ingresos de operacion</v>
          </cell>
          <cell r="Q18">
            <v>975349.05165299983</v>
          </cell>
          <cell r="R18">
            <v>838525.24305399996</v>
          </cell>
        </row>
        <row r="19">
          <cell r="P19" t="str">
            <v>GASTOS DE OPERACION</v>
          </cell>
        </row>
        <row r="21">
          <cell r="P21" t="str">
            <v xml:space="preserve">  Salarios</v>
          </cell>
          <cell r="Q21">
            <v>48712.014013999993</v>
          </cell>
          <cell r="R21">
            <v>43165.803412349997</v>
          </cell>
        </row>
        <row r="22">
          <cell r="P22" t="str">
            <v xml:space="preserve">  Prestaciones sociales</v>
          </cell>
          <cell r="Q22">
            <v>43926.442260999997</v>
          </cell>
          <cell r="R22">
            <v>32785.576060090003</v>
          </cell>
        </row>
        <row r="23">
          <cell r="P23" t="str">
            <v xml:space="preserve">  Otros gastos del personal</v>
          </cell>
          <cell r="Q23">
            <v>44287.557776000009</v>
          </cell>
          <cell r="R23">
            <v>41562.589788250007</v>
          </cell>
        </row>
        <row r="24">
          <cell r="P24" t="str">
            <v xml:space="preserve">  Pensiones de jubilacion: Pagos</v>
          </cell>
          <cell r="Q24">
            <v>23052.290683000003</v>
          </cell>
          <cell r="R24">
            <v>22851.800026320001</v>
          </cell>
        </row>
        <row r="26">
          <cell r="P26" t="str">
            <v xml:space="preserve">  Subtotal personal</v>
          </cell>
          <cell r="Q26">
            <v>159978.304734</v>
          </cell>
          <cell r="R26">
            <v>140365.76928701001</v>
          </cell>
        </row>
        <row r="27">
          <cell r="P27" t="str">
            <v xml:space="preserve">  Combustibles</v>
          </cell>
          <cell r="Q27">
            <v>101331.21370399999</v>
          </cell>
          <cell r="R27">
            <v>76294.728908849997</v>
          </cell>
        </row>
        <row r="28">
          <cell r="P28" t="str">
            <v xml:space="preserve">  Seguros</v>
          </cell>
          <cell r="Q28">
            <v>13470.919097</v>
          </cell>
          <cell r="R28">
            <v>18850.648043319998</v>
          </cell>
        </row>
        <row r="29">
          <cell r="P29" t="str">
            <v xml:space="preserve">  Arrendamientos de Equipos   </v>
          </cell>
          <cell r="Q29">
            <v>176493.53516127999</v>
          </cell>
          <cell r="R29">
            <v>147442.17485884999</v>
          </cell>
        </row>
        <row r="30">
          <cell r="P30" t="str">
            <v xml:space="preserve">  Comisiones sobre ventas: Nacionales</v>
          </cell>
          <cell r="Q30">
            <v>41870.516184510001</v>
          </cell>
          <cell r="R30">
            <v>39221.056710069999</v>
          </cell>
        </row>
        <row r="31">
          <cell r="P31" t="str">
            <v xml:space="preserve">                           Internacionales</v>
          </cell>
          <cell r="Q31">
            <v>85981.386768490003</v>
          </cell>
          <cell r="R31">
            <v>57185.358389659996</v>
          </cell>
        </row>
        <row r="32">
          <cell r="P32" t="str">
            <v xml:space="preserve">  Mantenimiento General</v>
          </cell>
          <cell r="Q32">
            <v>85739.024304999999</v>
          </cell>
          <cell r="R32">
            <v>67992.068873779892</v>
          </cell>
        </row>
        <row r="33">
          <cell r="P33" t="str">
            <v xml:space="preserve">  Aterrizajes, Facil. aeroport. y comunic.</v>
          </cell>
          <cell r="Q33">
            <v>136161.444044</v>
          </cell>
          <cell r="R33">
            <v>104314.38661845001</v>
          </cell>
        </row>
        <row r="34">
          <cell r="P34" t="str">
            <v xml:space="preserve">  Gastos de ventas</v>
          </cell>
          <cell r="Q34">
            <v>67153.785040320014</v>
          </cell>
          <cell r="R34">
            <v>61258.756472350004</v>
          </cell>
        </row>
        <row r="35">
          <cell r="P35" t="str">
            <v xml:space="preserve">  Servicios a pasajeros</v>
          </cell>
          <cell r="Q35">
            <v>41455.626583999998</v>
          </cell>
          <cell r="R35">
            <v>34639.785137040002</v>
          </cell>
        </row>
        <row r="36">
          <cell r="P36" t="str">
            <v xml:space="preserve">  Impuestos, partic. gob/estampillas y otros</v>
          </cell>
          <cell r="Q36">
            <v>12371.332339780001</v>
          </cell>
          <cell r="R36">
            <v>17361.649106860001</v>
          </cell>
        </row>
        <row r="37">
          <cell r="P37" t="str">
            <v xml:space="preserve">  Gastos administrativos</v>
          </cell>
          <cell r="Q37">
            <v>56328.352494259998</v>
          </cell>
          <cell r="R37">
            <v>56893.19471968001</v>
          </cell>
        </row>
        <row r="38">
          <cell r="P38" t="str">
            <v xml:space="preserve">  Diferencia en cambio Operacional</v>
          </cell>
          <cell r="Q38">
            <v>-18619.340177999999</v>
          </cell>
          <cell r="R38">
            <v>-28285.611587000003</v>
          </cell>
        </row>
        <row r="40">
          <cell r="P40" t="str">
            <v xml:space="preserve">  Total gastos de operacion sin prov. y deprec.</v>
          </cell>
          <cell r="Q40">
            <v>959716.10027863993</v>
          </cell>
          <cell r="R40">
            <v>793533.9655389199</v>
          </cell>
        </row>
        <row r="42">
          <cell r="P42" t="str">
            <v xml:space="preserve">  Resultado Operacional sin prov. y deprec.</v>
          </cell>
          <cell r="Q42">
            <v>15632.951374359895</v>
          </cell>
          <cell r="R42">
            <v>44991.277515080059</v>
          </cell>
        </row>
        <row r="43">
          <cell r="P43" t="str">
            <v>PROVISIONES Y DEPRECIACIONES</v>
          </cell>
        </row>
        <row r="44">
          <cell r="P44" t="str">
            <v xml:space="preserve">  Provision cartera e inventarios</v>
          </cell>
          <cell r="Q44">
            <v>31574.673816000002</v>
          </cell>
          <cell r="R44">
            <v>3085.758765999999</v>
          </cell>
        </row>
        <row r="45">
          <cell r="P45" t="str">
            <v xml:space="preserve">  Depreciaciones y amortizaciones</v>
          </cell>
          <cell r="Q45">
            <v>15138.903664000005</v>
          </cell>
          <cell r="R45">
            <v>26459.068197000001</v>
          </cell>
        </row>
        <row r="47">
          <cell r="P47" t="str">
            <v xml:space="preserve">  Total Provisiones y Depreciaciones.</v>
          </cell>
          <cell r="Q47">
            <v>46713.577480000007</v>
          </cell>
          <cell r="R47">
            <v>29544.826963</v>
          </cell>
        </row>
        <row r="49">
          <cell r="P49" t="str">
            <v xml:space="preserve">  Total Gastos Operacionales</v>
          </cell>
          <cell r="Q49">
            <v>1006429.6777586399</v>
          </cell>
          <cell r="R49">
            <v>823078.7925019199</v>
          </cell>
        </row>
        <row r="51">
          <cell r="P51" t="str">
            <v xml:space="preserve">  Utilidad (perdida) Operacional</v>
          </cell>
          <cell r="Q51">
            <v>-31080.626105640084</v>
          </cell>
          <cell r="R51">
            <v>15446.450552080059</v>
          </cell>
        </row>
        <row r="52">
          <cell r="P52" t="str">
            <v>OTROS INGRESOS</v>
          </cell>
        </row>
        <row r="53">
          <cell r="P53" t="str">
            <v xml:space="preserve">  Intereses y dividendos de filiales</v>
          </cell>
          <cell r="Q53">
            <v>34.511129000000011</v>
          </cell>
          <cell r="R53">
            <v>1438.9179020000001</v>
          </cell>
        </row>
        <row r="54">
          <cell r="P54" t="str">
            <v xml:space="preserve">  Utilidad en vta equipos y Aprovechamientos</v>
          </cell>
          <cell r="Q54">
            <v>51137.851127999995</v>
          </cell>
          <cell r="R54">
            <v>86765.77868800002</v>
          </cell>
        </row>
        <row r="55">
          <cell r="P55" t="str">
            <v xml:space="preserve">  Correción Monetaria</v>
          </cell>
          <cell r="Q55">
            <v>3720.4704769999998</v>
          </cell>
          <cell r="R55">
            <v>21868.346652</v>
          </cell>
        </row>
        <row r="56">
          <cell r="P56" t="str">
            <v xml:space="preserve">  Rendimiento en operaciones financieras</v>
          </cell>
          <cell r="Q56">
            <v>12076.914606</v>
          </cell>
          <cell r="R56">
            <v>15008.468337</v>
          </cell>
        </row>
        <row r="58">
          <cell r="P58" t="str">
            <v xml:space="preserve">  Total Otros Ingresos</v>
          </cell>
          <cell r="Q58">
            <v>66969.747340000002</v>
          </cell>
          <cell r="R58">
            <v>125081.51157900001</v>
          </cell>
        </row>
        <row r="59">
          <cell r="P59" t="str">
            <v>OTROS EGRESOS</v>
          </cell>
        </row>
        <row r="60">
          <cell r="P60" t="str">
            <v xml:space="preserve">  Intereses y Comisiones Bancarias</v>
          </cell>
          <cell r="Q60">
            <v>66790.133116480007</v>
          </cell>
          <cell r="R60">
            <v>56339.242590900001</v>
          </cell>
        </row>
        <row r="61">
          <cell r="P61" t="str">
            <v xml:space="preserve">  Diferencia en cambio financiera</v>
          </cell>
          <cell r="Q61">
            <v>32532.019606940001</v>
          </cell>
          <cell r="R61">
            <v>25638.777989800004</v>
          </cell>
        </row>
        <row r="62">
          <cell r="P62" t="str">
            <v xml:space="preserve">  Indemniz. y Perdida en retiro de activos y otros</v>
          </cell>
          <cell r="Q62">
            <v>6039.7975977200003</v>
          </cell>
          <cell r="R62">
            <v>19943.258074880003</v>
          </cell>
        </row>
      </sheetData>
      <sheetData sheetId="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ETB"/>
      <sheetName val="PYGETB"/>
      <sheetName val="PYGLARGADISTANCIA"/>
      <sheetName val="PYGDATOSEINTERNET"/>
      <sheetName val="EBITDA"/>
    </sheetNames>
    <sheetDataSet>
      <sheetData sheetId="0" refreshError="1">
        <row r="2">
          <cell r="B2" t="str">
            <v>EMPRESA DE TELECOMUNICACIONES DE BOGOTA S.A. ESP</v>
          </cell>
        </row>
        <row r="3">
          <cell r="B3" t="str">
            <v xml:space="preserve">BALANCE GENERAL COMPARATIVO </v>
          </cell>
        </row>
        <row r="4">
          <cell r="B4" t="str">
            <v>(Expresado en Miles de Pesos Colombianos)</v>
          </cell>
        </row>
        <row r="6">
          <cell r="B6" t="str">
            <v xml:space="preserve"> A C T I V O</v>
          </cell>
        </row>
        <row r="8">
          <cell r="E8" t="str">
            <v>A 31 de Diciembre</v>
          </cell>
          <cell r="F8" t="str">
            <v>A 31 de Diciembre</v>
          </cell>
          <cell r="G8" t="str">
            <v xml:space="preserve">  V A R I A C I O N</v>
          </cell>
        </row>
        <row r="9">
          <cell r="E9" t="str">
            <v>2001</v>
          </cell>
          <cell r="F9" t="str">
            <v>2000</v>
          </cell>
          <cell r="G9" t="str">
            <v>Absoluta</v>
          </cell>
          <cell r="H9" t="str">
            <v>Relativa</v>
          </cell>
        </row>
        <row r="10">
          <cell r="B10" t="str">
            <v xml:space="preserve"> C O R R I E N T E</v>
          </cell>
        </row>
        <row r="12">
          <cell r="B12" t="str">
            <v xml:space="preserve"> Disponible</v>
          </cell>
          <cell r="E12">
            <v>64726565</v>
          </cell>
          <cell r="F12">
            <v>217175709</v>
          </cell>
          <cell r="G12">
            <v>-152449144</v>
          </cell>
          <cell r="H12">
            <v>-0.70196222543470554</v>
          </cell>
        </row>
        <row r="13">
          <cell r="B13" t="str">
            <v xml:space="preserve"> Inversiones Temporales </v>
          </cell>
          <cell r="E13">
            <v>117985829</v>
          </cell>
          <cell r="F13">
            <v>56415940</v>
          </cell>
          <cell r="G13">
            <v>61569889</v>
          </cell>
          <cell r="H13">
            <v>1.0913562549875087</v>
          </cell>
        </row>
        <row r="14">
          <cell r="B14" t="str">
            <v xml:space="preserve"> Cartera Comercial</v>
          </cell>
          <cell r="E14">
            <v>254371029</v>
          </cell>
          <cell r="F14">
            <v>186234227</v>
          </cell>
          <cell r="G14">
            <v>68136802</v>
          </cell>
          <cell r="H14">
            <v>0.36586616272206496</v>
          </cell>
        </row>
        <row r="15">
          <cell r="B15" t="str">
            <v xml:space="preserve"> Recaudo a favor de terceros y otros</v>
          </cell>
          <cell r="E15">
            <v>238756081</v>
          </cell>
          <cell r="F15">
            <v>214977081</v>
          </cell>
          <cell r="G15">
            <v>23779000</v>
          </cell>
          <cell r="H15">
            <v>0.11061179121694376</v>
          </cell>
        </row>
        <row r="16">
          <cell r="B16" t="str">
            <v xml:space="preserve"> Inventarios</v>
          </cell>
          <cell r="E16">
            <v>11088076</v>
          </cell>
          <cell r="F16">
            <v>14251471</v>
          </cell>
          <cell r="G16">
            <v>-3163395</v>
          </cell>
          <cell r="H16">
            <v>-0.22196971807331323</v>
          </cell>
        </row>
        <row r="17">
          <cell r="B17" t="str">
            <v xml:space="preserve"> Gastos pagados por anticipado</v>
          </cell>
          <cell r="E17">
            <v>2652163</v>
          </cell>
          <cell r="F17">
            <v>3751903</v>
          </cell>
          <cell r="G17">
            <v>-1099740</v>
          </cell>
          <cell r="H17">
            <v>-0.29311525377921555</v>
          </cell>
        </row>
        <row r="18">
          <cell r="B18" t="str">
            <v>TOTAL ACTIVO CORRIENTE</v>
          </cell>
          <cell r="E18">
            <v>689579743</v>
          </cell>
          <cell r="F18">
            <v>692806331</v>
          </cell>
          <cell r="G18">
            <v>-3226588</v>
          </cell>
          <cell r="H18">
            <v>-4.657272683034952E-3</v>
          </cell>
        </row>
        <row r="19">
          <cell r="B19" t="str">
            <v xml:space="preserve"> NO  C O R R I E N T E</v>
          </cell>
        </row>
        <row r="20">
          <cell r="B20" t="str">
            <v xml:space="preserve"> Propiedad planta y equipo</v>
          </cell>
          <cell r="E20">
            <v>2070410668</v>
          </cell>
          <cell r="F20">
            <v>1900523682</v>
          </cell>
          <cell r="G20">
            <v>169886986</v>
          </cell>
          <cell r="H20">
            <v>8.9389565417685724E-2</v>
          </cell>
        </row>
        <row r="21">
          <cell r="B21" t="str">
            <v xml:space="preserve"> Inversiones a largo plazo</v>
          </cell>
          <cell r="E21">
            <v>100150841</v>
          </cell>
          <cell r="F21">
            <v>97217547</v>
          </cell>
          <cell r="G21">
            <v>2933294</v>
          </cell>
          <cell r="H21">
            <v>3.017247493397468E-2</v>
          </cell>
        </row>
        <row r="22">
          <cell r="B22" t="str">
            <v xml:space="preserve"> Deudores</v>
          </cell>
          <cell r="E22">
            <v>67321048</v>
          </cell>
          <cell r="F22">
            <v>64398154</v>
          </cell>
          <cell r="G22">
            <v>2922894</v>
          </cell>
          <cell r="H22">
            <v>4.5387853819536472E-2</v>
          </cell>
        </row>
        <row r="23">
          <cell r="B23" t="str">
            <v xml:space="preserve"> Intangibles</v>
          </cell>
          <cell r="E23">
            <v>354264319</v>
          </cell>
          <cell r="F23">
            <v>350030896</v>
          </cell>
          <cell r="G23">
            <v>4233423</v>
          </cell>
          <cell r="H23">
            <v>1.2094426658839863E-2</v>
          </cell>
        </row>
        <row r="24">
          <cell r="B24" t="str">
            <v xml:space="preserve"> Diferidos</v>
          </cell>
          <cell r="E24">
            <v>114876112</v>
          </cell>
          <cell r="F24">
            <v>111527188</v>
          </cell>
          <cell r="G24">
            <v>3348924</v>
          </cell>
          <cell r="H24">
            <v>3.0027870872167961E-2</v>
          </cell>
        </row>
        <row r="25">
          <cell r="B25" t="str">
            <v xml:space="preserve"> Obras en propiedad ajena y otros activos</v>
          </cell>
          <cell r="E25">
            <v>6237925</v>
          </cell>
          <cell r="F25">
            <v>4885939</v>
          </cell>
          <cell r="G25">
            <v>1351986</v>
          </cell>
          <cell r="H25">
            <v>0.27670955368046957</v>
          </cell>
        </row>
        <row r="26">
          <cell r="B26" t="str">
            <v xml:space="preserve"> Valorizaciones</v>
          </cell>
          <cell r="E26">
            <v>191839353</v>
          </cell>
          <cell r="F26">
            <v>202321827</v>
          </cell>
          <cell r="G26">
            <v>-10482474</v>
          </cell>
          <cell r="H26">
            <v>-5.1810890379118568E-2</v>
          </cell>
        </row>
        <row r="27">
          <cell r="B27" t="str">
            <v>TOTAL ACTIVO NO CORRIENTE</v>
          </cell>
          <cell r="E27">
            <v>2905100266</v>
          </cell>
          <cell r="F27">
            <v>2730905233</v>
          </cell>
          <cell r="G27">
            <v>174195033</v>
          </cell>
          <cell r="H27">
            <v>6.3786553592209527E-2</v>
          </cell>
        </row>
        <row r="28">
          <cell r="B28" t="str">
            <v>TOTAL ACTIVO</v>
          </cell>
          <cell r="E28">
            <v>3594680009</v>
          </cell>
          <cell r="F28">
            <v>3423711564</v>
          </cell>
          <cell r="G28">
            <v>170968445</v>
          </cell>
          <cell r="H28">
            <v>4.9936579587403607E-2</v>
          </cell>
        </row>
        <row r="29">
          <cell r="B29" t="str">
            <v xml:space="preserve"> P A S I V O</v>
          </cell>
        </row>
        <row r="30">
          <cell r="B30" t="str">
            <v xml:space="preserve">C O R R I E N T E </v>
          </cell>
        </row>
        <row r="31">
          <cell r="B31" t="str">
            <v xml:space="preserve"> Proveedores Nacionales</v>
          </cell>
          <cell r="E31">
            <v>36299457</v>
          </cell>
          <cell r="F31">
            <v>51530163</v>
          </cell>
          <cell r="G31">
            <v>-15230706</v>
          </cell>
          <cell r="H31">
            <v>-0.29556875261582227</v>
          </cell>
        </row>
        <row r="32">
          <cell r="B32" t="str">
            <v xml:space="preserve"> Obligaciones Financieras</v>
          </cell>
          <cell r="E32">
            <v>232570167</v>
          </cell>
          <cell r="F32">
            <v>96969330</v>
          </cell>
          <cell r="G32">
            <v>135600837</v>
          </cell>
          <cell r="H32">
            <v>1.3983889235905829</v>
          </cell>
        </row>
        <row r="33">
          <cell r="B33" t="str">
            <v xml:space="preserve"> Proveedores del exterior</v>
          </cell>
          <cell r="E33">
            <v>58528847</v>
          </cell>
          <cell r="F33">
            <v>65056638</v>
          </cell>
          <cell r="G33">
            <v>-6527791</v>
          </cell>
          <cell r="H33">
            <v>-0.100340122094843</v>
          </cell>
        </row>
        <row r="34">
          <cell r="B34" t="str">
            <v xml:space="preserve"> Deuda pública externa</v>
          </cell>
          <cell r="E34">
            <v>20199983</v>
          </cell>
          <cell r="F34">
            <v>21169781</v>
          </cell>
          <cell r="G34">
            <v>-969798</v>
          </cell>
          <cell r="H34">
            <v>-4.5810488072597466E-2</v>
          </cell>
        </row>
        <row r="35">
          <cell r="B35" t="str">
            <v xml:space="preserve"> Recaudos a favor de terceros y otros</v>
          </cell>
          <cell r="E35">
            <v>233773848</v>
          </cell>
          <cell r="F35">
            <v>196797743</v>
          </cell>
          <cell r="G35">
            <v>36976105</v>
          </cell>
          <cell r="H35">
            <v>0.18788886720108366</v>
          </cell>
        </row>
        <row r="36">
          <cell r="B36" t="str">
            <v xml:space="preserve"> Impuestos, pensiones y otros</v>
          </cell>
          <cell r="E36">
            <v>327658185</v>
          </cell>
          <cell r="F36">
            <v>333082096</v>
          </cell>
          <cell r="G36">
            <v>-5423911</v>
          </cell>
          <cell r="H36">
            <v>-1.6284006451070199E-2</v>
          </cell>
        </row>
        <row r="37">
          <cell r="B37" t="str">
            <v>TOTAL PASIVO CORRIENTE</v>
          </cell>
          <cell r="E37">
            <v>909030487</v>
          </cell>
          <cell r="F37">
            <v>764605751</v>
          </cell>
          <cell r="G37">
            <v>144424736</v>
          </cell>
          <cell r="H37">
            <v>0.18888784947158999</v>
          </cell>
        </row>
        <row r="39">
          <cell r="B39" t="str">
            <v>L A R G O  P L A Z O</v>
          </cell>
        </row>
        <row r="40">
          <cell r="B40" t="str">
            <v xml:space="preserve"> Obligaciones Financieras del Exterior</v>
          </cell>
          <cell r="E40">
            <v>0</v>
          </cell>
          <cell r="F40">
            <v>226261770</v>
          </cell>
          <cell r="G40">
            <v>-226261770</v>
          </cell>
          <cell r="H40">
            <v>-1</v>
          </cell>
        </row>
        <row r="41">
          <cell r="B41" t="str">
            <v xml:space="preserve"> Deuda pública Externa</v>
          </cell>
          <cell r="E41">
            <v>39627448</v>
          </cell>
          <cell r="F41">
            <v>58180342</v>
          </cell>
          <cell r="G41">
            <v>-18552894</v>
          </cell>
          <cell r="H41">
            <v>-0.31888595635962402</v>
          </cell>
        </row>
        <row r="42">
          <cell r="B42" t="str">
            <v xml:space="preserve"> Cesantías </v>
          </cell>
          <cell r="E42">
            <v>10788906</v>
          </cell>
          <cell r="F42">
            <v>8366042</v>
          </cell>
          <cell r="G42">
            <v>2422864</v>
          </cell>
          <cell r="H42">
            <v>0.28960696109342976</v>
          </cell>
        </row>
        <row r="43">
          <cell r="B43" t="str">
            <v xml:space="preserve"> Pensiones de Jubilación - Apropiado</v>
          </cell>
          <cell r="E43">
            <v>724845243</v>
          </cell>
          <cell r="F43">
            <v>681265541</v>
          </cell>
          <cell r="G43">
            <v>43579702</v>
          </cell>
          <cell r="H43">
            <v>6.3968745485103007E-2</v>
          </cell>
        </row>
        <row r="44">
          <cell r="B44" t="str">
            <v xml:space="preserve"> Corrección monetaria y diferidos </v>
          </cell>
          <cell r="E44">
            <v>141386740</v>
          </cell>
          <cell r="F44">
            <v>110873654</v>
          </cell>
          <cell r="G44">
            <v>30513086</v>
          </cell>
          <cell r="H44">
            <v>0.27520592042542402</v>
          </cell>
        </row>
        <row r="45">
          <cell r="B45" t="str">
            <v>TOTAL PASIVO LARGO PLAZO</v>
          </cell>
          <cell r="E45">
            <v>916648337</v>
          </cell>
          <cell r="F45">
            <v>1084947349</v>
          </cell>
          <cell r="G45">
            <v>-168299012</v>
          </cell>
          <cell r="H45">
            <v>-0.15512182425729859</v>
          </cell>
        </row>
        <row r="47">
          <cell r="B47" t="str">
            <v xml:space="preserve">  TOTAL PASIVO</v>
          </cell>
          <cell r="E47">
            <v>1825678824</v>
          </cell>
          <cell r="F47">
            <v>1849553100</v>
          </cell>
          <cell r="G47">
            <v>-23874276</v>
          </cell>
          <cell r="H47">
            <v>-1.2908132240161185E-2</v>
          </cell>
        </row>
        <row r="49">
          <cell r="B49" t="str">
            <v>CAPITAL Y SUPERAVIT</v>
          </cell>
        </row>
        <row r="50">
          <cell r="B50" t="str">
            <v xml:space="preserve">  Capital</v>
          </cell>
          <cell r="E50">
            <v>1701505</v>
          </cell>
          <cell r="F50">
            <v>1701505</v>
          </cell>
          <cell r="G50">
            <v>0</v>
          </cell>
          <cell r="H50">
            <v>0</v>
          </cell>
        </row>
        <row r="51">
          <cell r="B51" t="str">
            <v xml:space="preserve">  Reservas</v>
          </cell>
          <cell r="E51">
            <v>588619171</v>
          </cell>
          <cell r="F51">
            <v>584469166</v>
          </cell>
          <cell r="G51">
            <v>4150005</v>
          </cell>
          <cell r="H51">
            <v>7.100468666981774E-3</v>
          </cell>
        </row>
        <row r="52">
          <cell r="B52" t="str">
            <v xml:space="preserve">  Revalorización del Patrimonio</v>
          </cell>
          <cell r="E52">
            <v>706629800</v>
          </cell>
          <cell r="F52">
            <v>601547810</v>
          </cell>
          <cell r="G52">
            <v>105081990</v>
          </cell>
          <cell r="H52">
            <v>0.17468601539751272</v>
          </cell>
        </row>
        <row r="53">
          <cell r="B53" t="str">
            <v xml:space="preserve">  Superávit por Valoriz, Donaciones, Part. Patrimonial</v>
          </cell>
          <cell r="E53">
            <v>192158792</v>
          </cell>
          <cell r="F53">
            <v>202321827</v>
          </cell>
          <cell r="G53">
            <v>-10163035</v>
          </cell>
          <cell r="H53">
            <v>-5.0232024644577766E-2</v>
          </cell>
        </row>
        <row r="54">
          <cell r="B54" t="str">
            <v xml:space="preserve">  Resultado del Presente Ejercicio </v>
          </cell>
          <cell r="E54">
            <v>279891917</v>
          </cell>
          <cell r="F54">
            <v>184118157</v>
          </cell>
          <cell r="G54">
            <v>95773760</v>
          </cell>
          <cell r="H54">
            <v>0.52017553054259613</v>
          </cell>
        </row>
        <row r="55">
          <cell r="B55" t="str">
            <v xml:space="preserve">  TOTAL CAPITAL Y SUPERAVIT</v>
          </cell>
          <cell r="E55">
            <v>1769001185</v>
          </cell>
          <cell r="F55">
            <v>1574158465</v>
          </cell>
          <cell r="G55">
            <v>194842720</v>
          </cell>
          <cell r="H55">
            <v>0.12377579788322013</v>
          </cell>
        </row>
        <row r="56">
          <cell r="G56">
            <v>0</v>
          </cell>
        </row>
        <row r="57">
          <cell r="B57" t="str">
            <v xml:space="preserve">  TOTAL PASIVO Y PATRIMONIO</v>
          </cell>
          <cell r="E57">
            <v>3594680009</v>
          </cell>
          <cell r="F57">
            <v>3423711565</v>
          </cell>
          <cell r="G57">
            <v>170968444</v>
          </cell>
          <cell r="H57">
            <v>4.9936579280737359E-2</v>
          </cell>
        </row>
        <row r="58">
          <cell r="G58">
            <v>0</v>
          </cell>
        </row>
        <row r="59">
          <cell r="B59" t="str">
            <v xml:space="preserve">  CUENTAS DE ORDEN DEUDORAS</v>
          </cell>
          <cell r="E59">
            <v>78408016</v>
          </cell>
          <cell r="F59">
            <v>61160271</v>
          </cell>
          <cell r="G59">
            <v>17247745</v>
          </cell>
          <cell r="H59">
            <v>0.28200896951552101</v>
          </cell>
        </row>
        <row r="60">
          <cell r="B60" t="str">
            <v xml:space="preserve">  CUENTAS DE ORDEN ACREEDORAS</v>
          </cell>
          <cell r="E60">
            <v>389775288</v>
          </cell>
          <cell r="F60">
            <v>402073530</v>
          </cell>
          <cell r="G60">
            <v>-12298242</v>
          </cell>
          <cell r="H60">
            <v>-3.0587047100563924E-2</v>
          </cell>
        </row>
      </sheetData>
      <sheetData sheetId="1" refreshError="1">
        <row r="1">
          <cell r="A1" t="str">
            <v>EMPRESA DE TELECOMUNICACIONES DE BOGOTA S.A. ESP</v>
          </cell>
        </row>
        <row r="2">
          <cell r="A2" t="str">
            <v>ESTADO DE RESULTADOS COMPARATIVO</v>
          </cell>
        </row>
        <row r="3">
          <cell r="A3" t="str">
            <v>(Expresado en Miles de Pesos Colombianos)</v>
          </cell>
        </row>
        <row r="5">
          <cell r="C5" t="str">
            <v>A 31 de Diciembre</v>
          </cell>
          <cell r="E5" t="str">
            <v>VARIACION</v>
          </cell>
          <cell r="G5" t="str">
            <v>PROYECTADO</v>
          </cell>
          <cell r="H5" t="str">
            <v>CUMPL.</v>
          </cell>
        </row>
        <row r="6">
          <cell r="C6" t="str">
            <v>2001</v>
          </cell>
          <cell r="D6" t="str">
            <v>2000</v>
          </cell>
          <cell r="E6" t="str">
            <v>Absoluta</v>
          </cell>
          <cell r="F6" t="str">
            <v>%</v>
          </cell>
          <cell r="G6" t="str">
            <v>2001</v>
          </cell>
          <cell r="H6" t="str">
            <v>%</v>
          </cell>
        </row>
      </sheetData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CODICIEMBRE"/>
    </sheetNames>
    <sheetDataSet>
      <sheetData sheetId="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CODICIEMBRE"/>
      <sheetName val="PYGLDRESUMIDO PRES"/>
      <sheetName val="PYGETBRESUMIDO MILES"/>
      <sheetName val="balresdicrefiscal Comp. a Sep "/>
      <sheetName val="baldiscok Comparado a Sep"/>
      <sheetName val="INGRESOS DETALLADOS"/>
      <sheetName val="PYGDIRESUMIDO"/>
      <sheetName val="PYGDI"/>
      <sheetName val="PYGLOCALRESUMIDO"/>
      <sheetName val="PYGLOCAL"/>
      <sheetName val="4.PYGETBRESUMIDO  PRESENTA"/>
      <sheetName val="PYGLD"/>
      <sheetName val="PCCOOCTDISC"/>
      <sheetName val="PYGLDRESUMIDO"/>
      <sheetName val="balresdicrefiscal"/>
      <sheetName val="hoja de trabajo estado de cambi"/>
      <sheetName val="COSTOS Y GASTOS  PRESENTACION"/>
      <sheetName val="baldiscok"/>
      <sheetName val="flujoOCT"/>
      <sheetName val="CAMBIOS DEF "/>
      <sheetName val="cambios patrimonio "/>
      <sheetName val="INDICADOR CRT"/>
      <sheetName val="BALANCEETBRESUMIDO"/>
      <sheetName val="PCCODISC05"/>
      <sheetName val="costos y gastos"/>
      <sheetName val="EBITDA"/>
      <sheetName val="EBITDA MM"/>
      <sheetName val="3.PYGDICDISCRIMINADOACUM"/>
      <sheetName val="4.PYGETBRESUMIDO"/>
      <sheetName val="balenmillones"/>
      <sheetName val="pyg resum"/>
      <sheetName val="INGRESOS "/>
      <sheetName val="Cartera"/>
      <sheetName val="pygresumen"/>
      <sheetName val="Hoja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/>
      <sheetData sheetId="18"/>
      <sheetData sheetId="19"/>
      <sheetData sheetId="20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C."/>
      <sheetName val="UT"/>
      <sheetName val="PCC-GP"/>
      <sheetName val="Costo"/>
      <sheetName val="Indicadores"/>
      <sheetName val="BC-2004"/>
      <sheetName val="BC-2005"/>
      <sheetName val="bal-año-ant DLLS"/>
      <sheetName val="Comp DLLS"/>
      <sheetName val="edo-año-ant dlls"/>
      <sheetName val="% Dls."/>
      <sheetName val="Balance General"/>
      <sheetName val="G.P. US$"/>
      <sheetName val="G.P. Bs."/>
      <sheetName val="G.P. Oper. Bs."/>
      <sheetName val="Inventario"/>
      <sheetName val="Prepagados"/>
      <sheetName val="AF"/>
      <sheetName val="Diferidos"/>
      <sheetName val="Patrimonio"/>
      <sheetName val="ISLR diferido-fasb 52"/>
      <sheetName val="CxC-Clientes"/>
      <sheetName val="CXC-Anticipos"/>
      <sheetName val="CxP-Nacional"/>
      <sheetName val="JRL"/>
      <sheetName val="CxC-Intercompañía"/>
      <sheetName val="CxP-Intercompañía"/>
      <sheetName val="Otras CxP"/>
      <sheetName val="CxP-Asistencia Técnica"/>
      <sheetName val="CxP-Exterior"/>
      <sheetName val="DP"/>
      <sheetName val="Indice"/>
      <sheetName val="Reajuste"/>
      <sheetName val="Inventario - FISCAL"/>
      <sheetName val="Exclusiones fiscales"/>
      <sheetName val="PCC-BC-DPC3"/>
      <sheetName val="J"/>
      <sheetName val="JA"/>
      <sheetName val="JB"/>
      <sheetName val="JC"/>
      <sheetName val="J-1"/>
      <sheetName val="J-2"/>
      <sheetName val="J-3"/>
      <sheetName val="J-4"/>
      <sheetName val="J-5"/>
      <sheetName val="J-6"/>
      <sheetName val="J-8"/>
      <sheetName val="J-7"/>
      <sheetName val="J-7-1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Declaración Informativa"/>
      <sheetName val="Anexo A"/>
      <sheetName val="Anexo A (2)"/>
      <sheetName val="Anexo B"/>
      <sheetName val="Anexo E"/>
    </sheetNames>
    <sheetDataSet>
      <sheetData sheetId="0" refreshError="1">
        <row r="1">
          <cell r="B1" t="str">
            <v>Período</v>
          </cell>
          <cell r="D1" t="str">
            <v>IPC</v>
          </cell>
          <cell r="E1" t="str">
            <v>Inflación</v>
          </cell>
        </row>
        <row r="2">
          <cell r="A2" t="str">
            <v>Mes actual</v>
          </cell>
          <cell r="B2">
            <v>39113</v>
          </cell>
          <cell r="D2">
            <v>0</v>
          </cell>
          <cell r="E2">
            <v>0</v>
          </cell>
        </row>
        <row r="3">
          <cell r="A3" t="str">
            <v>Mes anterior</v>
          </cell>
          <cell r="B3">
            <v>39082</v>
          </cell>
          <cell r="D3">
            <v>0</v>
          </cell>
          <cell r="E3">
            <v>0</v>
          </cell>
        </row>
        <row r="4">
          <cell r="A4" t="str">
            <v>Cierre anterior:</v>
          </cell>
          <cell r="B4">
            <v>39082</v>
          </cell>
          <cell r="D4">
            <v>0</v>
          </cell>
          <cell r="E4">
            <v>0</v>
          </cell>
        </row>
        <row r="5">
          <cell r="A5">
            <v>1</v>
          </cell>
          <cell r="B5">
            <v>2</v>
          </cell>
          <cell r="C5">
            <v>3</v>
          </cell>
          <cell r="D5">
            <v>4</v>
          </cell>
          <cell r="E5">
            <v>5</v>
          </cell>
          <cell r="F5">
            <v>6</v>
          </cell>
          <cell r="G5">
            <v>7</v>
          </cell>
          <cell r="H5">
            <v>8</v>
          </cell>
        </row>
        <row r="6">
          <cell r="A6" t="str">
            <v>Origen</v>
          </cell>
          <cell r="B6" t="str">
            <v>Tasa Bs./xx</v>
          </cell>
          <cell r="E6" t="str">
            <v>IPC</v>
          </cell>
          <cell r="F6" t="str">
            <v>Intereses C.O.T.</v>
          </cell>
        </row>
        <row r="7">
          <cell r="B7" t="str">
            <v>USD</v>
          </cell>
          <cell r="D7" t="str">
            <v>MXP</v>
          </cell>
          <cell r="F7" t="str">
            <v>Tasa Activa</v>
          </cell>
          <cell r="G7" t="str">
            <v>Incremento</v>
          </cell>
          <cell r="H7" t="str">
            <v>%Total</v>
          </cell>
        </row>
        <row r="8">
          <cell r="B8" t="str">
            <v>Compra</v>
          </cell>
          <cell r="C8" t="str">
            <v>Venta</v>
          </cell>
          <cell r="G8" t="str">
            <v>* 30%</v>
          </cell>
          <cell r="H8" t="str">
            <v>Tasa Interés</v>
          </cell>
        </row>
        <row r="9">
          <cell r="G9" t="str">
            <v>** 3%</v>
          </cell>
        </row>
        <row r="10">
          <cell r="A10">
            <v>30347</v>
          </cell>
          <cell r="F10">
            <v>0.18</v>
          </cell>
          <cell r="G10">
            <v>0</v>
          </cell>
          <cell r="H10">
            <v>0.18</v>
          </cell>
        </row>
        <row r="11">
          <cell r="A11">
            <v>30375</v>
          </cell>
          <cell r="F11">
            <v>0.18</v>
          </cell>
          <cell r="G11">
            <v>0</v>
          </cell>
          <cell r="H11">
            <v>0.18</v>
          </cell>
        </row>
        <row r="12">
          <cell r="A12">
            <v>30406</v>
          </cell>
          <cell r="F12">
            <v>0.18</v>
          </cell>
          <cell r="G12">
            <v>0</v>
          </cell>
          <cell r="H12">
            <v>0.18</v>
          </cell>
        </row>
        <row r="13">
          <cell r="A13">
            <v>30436</v>
          </cell>
          <cell r="F13">
            <v>0.18</v>
          </cell>
          <cell r="G13">
            <v>0</v>
          </cell>
          <cell r="H13">
            <v>0.18</v>
          </cell>
        </row>
        <row r="14">
          <cell r="A14">
            <v>30467</v>
          </cell>
          <cell r="F14">
            <v>0.18</v>
          </cell>
          <cell r="G14">
            <v>0</v>
          </cell>
          <cell r="H14">
            <v>0.18</v>
          </cell>
        </row>
        <row r="15">
          <cell r="A15">
            <v>30497</v>
          </cell>
          <cell r="F15">
            <v>0.18</v>
          </cell>
          <cell r="G15">
            <v>0</v>
          </cell>
          <cell r="H15">
            <v>0.18</v>
          </cell>
        </row>
        <row r="16">
          <cell r="A16">
            <v>30528</v>
          </cell>
          <cell r="F16">
            <v>0.18</v>
          </cell>
          <cell r="G16">
            <v>0</v>
          </cell>
          <cell r="H16">
            <v>0.18</v>
          </cell>
        </row>
        <row r="17">
          <cell r="A17">
            <v>30559</v>
          </cell>
          <cell r="F17">
            <v>0.18</v>
          </cell>
          <cell r="G17">
            <v>0</v>
          </cell>
          <cell r="H17">
            <v>0.18</v>
          </cell>
        </row>
        <row r="18">
          <cell r="A18">
            <v>30589</v>
          </cell>
          <cell r="F18">
            <v>0.18</v>
          </cell>
          <cell r="G18">
            <v>0</v>
          </cell>
          <cell r="H18">
            <v>0.18</v>
          </cell>
        </row>
        <row r="19">
          <cell r="A19">
            <v>30620</v>
          </cell>
          <cell r="F19">
            <v>0.18</v>
          </cell>
          <cell r="G19">
            <v>0</v>
          </cell>
          <cell r="H19">
            <v>0.18</v>
          </cell>
        </row>
        <row r="20">
          <cell r="A20">
            <v>30650</v>
          </cell>
          <cell r="F20">
            <v>0.18</v>
          </cell>
          <cell r="G20">
            <v>0</v>
          </cell>
          <cell r="H20">
            <v>0.18</v>
          </cell>
        </row>
        <row r="21">
          <cell r="A21">
            <v>30681</v>
          </cell>
          <cell r="F21">
            <v>0.18</v>
          </cell>
          <cell r="G21">
            <v>0</v>
          </cell>
          <cell r="H21">
            <v>0.18</v>
          </cell>
        </row>
        <row r="22">
          <cell r="A22">
            <v>30712</v>
          </cell>
          <cell r="F22">
            <v>0.18</v>
          </cell>
          <cell r="G22">
            <v>0</v>
          </cell>
          <cell r="H22">
            <v>0.18</v>
          </cell>
        </row>
        <row r="23">
          <cell r="A23">
            <v>30741</v>
          </cell>
          <cell r="F23">
            <v>0.18</v>
          </cell>
          <cell r="G23">
            <v>0</v>
          </cell>
          <cell r="H23">
            <v>0.18</v>
          </cell>
        </row>
        <row r="24">
          <cell r="A24">
            <v>30772</v>
          </cell>
          <cell r="F24">
            <v>0.18</v>
          </cell>
          <cell r="G24">
            <v>0</v>
          </cell>
          <cell r="H24">
            <v>0.18</v>
          </cell>
        </row>
        <row r="25">
          <cell r="A25">
            <v>30802</v>
          </cell>
          <cell r="F25">
            <v>0.18</v>
          </cell>
          <cell r="G25">
            <v>0</v>
          </cell>
          <cell r="H25">
            <v>0.18</v>
          </cell>
        </row>
        <row r="26">
          <cell r="A26">
            <v>30833</v>
          </cell>
          <cell r="F26">
            <v>0.18</v>
          </cell>
          <cell r="G26">
            <v>0</v>
          </cell>
          <cell r="H26">
            <v>0.18</v>
          </cell>
        </row>
        <row r="27">
          <cell r="A27">
            <v>30863</v>
          </cell>
          <cell r="F27">
            <v>0.18</v>
          </cell>
          <cell r="G27">
            <v>0</v>
          </cell>
          <cell r="H27">
            <v>0.18</v>
          </cell>
        </row>
        <row r="28">
          <cell r="A28">
            <v>30894</v>
          </cell>
          <cell r="F28">
            <v>0.18</v>
          </cell>
          <cell r="G28">
            <v>0</v>
          </cell>
          <cell r="H28">
            <v>0.18</v>
          </cell>
        </row>
        <row r="29">
          <cell r="A29">
            <v>30925</v>
          </cell>
          <cell r="F29">
            <v>0.18</v>
          </cell>
          <cell r="G29">
            <v>0</v>
          </cell>
          <cell r="H29">
            <v>0.18</v>
          </cell>
        </row>
        <row r="30">
          <cell r="A30">
            <v>30955</v>
          </cell>
          <cell r="F30">
            <v>0.18</v>
          </cell>
          <cell r="G30">
            <v>0</v>
          </cell>
          <cell r="H30">
            <v>0.18</v>
          </cell>
        </row>
        <row r="31">
          <cell r="A31">
            <v>30986</v>
          </cell>
          <cell r="F31">
            <v>0.18</v>
          </cell>
          <cell r="G31">
            <v>0</v>
          </cell>
          <cell r="H31">
            <v>0.18</v>
          </cell>
        </row>
        <row r="32">
          <cell r="A32">
            <v>31016</v>
          </cell>
          <cell r="F32">
            <v>0.18</v>
          </cell>
          <cell r="G32">
            <v>0</v>
          </cell>
          <cell r="H32">
            <v>0.18</v>
          </cell>
        </row>
        <row r="33">
          <cell r="A33">
            <v>31047</v>
          </cell>
          <cell r="F33">
            <v>0.18</v>
          </cell>
          <cell r="G33">
            <v>0</v>
          </cell>
          <cell r="H33">
            <v>0.18</v>
          </cell>
        </row>
        <row r="34">
          <cell r="A34">
            <v>31078</v>
          </cell>
          <cell r="F34">
            <v>0.18</v>
          </cell>
          <cell r="G34">
            <v>0</v>
          </cell>
          <cell r="H34">
            <v>0.18</v>
          </cell>
        </row>
        <row r="35">
          <cell r="A35">
            <v>31106</v>
          </cell>
          <cell r="F35">
            <v>0.18</v>
          </cell>
          <cell r="G35">
            <v>0</v>
          </cell>
          <cell r="H35">
            <v>0.18</v>
          </cell>
        </row>
        <row r="36">
          <cell r="A36">
            <v>31137</v>
          </cell>
          <cell r="F36">
            <v>0.18</v>
          </cell>
          <cell r="G36">
            <v>0</v>
          </cell>
          <cell r="H36">
            <v>0.18</v>
          </cell>
        </row>
        <row r="37">
          <cell r="A37">
            <v>31167</v>
          </cell>
          <cell r="F37">
            <v>0.18</v>
          </cell>
          <cell r="G37">
            <v>0</v>
          </cell>
          <cell r="H37">
            <v>0.18</v>
          </cell>
        </row>
        <row r="38">
          <cell r="A38">
            <v>31198</v>
          </cell>
          <cell r="F38">
            <v>0.18</v>
          </cell>
          <cell r="G38">
            <v>0</v>
          </cell>
          <cell r="H38">
            <v>0.18</v>
          </cell>
        </row>
        <row r="39">
          <cell r="A39">
            <v>31228</v>
          </cell>
          <cell r="F39">
            <v>0.18</v>
          </cell>
          <cell r="G39">
            <v>0</v>
          </cell>
          <cell r="H39">
            <v>0.18</v>
          </cell>
        </row>
        <row r="40">
          <cell r="A40">
            <v>31259</v>
          </cell>
          <cell r="F40">
            <v>0.18</v>
          </cell>
          <cell r="G40">
            <v>0</v>
          </cell>
          <cell r="H40">
            <v>0.18</v>
          </cell>
        </row>
        <row r="41">
          <cell r="A41">
            <v>31290</v>
          </cell>
          <cell r="F41">
            <v>0.18</v>
          </cell>
          <cell r="G41">
            <v>0</v>
          </cell>
          <cell r="H41">
            <v>0.18</v>
          </cell>
        </row>
        <row r="42">
          <cell r="A42">
            <v>31320</v>
          </cell>
          <cell r="F42">
            <v>0.18</v>
          </cell>
          <cell r="G42">
            <v>0</v>
          </cell>
          <cell r="H42">
            <v>0.18</v>
          </cell>
        </row>
        <row r="43">
          <cell r="A43">
            <v>31351</v>
          </cell>
          <cell r="F43">
            <v>0.18</v>
          </cell>
          <cell r="G43">
            <v>0</v>
          </cell>
          <cell r="H43">
            <v>0.18</v>
          </cell>
        </row>
        <row r="44">
          <cell r="A44">
            <v>31381</v>
          </cell>
          <cell r="F44">
            <v>0.18</v>
          </cell>
          <cell r="G44">
            <v>0</v>
          </cell>
          <cell r="H44">
            <v>0.18</v>
          </cell>
        </row>
        <row r="45">
          <cell r="A45">
            <v>31412</v>
          </cell>
          <cell r="F45">
            <v>0.18</v>
          </cell>
          <cell r="G45">
            <v>0</v>
          </cell>
          <cell r="H45">
            <v>0.18</v>
          </cell>
        </row>
        <row r="46">
          <cell r="A46">
            <v>31443</v>
          </cell>
          <cell r="F46">
            <v>0.18</v>
          </cell>
          <cell r="G46">
            <v>0</v>
          </cell>
          <cell r="H46">
            <v>0.18</v>
          </cell>
        </row>
        <row r="47">
          <cell r="A47">
            <v>31471</v>
          </cell>
          <cell r="F47">
            <v>0.18</v>
          </cell>
          <cell r="G47">
            <v>0</v>
          </cell>
          <cell r="H47">
            <v>0.18</v>
          </cell>
        </row>
        <row r="48">
          <cell r="A48">
            <v>31502</v>
          </cell>
          <cell r="F48">
            <v>0.18</v>
          </cell>
          <cell r="G48">
            <v>0</v>
          </cell>
          <cell r="H48">
            <v>0.18</v>
          </cell>
        </row>
        <row r="49">
          <cell r="A49">
            <v>31532</v>
          </cell>
          <cell r="F49">
            <v>0.18</v>
          </cell>
          <cell r="G49">
            <v>0</v>
          </cell>
          <cell r="H49">
            <v>0.18</v>
          </cell>
        </row>
        <row r="50">
          <cell r="A50">
            <v>31563</v>
          </cell>
          <cell r="F50">
            <v>0.18</v>
          </cell>
          <cell r="G50">
            <v>0</v>
          </cell>
          <cell r="H50">
            <v>0.18</v>
          </cell>
        </row>
        <row r="51">
          <cell r="A51">
            <v>31593</v>
          </cell>
          <cell r="F51">
            <v>0.18</v>
          </cell>
          <cell r="G51">
            <v>0</v>
          </cell>
          <cell r="H51">
            <v>0.18</v>
          </cell>
        </row>
        <row r="52">
          <cell r="A52">
            <v>31624</v>
          </cell>
          <cell r="F52">
            <v>0.18</v>
          </cell>
          <cell r="G52">
            <v>0</v>
          </cell>
          <cell r="H52">
            <v>0.18</v>
          </cell>
        </row>
        <row r="53">
          <cell r="A53">
            <v>31655</v>
          </cell>
          <cell r="F53">
            <v>0.18</v>
          </cell>
          <cell r="G53">
            <v>0</v>
          </cell>
          <cell r="H53">
            <v>0.18</v>
          </cell>
        </row>
        <row r="54">
          <cell r="A54">
            <v>31685</v>
          </cell>
          <cell r="F54">
            <v>0.18</v>
          </cell>
          <cell r="G54">
            <v>0</v>
          </cell>
          <cell r="H54">
            <v>0.18</v>
          </cell>
        </row>
        <row r="55">
          <cell r="A55">
            <v>31716</v>
          </cell>
          <cell r="F55">
            <v>0.18</v>
          </cell>
          <cell r="G55">
            <v>0</v>
          </cell>
          <cell r="H55">
            <v>0.18</v>
          </cell>
        </row>
        <row r="56">
          <cell r="A56">
            <v>31746</v>
          </cell>
          <cell r="F56">
            <v>0.18</v>
          </cell>
          <cell r="G56">
            <v>0</v>
          </cell>
          <cell r="H56">
            <v>0.18</v>
          </cell>
        </row>
        <row r="57">
          <cell r="A57">
            <v>31777</v>
          </cell>
          <cell r="F57">
            <v>0.18</v>
          </cell>
          <cell r="G57">
            <v>0</v>
          </cell>
          <cell r="H57">
            <v>0.18</v>
          </cell>
        </row>
        <row r="58">
          <cell r="A58">
            <v>31808</v>
          </cell>
          <cell r="F58">
            <v>0.18</v>
          </cell>
          <cell r="G58">
            <v>0</v>
          </cell>
          <cell r="H58">
            <v>0.18</v>
          </cell>
        </row>
        <row r="59">
          <cell r="A59">
            <v>31836</v>
          </cell>
          <cell r="F59">
            <v>0.18</v>
          </cell>
          <cell r="G59">
            <v>0</v>
          </cell>
          <cell r="H59">
            <v>0.18</v>
          </cell>
        </row>
        <row r="60">
          <cell r="A60">
            <v>31867</v>
          </cell>
          <cell r="F60">
            <v>0.18</v>
          </cell>
          <cell r="G60">
            <v>0</v>
          </cell>
          <cell r="H60">
            <v>0.18</v>
          </cell>
        </row>
        <row r="61">
          <cell r="A61">
            <v>31897</v>
          </cell>
          <cell r="F61">
            <v>0.18</v>
          </cell>
          <cell r="G61">
            <v>0</v>
          </cell>
          <cell r="H61">
            <v>0.18</v>
          </cell>
        </row>
        <row r="62">
          <cell r="A62">
            <v>31928</v>
          </cell>
          <cell r="F62">
            <v>0.18</v>
          </cell>
          <cell r="G62">
            <v>0</v>
          </cell>
          <cell r="H62">
            <v>0.18</v>
          </cell>
        </row>
        <row r="63">
          <cell r="A63">
            <v>31958</v>
          </cell>
          <cell r="F63">
            <v>0.18</v>
          </cell>
          <cell r="G63">
            <v>0</v>
          </cell>
          <cell r="H63">
            <v>0.18</v>
          </cell>
        </row>
        <row r="64">
          <cell r="A64">
            <v>31989</v>
          </cell>
          <cell r="F64">
            <v>0.18</v>
          </cell>
          <cell r="G64">
            <v>0</v>
          </cell>
          <cell r="H64">
            <v>0.18</v>
          </cell>
        </row>
        <row r="65">
          <cell r="A65">
            <v>32020</v>
          </cell>
          <cell r="F65">
            <v>0.18</v>
          </cell>
          <cell r="G65">
            <v>0</v>
          </cell>
          <cell r="H65">
            <v>0.18</v>
          </cell>
        </row>
        <row r="66">
          <cell r="A66">
            <v>32050</v>
          </cell>
          <cell r="F66">
            <v>0.18</v>
          </cell>
          <cell r="G66">
            <v>0</v>
          </cell>
          <cell r="H66">
            <v>0.18</v>
          </cell>
        </row>
        <row r="67">
          <cell r="A67">
            <v>32081</v>
          </cell>
          <cell r="F67">
            <v>0.18</v>
          </cell>
          <cell r="G67">
            <v>0</v>
          </cell>
          <cell r="H67">
            <v>0.18</v>
          </cell>
        </row>
        <row r="68">
          <cell r="A68">
            <v>32111</v>
          </cell>
          <cell r="F68">
            <v>0.18</v>
          </cell>
          <cell r="G68">
            <v>0</v>
          </cell>
          <cell r="H68">
            <v>0.18</v>
          </cell>
        </row>
        <row r="69">
          <cell r="A69">
            <v>32142</v>
          </cell>
          <cell r="F69">
            <v>0.18</v>
          </cell>
          <cell r="G69">
            <v>0</v>
          </cell>
          <cell r="H69">
            <v>0.18</v>
          </cell>
        </row>
        <row r="70">
          <cell r="A70">
            <v>32173</v>
          </cell>
          <cell r="F70">
            <v>0.18</v>
          </cell>
          <cell r="G70">
            <v>0</v>
          </cell>
          <cell r="H70">
            <v>0.18</v>
          </cell>
        </row>
        <row r="71">
          <cell r="A71">
            <v>32202</v>
          </cell>
          <cell r="F71">
            <v>0.18</v>
          </cell>
          <cell r="G71">
            <v>0</v>
          </cell>
          <cell r="H71">
            <v>0.18</v>
          </cell>
        </row>
        <row r="72">
          <cell r="A72">
            <v>32233</v>
          </cell>
          <cell r="F72">
            <v>0.18</v>
          </cell>
          <cell r="G72">
            <v>0</v>
          </cell>
          <cell r="H72">
            <v>0.18</v>
          </cell>
        </row>
        <row r="73">
          <cell r="A73">
            <v>32263</v>
          </cell>
          <cell r="F73">
            <v>0.18</v>
          </cell>
          <cell r="G73">
            <v>0</v>
          </cell>
          <cell r="H73">
            <v>0.18</v>
          </cell>
        </row>
        <row r="74">
          <cell r="A74">
            <v>32294</v>
          </cell>
          <cell r="F74">
            <v>0.18</v>
          </cell>
          <cell r="G74">
            <v>0</v>
          </cell>
          <cell r="H74">
            <v>0.18</v>
          </cell>
        </row>
        <row r="75">
          <cell r="A75">
            <v>32324</v>
          </cell>
          <cell r="F75">
            <v>0.18</v>
          </cell>
          <cell r="G75">
            <v>0</v>
          </cell>
          <cell r="H75">
            <v>0.18</v>
          </cell>
        </row>
        <row r="76">
          <cell r="A76">
            <v>32355</v>
          </cell>
          <cell r="F76">
            <v>0.18</v>
          </cell>
          <cell r="G76">
            <v>0</v>
          </cell>
          <cell r="H76">
            <v>0.18</v>
          </cell>
        </row>
        <row r="77">
          <cell r="A77">
            <v>32386</v>
          </cell>
          <cell r="F77">
            <v>0.18</v>
          </cell>
          <cell r="G77">
            <v>0</v>
          </cell>
          <cell r="H77">
            <v>0.18</v>
          </cell>
        </row>
        <row r="78">
          <cell r="A78">
            <v>32416</v>
          </cell>
          <cell r="F78">
            <v>0.18</v>
          </cell>
          <cell r="G78">
            <v>0</v>
          </cell>
          <cell r="H78">
            <v>0.18</v>
          </cell>
        </row>
        <row r="79">
          <cell r="A79">
            <v>32447</v>
          </cell>
          <cell r="F79">
            <v>0.18</v>
          </cell>
          <cell r="G79">
            <v>0</v>
          </cell>
          <cell r="H79">
            <v>0.18</v>
          </cell>
        </row>
        <row r="80">
          <cell r="A80">
            <v>32477</v>
          </cell>
          <cell r="F80">
            <v>0.18</v>
          </cell>
          <cell r="G80">
            <v>0</v>
          </cell>
          <cell r="H80">
            <v>0.18</v>
          </cell>
        </row>
        <row r="81">
          <cell r="A81">
            <v>32508</v>
          </cell>
          <cell r="F81">
            <v>0.18</v>
          </cell>
          <cell r="G81">
            <v>0</v>
          </cell>
          <cell r="H81">
            <v>0.18</v>
          </cell>
        </row>
        <row r="82">
          <cell r="A82">
            <v>32539</v>
          </cell>
          <cell r="F82">
            <v>0.18</v>
          </cell>
          <cell r="G82">
            <v>0</v>
          </cell>
          <cell r="H82">
            <v>0.18</v>
          </cell>
        </row>
        <row r="83">
          <cell r="A83">
            <v>32567</v>
          </cell>
          <cell r="F83">
            <v>0.18</v>
          </cell>
          <cell r="G83">
            <v>0</v>
          </cell>
          <cell r="H83">
            <v>0.18</v>
          </cell>
        </row>
        <row r="84">
          <cell r="A84">
            <v>32598</v>
          </cell>
          <cell r="F84">
            <v>0.18</v>
          </cell>
          <cell r="G84">
            <v>0</v>
          </cell>
          <cell r="H84">
            <v>0.18</v>
          </cell>
        </row>
        <row r="85">
          <cell r="A85">
            <v>32628</v>
          </cell>
          <cell r="F85">
            <v>0.18</v>
          </cell>
          <cell r="G85">
            <v>0</v>
          </cell>
          <cell r="H85">
            <v>0.18</v>
          </cell>
        </row>
        <row r="86">
          <cell r="A86">
            <v>32659</v>
          </cell>
          <cell r="F86">
            <v>0.18</v>
          </cell>
          <cell r="G86">
            <v>0</v>
          </cell>
          <cell r="H86">
            <v>0.18</v>
          </cell>
        </row>
        <row r="87">
          <cell r="A87">
            <v>32689</v>
          </cell>
          <cell r="F87">
            <v>0.18</v>
          </cell>
          <cell r="G87">
            <v>0</v>
          </cell>
          <cell r="H87">
            <v>0.18</v>
          </cell>
        </row>
        <row r="88">
          <cell r="A88">
            <v>32720</v>
          </cell>
          <cell r="F88">
            <v>0.18</v>
          </cell>
          <cell r="G88">
            <v>0</v>
          </cell>
          <cell r="H88">
            <v>0.18</v>
          </cell>
        </row>
        <row r="89">
          <cell r="A89">
            <v>32751</v>
          </cell>
          <cell r="F89">
            <v>0.18</v>
          </cell>
          <cell r="G89">
            <v>0</v>
          </cell>
          <cell r="H89">
            <v>0.18</v>
          </cell>
        </row>
        <row r="90">
          <cell r="A90">
            <v>32781</v>
          </cell>
          <cell r="F90">
            <v>0.18</v>
          </cell>
          <cell r="G90">
            <v>0</v>
          </cell>
          <cell r="H90">
            <v>0.18</v>
          </cell>
        </row>
        <row r="91">
          <cell r="A91">
            <v>32812</v>
          </cell>
          <cell r="F91">
            <v>0.18</v>
          </cell>
          <cell r="G91">
            <v>0</v>
          </cell>
          <cell r="H91">
            <v>0.18</v>
          </cell>
        </row>
        <row r="92">
          <cell r="A92">
            <v>32842</v>
          </cell>
          <cell r="F92">
            <v>0.18</v>
          </cell>
          <cell r="G92">
            <v>0</v>
          </cell>
          <cell r="H92">
            <v>0.18</v>
          </cell>
        </row>
        <row r="93">
          <cell r="A93">
            <v>32873</v>
          </cell>
          <cell r="F93">
            <v>0.18</v>
          </cell>
          <cell r="G93">
            <v>0</v>
          </cell>
          <cell r="H93">
            <v>0.18</v>
          </cell>
        </row>
        <row r="94">
          <cell r="A94">
            <v>32904</v>
          </cell>
          <cell r="F94">
            <v>0.18</v>
          </cell>
          <cell r="G94">
            <v>0</v>
          </cell>
          <cell r="H94">
            <v>0.18</v>
          </cell>
        </row>
        <row r="95">
          <cell r="A95">
            <v>32932</v>
          </cell>
          <cell r="F95">
            <v>0.18</v>
          </cell>
          <cell r="G95">
            <v>0</v>
          </cell>
          <cell r="H95">
            <v>0.18</v>
          </cell>
        </row>
        <row r="96">
          <cell r="A96">
            <v>32963</v>
          </cell>
          <cell r="F96">
            <v>0.18</v>
          </cell>
          <cell r="G96">
            <v>0</v>
          </cell>
          <cell r="H96">
            <v>0.18</v>
          </cell>
        </row>
        <row r="97">
          <cell r="A97">
            <v>32993</v>
          </cell>
          <cell r="F97">
            <v>0.18</v>
          </cell>
          <cell r="G97">
            <v>0</v>
          </cell>
          <cell r="H97">
            <v>0.18</v>
          </cell>
        </row>
        <row r="98">
          <cell r="A98">
            <v>33024</v>
          </cell>
          <cell r="F98">
            <v>0.18</v>
          </cell>
          <cell r="G98">
            <v>0</v>
          </cell>
          <cell r="H98">
            <v>0.18</v>
          </cell>
        </row>
        <row r="99">
          <cell r="A99">
            <v>33054</v>
          </cell>
          <cell r="F99">
            <v>0.18</v>
          </cell>
          <cell r="G99">
            <v>0</v>
          </cell>
          <cell r="H99">
            <v>0.18</v>
          </cell>
        </row>
        <row r="100">
          <cell r="A100">
            <v>33085</v>
          </cell>
          <cell r="F100">
            <v>0.18</v>
          </cell>
          <cell r="G100">
            <v>0</v>
          </cell>
          <cell r="H100">
            <v>0.18</v>
          </cell>
        </row>
        <row r="101">
          <cell r="A101">
            <v>33116</v>
          </cell>
          <cell r="F101">
            <v>0.18</v>
          </cell>
          <cell r="G101">
            <v>0</v>
          </cell>
          <cell r="H101">
            <v>0.18</v>
          </cell>
        </row>
        <row r="102">
          <cell r="A102">
            <v>33146</v>
          </cell>
          <cell r="F102">
            <v>0.18</v>
          </cell>
          <cell r="G102">
            <v>0</v>
          </cell>
          <cell r="H102">
            <v>0.18</v>
          </cell>
        </row>
        <row r="103">
          <cell r="A103">
            <v>33177</v>
          </cell>
          <cell r="F103">
            <v>0.18</v>
          </cell>
          <cell r="G103">
            <v>0</v>
          </cell>
          <cell r="H103">
            <v>0.18</v>
          </cell>
        </row>
        <row r="104">
          <cell r="A104">
            <v>33207</v>
          </cell>
          <cell r="F104">
            <v>0.18</v>
          </cell>
          <cell r="G104">
            <v>0</v>
          </cell>
          <cell r="H104">
            <v>0.18</v>
          </cell>
        </row>
        <row r="105">
          <cell r="A105">
            <v>33238</v>
          </cell>
          <cell r="F105">
            <v>0.18</v>
          </cell>
          <cell r="G105">
            <v>0</v>
          </cell>
          <cell r="H105">
            <v>0.18</v>
          </cell>
        </row>
        <row r="106">
          <cell r="A106">
            <v>33269</v>
          </cell>
          <cell r="F106">
            <v>0.18</v>
          </cell>
          <cell r="G106">
            <v>0</v>
          </cell>
          <cell r="H106">
            <v>0.18</v>
          </cell>
        </row>
        <row r="107">
          <cell r="A107">
            <v>33297</v>
          </cell>
          <cell r="F107">
            <v>0.18</v>
          </cell>
          <cell r="G107">
            <v>0</v>
          </cell>
          <cell r="H107">
            <v>0.18</v>
          </cell>
        </row>
        <row r="108">
          <cell r="A108">
            <v>33328</v>
          </cell>
          <cell r="F108">
            <v>0.18</v>
          </cell>
          <cell r="G108">
            <v>0</v>
          </cell>
          <cell r="H108">
            <v>0.18</v>
          </cell>
        </row>
        <row r="109">
          <cell r="A109">
            <v>33358</v>
          </cell>
          <cell r="F109">
            <v>0.18</v>
          </cell>
          <cell r="G109">
            <v>0</v>
          </cell>
          <cell r="H109">
            <v>0.18</v>
          </cell>
        </row>
        <row r="110">
          <cell r="A110">
            <v>33389</v>
          </cell>
          <cell r="F110">
            <v>0.18</v>
          </cell>
          <cell r="G110">
            <v>0</v>
          </cell>
          <cell r="H110">
            <v>0.18</v>
          </cell>
        </row>
        <row r="111">
          <cell r="A111">
            <v>33419</v>
          </cell>
          <cell r="F111">
            <v>0.18</v>
          </cell>
          <cell r="G111">
            <v>0</v>
          </cell>
          <cell r="H111">
            <v>0.18</v>
          </cell>
        </row>
        <row r="112">
          <cell r="A112">
            <v>33450</v>
          </cell>
          <cell r="F112">
            <v>0.18</v>
          </cell>
          <cell r="G112">
            <v>0</v>
          </cell>
          <cell r="H112">
            <v>0.18</v>
          </cell>
        </row>
        <row r="113">
          <cell r="A113">
            <v>33481</v>
          </cell>
          <cell r="F113">
            <v>0.18</v>
          </cell>
          <cell r="G113">
            <v>0</v>
          </cell>
          <cell r="H113">
            <v>0.18</v>
          </cell>
        </row>
        <row r="114">
          <cell r="A114">
            <v>33511</v>
          </cell>
          <cell r="F114">
            <v>0.18</v>
          </cell>
          <cell r="G114">
            <v>0</v>
          </cell>
          <cell r="H114">
            <v>0.18</v>
          </cell>
        </row>
        <row r="115">
          <cell r="A115">
            <v>33542</v>
          </cell>
          <cell r="F115">
            <v>0.18</v>
          </cell>
          <cell r="G115">
            <v>0</v>
          </cell>
          <cell r="H115">
            <v>0.18</v>
          </cell>
        </row>
        <row r="116">
          <cell r="A116">
            <v>33572</v>
          </cell>
          <cell r="F116">
            <v>0.18</v>
          </cell>
          <cell r="G116">
            <v>0</v>
          </cell>
          <cell r="H116">
            <v>0.18</v>
          </cell>
        </row>
        <row r="117">
          <cell r="A117">
            <v>33603</v>
          </cell>
          <cell r="F117">
            <v>0.18</v>
          </cell>
          <cell r="G117">
            <v>0</v>
          </cell>
          <cell r="H117">
            <v>0.18</v>
          </cell>
        </row>
        <row r="118">
          <cell r="A118">
            <v>33634</v>
          </cell>
          <cell r="F118">
            <v>0.18</v>
          </cell>
          <cell r="G118">
            <v>0</v>
          </cell>
          <cell r="H118">
            <v>0.18</v>
          </cell>
        </row>
        <row r="119">
          <cell r="A119">
            <v>33663</v>
          </cell>
          <cell r="F119">
            <v>0.18</v>
          </cell>
          <cell r="G119">
            <v>0</v>
          </cell>
          <cell r="H119">
            <v>0.18</v>
          </cell>
        </row>
        <row r="120">
          <cell r="A120">
            <v>33694</v>
          </cell>
          <cell r="F120">
            <v>0.18</v>
          </cell>
          <cell r="G120">
            <v>0</v>
          </cell>
          <cell r="H120">
            <v>0.18</v>
          </cell>
        </row>
        <row r="121">
          <cell r="A121">
            <v>33724</v>
          </cell>
          <cell r="F121">
            <v>0.18</v>
          </cell>
          <cell r="G121">
            <v>0</v>
          </cell>
          <cell r="H121">
            <v>0.18</v>
          </cell>
        </row>
        <row r="122">
          <cell r="A122">
            <v>33755</v>
          </cell>
          <cell r="F122">
            <v>0.18</v>
          </cell>
          <cell r="G122">
            <v>0</v>
          </cell>
          <cell r="H122">
            <v>0.18</v>
          </cell>
        </row>
        <row r="123">
          <cell r="A123">
            <v>33785</v>
          </cell>
          <cell r="F123">
            <v>0.18</v>
          </cell>
          <cell r="G123">
            <v>0</v>
          </cell>
          <cell r="H123">
            <v>0.18</v>
          </cell>
        </row>
        <row r="124">
          <cell r="A124">
            <v>33816</v>
          </cell>
          <cell r="F124">
            <v>0.18</v>
          </cell>
          <cell r="G124">
            <v>0</v>
          </cell>
          <cell r="H124">
            <v>0.18</v>
          </cell>
        </row>
        <row r="125">
          <cell r="A125">
            <v>33847</v>
          </cell>
          <cell r="F125">
            <v>0.18</v>
          </cell>
          <cell r="G125">
            <v>0</v>
          </cell>
          <cell r="H125">
            <v>0.18</v>
          </cell>
        </row>
        <row r="126">
          <cell r="A126">
            <v>33877</v>
          </cell>
          <cell r="F126">
            <v>0.18</v>
          </cell>
          <cell r="G126">
            <v>0</v>
          </cell>
          <cell r="H126">
            <v>0.18</v>
          </cell>
        </row>
        <row r="127">
          <cell r="A127">
            <v>33908</v>
          </cell>
          <cell r="F127">
            <v>0.18</v>
          </cell>
          <cell r="G127">
            <v>0</v>
          </cell>
          <cell r="H127">
            <v>0.18</v>
          </cell>
        </row>
        <row r="128">
          <cell r="A128">
            <v>33938</v>
          </cell>
          <cell r="F128">
            <v>0.18</v>
          </cell>
          <cell r="G128">
            <v>0</v>
          </cell>
          <cell r="H128">
            <v>0.18</v>
          </cell>
        </row>
        <row r="129">
          <cell r="A129">
            <v>33938</v>
          </cell>
          <cell r="F129">
            <v>0.18</v>
          </cell>
          <cell r="G129">
            <v>0</v>
          </cell>
          <cell r="H129">
            <v>0.18</v>
          </cell>
        </row>
        <row r="130">
          <cell r="A130">
            <v>33969</v>
          </cell>
          <cell r="F130">
            <v>0.52549999999999997</v>
          </cell>
          <cell r="G130">
            <v>0.15764999999999998</v>
          </cell>
          <cell r="H130">
            <v>0.68314999999999992</v>
          </cell>
        </row>
        <row r="131">
          <cell r="A131">
            <v>34000</v>
          </cell>
          <cell r="F131">
            <v>0.54100000000000004</v>
          </cell>
          <cell r="G131">
            <v>0.1623</v>
          </cell>
          <cell r="H131">
            <v>0.70330000000000004</v>
          </cell>
        </row>
        <row r="132">
          <cell r="A132">
            <v>34028</v>
          </cell>
          <cell r="F132">
            <v>0.52549999999999997</v>
          </cell>
          <cell r="G132">
            <v>0.15764999999999998</v>
          </cell>
          <cell r="H132">
            <v>0.68314999999999992</v>
          </cell>
        </row>
        <row r="133">
          <cell r="A133">
            <v>34059</v>
          </cell>
          <cell r="F133">
            <v>0.60509999999999997</v>
          </cell>
          <cell r="G133">
            <v>0.18153</v>
          </cell>
          <cell r="H133">
            <v>0.78662999999999994</v>
          </cell>
        </row>
        <row r="134">
          <cell r="A134">
            <v>34089</v>
          </cell>
          <cell r="F134">
            <v>0.68020000000000003</v>
          </cell>
          <cell r="G134">
            <v>0.20405999999999999</v>
          </cell>
          <cell r="H134">
            <v>0.88426000000000005</v>
          </cell>
        </row>
        <row r="135">
          <cell r="A135">
            <v>34120</v>
          </cell>
          <cell r="F135">
            <v>0.67079999999999995</v>
          </cell>
          <cell r="G135">
            <v>0.20123999999999997</v>
          </cell>
          <cell r="H135">
            <v>0.87203999999999993</v>
          </cell>
        </row>
        <row r="136">
          <cell r="A136">
            <v>34150</v>
          </cell>
          <cell r="F136">
            <v>0.61480000000000001</v>
          </cell>
          <cell r="G136">
            <v>0.18443999999999999</v>
          </cell>
          <cell r="H136">
            <v>0.79923999999999995</v>
          </cell>
        </row>
        <row r="137">
          <cell r="A137">
            <v>34181</v>
          </cell>
          <cell r="F137">
            <v>0.5504</v>
          </cell>
          <cell r="G137">
            <v>0.16511999999999999</v>
          </cell>
          <cell r="H137">
            <v>0.71551999999999993</v>
          </cell>
        </row>
        <row r="138">
          <cell r="A138">
            <v>34212</v>
          </cell>
          <cell r="F138">
            <v>0.56489999999999996</v>
          </cell>
          <cell r="G138">
            <v>0.16946999999999998</v>
          </cell>
          <cell r="H138">
            <v>0.73436999999999997</v>
          </cell>
        </row>
        <row r="139">
          <cell r="A139">
            <v>34242</v>
          </cell>
          <cell r="F139">
            <v>0.6633</v>
          </cell>
          <cell r="G139">
            <v>0.19899</v>
          </cell>
          <cell r="H139">
            <v>0.86229</v>
          </cell>
        </row>
        <row r="140">
          <cell r="A140">
            <v>34273</v>
          </cell>
          <cell r="F140">
            <v>0.65720000000000001</v>
          </cell>
          <cell r="G140">
            <v>0.19716</v>
          </cell>
          <cell r="H140">
            <v>0.85436000000000001</v>
          </cell>
        </row>
        <row r="141">
          <cell r="A141">
            <v>34303</v>
          </cell>
          <cell r="F141">
            <v>0.67589999999999995</v>
          </cell>
          <cell r="G141">
            <v>0.20276999999999998</v>
          </cell>
          <cell r="H141">
            <v>0.87866999999999995</v>
          </cell>
        </row>
        <row r="142">
          <cell r="A142">
            <v>34334</v>
          </cell>
          <cell r="F142">
            <v>0.7167</v>
          </cell>
          <cell r="G142">
            <v>0.21501000000000001</v>
          </cell>
          <cell r="H142">
            <v>0.93171000000000004</v>
          </cell>
        </row>
        <row r="143">
          <cell r="A143">
            <v>34365</v>
          </cell>
          <cell r="F143">
            <v>0.65580000000000005</v>
          </cell>
          <cell r="G143">
            <v>0.19674</v>
          </cell>
          <cell r="H143">
            <v>0.85254000000000008</v>
          </cell>
        </row>
        <row r="144">
          <cell r="A144">
            <v>34393</v>
          </cell>
          <cell r="F144">
            <v>0.66080000000000005</v>
          </cell>
          <cell r="G144">
            <v>0.19824</v>
          </cell>
          <cell r="H144">
            <v>0.85904000000000003</v>
          </cell>
        </row>
        <row r="145">
          <cell r="A145">
            <v>34424</v>
          </cell>
          <cell r="F145">
            <v>0.61329999999999996</v>
          </cell>
          <cell r="G145">
            <v>0.18398999999999999</v>
          </cell>
          <cell r="H145">
            <v>0.79728999999999994</v>
          </cell>
        </row>
        <row r="146">
          <cell r="A146">
            <v>34454</v>
          </cell>
          <cell r="F146">
            <v>0.59209999999999996</v>
          </cell>
          <cell r="G146">
            <v>0.17762999999999998</v>
          </cell>
          <cell r="H146">
            <v>0.76972999999999991</v>
          </cell>
        </row>
        <row r="147">
          <cell r="A147">
            <v>34485</v>
          </cell>
          <cell r="F147">
            <v>0.61599999999999999</v>
          </cell>
          <cell r="G147">
            <v>0.18479999999999999</v>
          </cell>
          <cell r="H147">
            <v>0.80079999999999996</v>
          </cell>
        </row>
        <row r="148">
          <cell r="A148">
            <v>34515</v>
          </cell>
          <cell r="F148">
            <v>0.67579999999999996</v>
          </cell>
          <cell r="G148">
            <v>0.20273999999999998</v>
          </cell>
          <cell r="H148">
            <v>0.87853999999999988</v>
          </cell>
        </row>
        <row r="149">
          <cell r="A149">
            <v>34546</v>
          </cell>
          <cell r="F149">
            <v>0.76800000000000002</v>
          </cell>
          <cell r="G149">
            <v>0.03</v>
          </cell>
          <cell r="H149">
            <v>0.79800000000000004</v>
          </cell>
        </row>
        <row r="150">
          <cell r="A150">
            <v>34577</v>
          </cell>
          <cell r="F150">
            <v>0.66900000000000004</v>
          </cell>
          <cell r="G150">
            <v>0.03</v>
          </cell>
          <cell r="H150">
            <v>0.69900000000000007</v>
          </cell>
        </row>
        <row r="151">
          <cell r="A151">
            <v>34607</v>
          </cell>
          <cell r="F151">
            <v>0.47649999999999998</v>
          </cell>
          <cell r="G151">
            <v>0.03</v>
          </cell>
          <cell r="H151">
            <v>0.50649999999999995</v>
          </cell>
        </row>
        <row r="152">
          <cell r="A152">
            <v>34638</v>
          </cell>
          <cell r="F152">
            <v>0.45479999999999998</v>
          </cell>
          <cell r="G152">
            <v>0.03</v>
          </cell>
          <cell r="H152">
            <v>0.48480000000000001</v>
          </cell>
        </row>
        <row r="153">
          <cell r="A153">
            <v>34668</v>
          </cell>
          <cell r="F153">
            <v>0.50539999999999996</v>
          </cell>
          <cell r="G153">
            <v>0.03</v>
          </cell>
          <cell r="H153">
            <v>0.53539999999999999</v>
          </cell>
        </row>
        <row r="154">
          <cell r="A154">
            <v>34699</v>
          </cell>
          <cell r="F154">
            <v>0.47399999999999998</v>
          </cell>
          <cell r="G154">
            <v>0.03</v>
          </cell>
          <cell r="H154">
            <v>0.504</v>
          </cell>
        </row>
        <row r="155">
          <cell r="A155">
            <v>34730</v>
          </cell>
          <cell r="F155">
            <v>0.47399999999999998</v>
          </cell>
          <cell r="G155">
            <v>0.03</v>
          </cell>
          <cell r="H155">
            <v>0.504</v>
          </cell>
        </row>
        <row r="156">
          <cell r="A156">
            <v>34758</v>
          </cell>
          <cell r="F156">
            <v>0.44</v>
          </cell>
          <cell r="G156">
            <v>0.03</v>
          </cell>
          <cell r="H156">
            <v>0.47</v>
          </cell>
        </row>
        <row r="157">
          <cell r="A157">
            <v>34789</v>
          </cell>
          <cell r="F157">
            <v>0.42499999999999999</v>
          </cell>
          <cell r="G157">
            <v>0.03</v>
          </cell>
          <cell r="H157">
            <v>0.45499999999999996</v>
          </cell>
        </row>
        <row r="158">
          <cell r="A158">
            <v>34819</v>
          </cell>
          <cell r="F158">
            <v>0.32869999999999999</v>
          </cell>
          <cell r="G158">
            <v>0.03</v>
          </cell>
          <cell r="H158">
            <v>0.35870000000000002</v>
          </cell>
        </row>
        <row r="159">
          <cell r="A159">
            <v>34850</v>
          </cell>
          <cell r="F159">
            <v>0.34710000000000002</v>
          </cell>
          <cell r="G159">
            <v>0.03</v>
          </cell>
          <cell r="H159">
            <v>0.37709999999999999</v>
          </cell>
        </row>
        <row r="160">
          <cell r="A160">
            <v>34880</v>
          </cell>
          <cell r="F160">
            <v>0.38450000000000001</v>
          </cell>
          <cell r="G160">
            <v>0.03</v>
          </cell>
          <cell r="H160">
            <v>0.41449999999999998</v>
          </cell>
        </row>
        <row r="161">
          <cell r="A161">
            <v>34911</v>
          </cell>
          <cell r="F161">
            <v>0.46</v>
          </cell>
          <cell r="G161">
            <v>0.03</v>
          </cell>
          <cell r="H161">
            <v>0.49</v>
          </cell>
        </row>
        <row r="162">
          <cell r="A162">
            <v>34942</v>
          </cell>
          <cell r="F162">
            <v>0.46</v>
          </cell>
          <cell r="G162">
            <v>0.03</v>
          </cell>
          <cell r="H162">
            <v>0.49</v>
          </cell>
        </row>
        <row r="163">
          <cell r="A163">
            <v>34972</v>
          </cell>
          <cell r="F163">
            <v>0.46</v>
          </cell>
          <cell r="G163">
            <v>0.03</v>
          </cell>
          <cell r="H163">
            <v>0.49</v>
          </cell>
        </row>
        <row r="164">
          <cell r="A164">
            <v>35003</v>
          </cell>
          <cell r="F164">
            <v>0.46</v>
          </cell>
          <cell r="G164">
            <v>0.03</v>
          </cell>
          <cell r="H164">
            <v>0.49</v>
          </cell>
        </row>
        <row r="165">
          <cell r="A165">
            <v>35033</v>
          </cell>
          <cell r="F165">
            <v>0.46</v>
          </cell>
          <cell r="G165">
            <v>0.03</v>
          </cell>
          <cell r="H165">
            <v>0.49</v>
          </cell>
        </row>
        <row r="166">
          <cell r="A166">
            <v>35064</v>
          </cell>
          <cell r="B166">
            <v>290</v>
          </cell>
          <cell r="C166">
            <v>290</v>
          </cell>
          <cell r="E166">
            <v>41.640210000000003</v>
          </cell>
          <cell r="F166">
            <v>0.46</v>
          </cell>
          <cell r="G166">
            <v>0.03</v>
          </cell>
          <cell r="H166">
            <v>0.49</v>
          </cell>
        </row>
        <row r="167">
          <cell r="A167">
            <v>35095</v>
          </cell>
          <cell r="B167">
            <v>290</v>
          </cell>
          <cell r="C167">
            <v>290</v>
          </cell>
          <cell r="E167">
            <v>45.01876</v>
          </cell>
          <cell r="F167">
            <v>0.46</v>
          </cell>
          <cell r="G167">
            <v>0.03</v>
          </cell>
          <cell r="H167">
            <v>0.49</v>
          </cell>
        </row>
        <row r="168">
          <cell r="A168">
            <v>35124</v>
          </cell>
          <cell r="B168">
            <v>290</v>
          </cell>
          <cell r="C168">
            <v>290</v>
          </cell>
          <cell r="E168">
            <v>48.608280000000001</v>
          </cell>
          <cell r="F168">
            <v>0.47</v>
          </cell>
          <cell r="G168">
            <v>0.03</v>
          </cell>
          <cell r="H168">
            <v>0.5</v>
          </cell>
        </row>
        <row r="169">
          <cell r="A169">
            <v>35155</v>
          </cell>
          <cell r="B169">
            <v>290</v>
          </cell>
          <cell r="C169">
            <v>290</v>
          </cell>
          <cell r="E169">
            <v>51.608669999999996</v>
          </cell>
          <cell r="F169">
            <v>0.47</v>
          </cell>
          <cell r="G169">
            <v>0.03</v>
          </cell>
          <cell r="H169">
            <v>0.5</v>
          </cell>
        </row>
        <row r="170">
          <cell r="A170">
            <v>35185</v>
          </cell>
          <cell r="B170">
            <v>466.25</v>
          </cell>
          <cell r="C170">
            <v>466.25</v>
          </cell>
          <cell r="E170">
            <v>56.022170000000003</v>
          </cell>
          <cell r="F170">
            <v>0.55000000000000004</v>
          </cell>
          <cell r="G170">
            <v>0.03</v>
          </cell>
          <cell r="H170">
            <v>0.58000000000000007</v>
          </cell>
        </row>
        <row r="171">
          <cell r="A171">
            <v>35216</v>
          </cell>
          <cell r="B171">
            <v>470.75</v>
          </cell>
          <cell r="C171">
            <v>470.75</v>
          </cell>
          <cell r="E171">
            <v>63.07582</v>
          </cell>
          <cell r="F171">
            <v>0.62629999999999997</v>
          </cell>
          <cell r="G171">
            <v>0.03</v>
          </cell>
          <cell r="H171">
            <v>0.65629999999999999</v>
          </cell>
        </row>
        <row r="172">
          <cell r="A172">
            <v>35246</v>
          </cell>
          <cell r="B172">
            <v>469</v>
          </cell>
          <cell r="C172">
            <v>469</v>
          </cell>
          <cell r="E172">
            <v>67.570930000000004</v>
          </cell>
          <cell r="F172">
            <v>0.44</v>
          </cell>
          <cell r="G172">
            <v>0.03</v>
          </cell>
          <cell r="H172">
            <v>0.47</v>
          </cell>
        </row>
        <row r="173">
          <cell r="A173">
            <v>35277</v>
          </cell>
          <cell r="B173">
            <v>472</v>
          </cell>
          <cell r="C173">
            <v>472</v>
          </cell>
          <cell r="E173">
            <v>70.939520000000002</v>
          </cell>
          <cell r="F173">
            <v>0.36</v>
          </cell>
          <cell r="G173">
            <v>0.03</v>
          </cell>
          <cell r="H173">
            <v>0.39</v>
          </cell>
        </row>
        <row r="174">
          <cell r="A174">
            <v>35308</v>
          </cell>
          <cell r="B174">
            <v>475.5</v>
          </cell>
          <cell r="C174">
            <v>475.5</v>
          </cell>
          <cell r="E174">
            <v>73.859309999999994</v>
          </cell>
          <cell r="F174">
            <v>0.3</v>
          </cell>
          <cell r="G174">
            <v>0.03</v>
          </cell>
          <cell r="H174">
            <v>0.32999999999999996</v>
          </cell>
        </row>
        <row r="175">
          <cell r="A175">
            <v>35338</v>
          </cell>
          <cell r="B175">
            <v>473.25</v>
          </cell>
          <cell r="C175">
            <v>473.25</v>
          </cell>
          <cell r="E175">
            <v>76.508399999999995</v>
          </cell>
          <cell r="F175">
            <v>0.33</v>
          </cell>
          <cell r="G175">
            <v>0.03</v>
          </cell>
          <cell r="H175">
            <v>0.36</v>
          </cell>
        </row>
        <row r="176">
          <cell r="A176">
            <v>35369</v>
          </cell>
          <cell r="B176">
            <v>471.5</v>
          </cell>
          <cell r="C176">
            <v>471.5</v>
          </cell>
          <cell r="E176">
            <v>79.755589999999998</v>
          </cell>
          <cell r="F176">
            <v>0.34210000000000002</v>
          </cell>
          <cell r="G176">
            <v>0.03</v>
          </cell>
          <cell r="H176">
            <v>0.37209999999999999</v>
          </cell>
        </row>
        <row r="177">
          <cell r="A177">
            <v>35399</v>
          </cell>
          <cell r="B177">
            <v>471.57</v>
          </cell>
          <cell r="C177">
            <v>471.57</v>
          </cell>
          <cell r="E177">
            <v>82.188739999999996</v>
          </cell>
          <cell r="F177">
            <v>0.28460000000000002</v>
          </cell>
          <cell r="G177">
            <v>0.03</v>
          </cell>
          <cell r="H177">
            <v>0.31459999999999999</v>
          </cell>
        </row>
        <row r="178">
          <cell r="A178">
            <v>35430</v>
          </cell>
          <cell r="B178">
            <v>474.73</v>
          </cell>
          <cell r="C178">
            <v>474.73</v>
          </cell>
          <cell r="E178">
            <v>84.630849999999995</v>
          </cell>
          <cell r="F178">
            <v>0.22</v>
          </cell>
          <cell r="G178">
            <v>0.03</v>
          </cell>
          <cell r="H178">
            <v>0.25</v>
          </cell>
        </row>
        <row r="179">
          <cell r="A179">
            <v>35461</v>
          </cell>
          <cell r="B179">
            <v>476.84</v>
          </cell>
          <cell r="C179">
            <v>476.84</v>
          </cell>
          <cell r="E179">
            <v>86.850040000000007</v>
          </cell>
          <cell r="F179">
            <v>0.21</v>
          </cell>
          <cell r="G179">
            <v>0.03</v>
          </cell>
          <cell r="H179">
            <v>0.24</v>
          </cell>
        </row>
        <row r="180">
          <cell r="A180">
            <v>35489</v>
          </cell>
          <cell r="B180">
            <v>474.4</v>
          </cell>
          <cell r="C180">
            <v>474.4</v>
          </cell>
          <cell r="E180">
            <v>88.841340000000002</v>
          </cell>
          <cell r="F180">
            <v>0.1983</v>
          </cell>
          <cell r="G180">
            <v>0.03</v>
          </cell>
          <cell r="H180">
            <v>0.2283</v>
          </cell>
        </row>
        <row r="181">
          <cell r="A181">
            <v>35520</v>
          </cell>
          <cell r="B181">
            <v>477.28</v>
          </cell>
          <cell r="C181">
            <v>477.28</v>
          </cell>
          <cell r="E181">
            <v>90.218639999999994</v>
          </cell>
          <cell r="F181">
            <v>0.18529999999999999</v>
          </cell>
          <cell r="G181">
            <v>0.03</v>
          </cell>
          <cell r="H181">
            <v>0.21529999999999999</v>
          </cell>
        </row>
        <row r="182">
          <cell r="A182">
            <v>35550</v>
          </cell>
          <cell r="B182">
            <v>478.22</v>
          </cell>
          <cell r="C182">
            <v>478.22</v>
          </cell>
          <cell r="E182">
            <v>92.358220000000003</v>
          </cell>
          <cell r="F182">
            <v>0.19359999999999999</v>
          </cell>
          <cell r="G182">
            <v>0.03</v>
          </cell>
          <cell r="H182">
            <v>0.22359999999999999</v>
          </cell>
        </row>
        <row r="183">
          <cell r="A183">
            <v>35581</v>
          </cell>
          <cell r="B183">
            <v>482.22</v>
          </cell>
          <cell r="C183">
            <v>482.22</v>
          </cell>
          <cell r="E183">
            <v>95.244159999999994</v>
          </cell>
          <cell r="F183">
            <v>0.20830000000000001</v>
          </cell>
          <cell r="G183">
            <v>0.03</v>
          </cell>
          <cell r="H183">
            <v>0.23830000000000001</v>
          </cell>
        </row>
        <row r="184">
          <cell r="A184">
            <v>35611</v>
          </cell>
          <cell r="B184">
            <v>485.63</v>
          </cell>
          <cell r="C184">
            <v>485.63</v>
          </cell>
          <cell r="E184">
            <v>96.993639999999999</v>
          </cell>
          <cell r="F184">
            <v>0.25459999999999999</v>
          </cell>
          <cell r="G184">
            <v>0.03</v>
          </cell>
          <cell r="H184">
            <v>0.28459999999999996</v>
          </cell>
        </row>
        <row r="185">
          <cell r="A185">
            <v>35642</v>
          </cell>
          <cell r="B185">
            <v>491.25</v>
          </cell>
          <cell r="C185">
            <v>491.25</v>
          </cell>
          <cell r="E185">
            <v>99.682550000000006</v>
          </cell>
          <cell r="F185">
            <v>0.23730000000000001</v>
          </cell>
          <cell r="G185">
            <v>0.03</v>
          </cell>
          <cell r="H185">
            <v>0.26729999999999998</v>
          </cell>
        </row>
        <row r="186">
          <cell r="A186">
            <v>35673</v>
          </cell>
          <cell r="B186">
            <v>495.9</v>
          </cell>
          <cell r="C186">
            <v>495.9</v>
          </cell>
          <cell r="E186">
            <v>102.94964</v>
          </cell>
          <cell r="F186">
            <v>0.27160000000000001</v>
          </cell>
          <cell r="G186">
            <v>0.03</v>
          </cell>
          <cell r="H186">
            <v>0.30159999999999998</v>
          </cell>
        </row>
        <row r="187">
          <cell r="A187">
            <v>35703</v>
          </cell>
          <cell r="B187">
            <v>498</v>
          </cell>
          <cell r="C187">
            <v>498</v>
          </cell>
          <cell r="E187">
            <v>106.42372</v>
          </cell>
          <cell r="F187">
            <v>0.22109999999999999</v>
          </cell>
          <cell r="G187">
            <v>0.03</v>
          </cell>
          <cell r="H187">
            <v>0.25109999999999999</v>
          </cell>
        </row>
        <row r="188">
          <cell r="A188">
            <v>35734</v>
          </cell>
          <cell r="B188">
            <v>500.35</v>
          </cell>
          <cell r="C188">
            <v>500.35</v>
          </cell>
          <cell r="E188">
            <v>110.43518</v>
          </cell>
          <cell r="F188">
            <v>0.218</v>
          </cell>
          <cell r="G188">
            <v>0.03</v>
          </cell>
          <cell r="H188">
            <v>0.248</v>
          </cell>
        </row>
        <row r="189">
          <cell r="A189">
            <v>35764</v>
          </cell>
          <cell r="B189">
            <v>501.25</v>
          </cell>
          <cell r="C189">
            <v>501.25</v>
          </cell>
          <cell r="E189">
            <v>113.54504</v>
          </cell>
          <cell r="F189">
            <v>0.21759999999999999</v>
          </cell>
          <cell r="G189">
            <v>0.03</v>
          </cell>
          <cell r="H189">
            <v>0.24759999999999999</v>
          </cell>
        </row>
        <row r="190">
          <cell r="A190">
            <v>35795</v>
          </cell>
          <cell r="B190">
            <v>503.25</v>
          </cell>
          <cell r="C190">
            <v>503.25</v>
          </cell>
          <cell r="E190">
            <v>116.45984</v>
          </cell>
          <cell r="F190">
            <v>0.25240000000000001</v>
          </cell>
          <cell r="G190">
            <v>0.03</v>
          </cell>
          <cell r="H190">
            <v>0.28239999999999998</v>
          </cell>
        </row>
        <row r="191">
          <cell r="A191">
            <v>35826</v>
          </cell>
          <cell r="B191">
            <v>511.25</v>
          </cell>
          <cell r="C191">
            <v>511.25</v>
          </cell>
          <cell r="E191">
            <v>118.80043999999999</v>
          </cell>
          <cell r="F191">
            <v>0.24149999999999999</v>
          </cell>
          <cell r="G191">
            <v>0.03</v>
          </cell>
          <cell r="H191">
            <v>0.27149999999999996</v>
          </cell>
        </row>
        <row r="192">
          <cell r="A192">
            <v>35854</v>
          </cell>
          <cell r="B192">
            <v>517</v>
          </cell>
          <cell r="C192">
            <v>517</v>
          </cell>
          <cell r="E192">
            <v>121.43959</v>
          </cell>
          <cell r="F192">
            <v>0.34860000000000002</v>
          </cell>
          <cell r="G192">
            <v>0.03</v>
          </cell>
          <cell r="H192">
            <v>0.37860000000000005</v>
          </cell>
        </row>
        <row r="193">
          <cell r="A193">
            <v>35885</v>
          </cell>
          <cell r="B193">
            <v>525.25</v>
          </cell>
          <cell r="C193">
            <v>525.25</v>
          </cell>
          <cell r="E193">
            <v>124.73156</v>
          </cell>
          <cell r="F193">
            <v>0.3579</v>
          </cell>
          <cell r="G193">
            <v>0.03</v>
          </cell>
          <cell r="H193">
            <v>0.38790000000000002</v>
          </cell>
        </row>
        <row r="194">
          <cell r="A194">
            <v>35915</v>
          </cell>
          <cell r="B194">
            <v>537.25</v>
          </cell>
          <cell r="C194">
            <v>537.25</v>
          </cell>
          <cell r="E194">
            <v>128.92413999999999</v>
          </cell>
          <cell r="F194">
            <v>0.36030000000000001</v>
          </cell>
          <cell r="G194">
            <v>0.03</v>
          </cell>
          <cell r="H194">
            <v>0.39029999999999998</v>
          </cell>
        </row>
        <row r="195">
          <cell r="A195">
            <v>35946</v>
          </cell>
          <cell r="B195">
            <v>538.75</v>
          </cell>
          <cell r="C195">
            <v>538.75</v>
          </cell>
          <cell r="E195">
            <v>133.09183999999999</v>
          </cell>
          <cell r="F195">
            <v>0.41420000000000001</v>
          </cell>
          <cell r="G195">
            <v>0.03</v>
          </cell>
          <cell r="H195">
            <v>0.44420000000000004</v>
          </cell>
        </row>
        <row r="196">
          <cell r="A196">
            <v>35976</v>
          </cell>
          <cell r="B196">
            <v>553.5</v>
          </cell>
          <cell r="C196">
            <v>553.5</v>
          </cell>
          <cell r="E196">
            <v>134.82937999999999</v>
          </cell>
          <cell r="F196">
            <v>0.42220000000000002</v>
          </cell>
          <cell r="G196">
            <v>0.03</v>
          </cell>
          <cell r="H196">
            <v>0.45220000000000005</v>
          </cell>
        </row>
        <row r="197">
          <cell r="A197">
            <v>36007</v>
          </cell>
          <cell r="B197">
            <v>563.5</v>
          </cell>
          <cell r="C197">
            <v>563.5</v>
          </cell>
          <cell r="E197">
            <v>137.61482000000001</v>
          </cell>
          <cell r="F197">
            <v>0.60919999999999996</v>
          </cell>
          <cell r="G197">
            <v>0.03</v>
          </cell>
          <cell r="H197">
            <v>0.63919999999999999</v>
          </cell>
        </row>
        <row r="198">
          <cell r="A198">
            <v>36038</v>
          </cell>
          <cell r="B198">
            <v>582.5</v>
          </cell>
          <cell r="C198">
            <v>582.5</v>
          </cell>
          <cell r="E198">
            <v>140.46791999999999</v>
          </cell>
          <cell r="F198">
            <v>0.56779999999999997</v>
          </cell>
          <cell r="G198">
            <v>0.03</v>
          </cell>
          <cell r="H198">
            <v>0.5978</v>
          </cell>
        </row>
        <row r="199">
          <cell r="A199">
            <v>36068</v>
          </cell>
          <cell r="B199">
            <v>576.75</v>
          </cell>
          <cell r="C199">
            <v>576.75</v>
          </cell>
          <cell r="E199">
            <v>142.96775</v>
          </cell>
          <cell r="F199">
            <v>0.72230000000000005</v>
          </cell>
          <cell r="G199">
            <v>0.03</v>
          </cell>
          <cell r="H199">
            <v>0.75230000000000008</v>
          </cell>
        </row>
        <row r="200">
          <cell r="A200">
            <v>36099</v>
          </cell>
          <cell r="B200">
            <v>569.95000000000005</v>
          </cell>
          <cell r="C200">
            <v>569.95000000000005</v>
          </cell>
          <cell r="E200">
            <v>146.47963999999999</v>
          </cell>
          <cell r="F200">
            <v>0.49609999999999999</v>
          </cell>
          <cell r="G200">
            <v>0.03</v>
          </cell>
          <cell r="H200">
            <v>0.52610000000000001</v>
          </cell>
        </row>
        <row r="201">
          <cell r="A201">
            <v>36129</v>
          </cell>
          <cell r="B201">
            <v>573.95000000000005</v>
          </cell>
          <cell r="C201">
            <v>573.95000000000005</v>
          </cell>
          <cell r="E201">
            <v>148.75157999999999</v>
          </cell>
          <cell r="F201">
            <v>0.44950000000000001</v>
          </cell>
          <cell r="G201">
            <v>0.03</v>
          </cell>
          <cell r="H201">
            <v>0.47950000000000004</v>
          </cell>
        </row>
        <row r="202">
          <cell r="A202">
            <v>36160</v>
          </cell>
          <cell r="B202">
            <v>563.5</v>
          </cell>
          <cell r="C202">
            <v>563.5</v>
          </cell>
          <cell r="E202">
            <v>151.28823</v>
          </cell>
          <cell r="F202">
            <v>0.441</v>
          </cell>
          <cell r="G202">
            <v>0.03</v>
          </cell>
          <cell r="H202">
            <v>0.47099999999999997</v>
          </cell>
        </row>
        <row r="203">
          <cell r="A203">
            <v>36191</v>
          </cell>
          <cell r="B203">
            <v>575</v>
          </cell>
          <cell r="C203">
            <v>575</v>
          </cell>
          <cell r="E203">
            <v>154.65185</v>
          </cell>
          <cell r="F203">
            <v>0.3896</v>
          </cell>
          <cell r="G203">
            <v>0.03</v>
          </cell>
          <cell r="H203">
            <v>0.41959999999999997</v>
          </cell>
        </row>
        <row r="204">
          <cell r="A204">
            <v>36219</v>
          </cell>
          <cell r="B204">
            <v>576.9</v>
          </cell>
          <cell r="C204">
            <v>576.9</v>
          </cell>
          <cell r="E204">
            <v>157.21038999999999</v>
          </cell>
          <cell r="F204">
            <v>0.39729999999999999</v>
          </cell>
          <cell r="G204">
            <v>0.03</v>
          </cell>
          <cell r="H204">
            <v>0.42730000000000001</v>
          </cell>
        </row>
        <row r="205">
          <cell r="A205">
            <v>36250</v>
          </cell>
          <cell r="B205">
            <v>584</v>
          </cell>
          <cell r="C205">
            <v>584</v>
          </cell>
          <cell r="E205">
            <v>159.16983999999999</v>
          </cell>
          <cell r="F205">
            <v>0.34379999999999999</v>
          </cell>
          <cell r="G205">
            <v>0.03</v>
          </cell>
          <cell r="H205">
            <v>0.37380000000000002</v>
          </cell>
        </row>
        <row r="206">
          <cell r="A206">
            <v>36280</v>
          </cell>
          <cell r="B206">
            <v>590.75</v>
          </cell>
          <cell r="C206">
            <v>590.75</v>
          </cell>
          <cell r="E206">
            <v>160.99894</v>
          </cell>
          <cell r="F206">
            <v>0.30280000000000001</v>
          </cell>
          <cell r="G206">
            <v>0.03</v>
          </cell>
          <cell r="H206">
            <v>0.33279999999999998</v>
          </cell>
        </row>
        <row r="207">
          <cell r="A207">
            <v>36311</v>
          </cell>
          <cell r="B207">
            <v>599.75</v>
          </cell>
          <cell r="C207">
            <v>599.75</v>
          </cell>
          <cell r="E207">
            <v>164.20133999999999</v>
          </cell>
          <cell r="F207">
            <v>0.28199999999999997</v>
          </cell>
          <cell r="G207">
            <v>0.03</v>
          </cell>
          <cell r="H207">
            <v>0.31199999999999994</v>
          </cell>
        </row>
        <row r="208">
          <cell r="A208">
            <v>36341</v>
          </cell>
          <cell r="B208">
            <v>605.25</v>
          </cell>
          <cell r="C208">
            <v>605.25</v>
          </cell>
          <cell r="E208">
            <v>166.63847000000001</v>
          </cell>
          <cell r="F208">
            <v>0.31030000000000002</v>
          </cell>
          <cell r="G208">
            <v>0.03</v>
          </cell>
          <cell r="H208">
            <v>0.34030000000000005</v>
          </cell>
        </row>
        <row r="209">
          <cell r="A209">
            <v>36372</v>
          </cell>
          <cell r="B209">
            <v>612.25</v>
          </cell>
          <cell r="C209">
            <v>612.25</v>
          </cell>
          <cell r="E209">
            <v>169.32140000000001</v>
          </cell>
          <cell r="F209">
            <v>0.3019</v>
          </cell>
          <cell r="G209">
            <v>0.03</v>
          </cell>
          <cell r="H209">
            <v>0.33189999999999997</v>
          </cell>
        </row>
        <row r="210">
          <cell r="A210">
            <v>36403</v>
          </cell>
          <cell r="B210">
            <v>619.75</v>
          </cell>
          <cell r="C210">
            <v>619.75</v>
          </cell>
          <cell r="E210">
            <v>171.78341</v>
          </cell>
          <cell r="F210">
            <v>0.29330000000000001</v>
          </cell>
          <cell r="G210">
            <v>0.03</v>
          </cell>
          <cell r="H210">
            <v>0.32330000000000003</v>
          </cell>
        </row>
        <row r="211">
          <cell r="A211">
            <v>36433</v>
          </cell>
          <cell r="B211">
            <v>628.5</v>
          </cell>
          <cell r="C211">
            <v>628.5</v>
          </cell>
          <cell r="E211">
            <v>173.25524999999999</v>
          </cell>
          <cell r="F211">
            <v>0.28699999999999998</v>
          </cell>
          <cell r="G211">
            <v>0.03</v>
          </cell>
          <cell r="H211">
            <v>0.31699999999999995</v>
          </cell>
        </row>
        <row r="212">
          <cell r="A212">
            <v>36464</v>
          </cell>
          <cell r="B212">
            <v>632.5</v>
          </cell>
          <cell r="C212">
            <v>632.5</v>
          </cell>
          <cell r="E212">
            <v>176.00783999999999</v>
          </cell>
          <cell r="F212">
            <v>0.28999999999999998</v>
          </cell>
          <cell r="G212">
            <v>0.03</v>
          </cell>
          <cell r="H212">
            <v>0.31999999999999995</v>
          </cell>
        </row>
        <row r="213">
          <cell r="A213">
            <v>36494</v>
          </cell>
          <cell r="B213">
            <v>637.75</v>
          </cell>
          <cell r="C213">
            <v>637.75</v>
          </cell>
          <cell r="E213">
            <v>178.60419999999999</v>
          </cell>
          <cell r="F213">
            <v>0.28139999999999998</v>
          </cell>
          <cell r="G213">
            <v>0.03</v>
          </cell>
          <cell r="H213">
            <v>0.31140000000000001</v>
          </cell>
        </row>
        <row r="214">
          <cell r="A214">
            <v>36525</v>
          </cell>
          <cell r="B214">
            <v>651.75</v>
          </cell>
          <cell r="C214">
            <v>651.75</v>
          </cell>
          <cell r="E214">
            <v>181.58866</v>
          </cell>
          <cell r="F214">
            <v>0.28129999999999999</v>
          </cell>
          <cell r="G214">
            <v>0.03</v>
          </cell>
          <cell r="H214">
            <v>0.31130000000000002</v>
          </cell>
        </row>
        <row r="215">
          <cell r="A215">
            <v>36556</v>
          </cell>
          <cell r="B215">
            <v>655.25</v>
          </cell>
          <cell r="C215">
            <v>655.25</v>
          </cell>
          <cell r="E215">
            <v>184.65387999999999</v>
          </cell>
          <cell r="F215">
            <v>0.29149999999999998</v>
          </cell>
          <cell r="G215">
            <v>0.03</v>
          </cell>
          <cell r="H215">
            <v>0.32150000000000001</v>
          </cell>
        </row>
        <row r="216">
          <cell r="A216">
            <v>36585</v>
          </cell>
          <cell r="B216">
            <v>661.75</v>
          </cell>
          <cell r="C216">
            <v>661.75</v>
          </cell>
          <cell r="E216">
            <v>185.38695999999999</v>
          </cell>
          <cell r="F216">
            <v>0.28970000000000001</v>
          </cell>
          <cell r="G216">
            <v>0.03</v>
          </cell>
          <cell r="H216">
            <v>0.31969999999999998</v>
          </cell>
        </row>
        <row r="217">
          <cell r="A217">
            <v>36616</v>
          </cell>
          <cell r="B217">
            <v>670</v>
          </cell>
          <cell r="C217">
            <v>670</v>
          </cell>
          <cell r="E217">
            <v>187.08696</v>
          </cell>
          <cell r="F217">
            <v>0.25140000000000001</v>
          </cell>
          <cell r="G217">
            <v>0.03</v>
          </cell>
          <cell r="H217">
            <v>0.28139999999999998</v>
          </cell>
        </row>
        <row r="218">
          <cell r="A218">
            <v>36646</v>
          </cell>
          <cell r="B218">
            <v>675</v>
          </cell>
          <cell r="C218">
            <v>675</v>
          </cell>
          <cell r="E218">
            <v>189.97183999999999</v>
          </cell>
          <cell r="F218">
            <v>0.25979999999999998</v>
          </cell>
          <cell r="G218">
            <v>0.03</v>
          </cell>
          <cell r="H218">
            <v>0.28979999999999995</v>
          </cell>
        </row>
        <row r="219">
          <cell r="A219">
            <v>36677</v>
          </cell>
          <cell r="B219">
            <v>678</v>
          </cell>
          <cell r="C219">
            <v>678</v>
          </cell>
          <cell r="E219">
            <v>191.87344999999999</v>
          </cell>
          <cell r="F219">
            <v>0.2306</v>
          </cell>
          <cell r="G219">
            <v>0.03</v>
          </cell>
          <cell r="H219">
            <v>0.2606</v>
          </cell>
        </row>
        <row r="220">
          <cell r="A220">
            <v>36707</v>
          </cell>
          <cell r="B220">
            <v>682</v>
          </cell>
          <cell r="C220">
            <v>682</v>
          </cell>
          <cell r="E220">
            <v>193.97829999999999</v>
          </cell>
          <cell r="F220">
            <v>0.26190000000000002</v>
          </cell>
          <cell r="G220">
            <v>0.03</v>
          </cell>
          <cell r="H220">
            <v>0.29190000000000005</v>
          </cell>
        </row>
        <row r="221">
          <cell r="A221">
            <v>36738</v>
          </cell>
          <cell r="B221">
            <v>687.5</v>
          </cell>
          <cell r="C221">
            <v>687.5</v>
          </cell>
          <cell r="E221">
            <v>195.97821627299999</v>
          </cell>
          <cell r="F221">
            <v>0.23419999999999999</v>
          </cell>
          <cell r="G221">
            <v>0.03</v>
          </cell>
          <cell r="H221">
            <v>0.26419999999999999</v>
          </cell>
        </row>
        <row r="222">
          <cell r="A222">
            <v>36769</v>
          </cell>
          <cell r="B222">
            <v>689.75</v>
          </cell>
          <cell r="C222">
            <v>689.75</v>
          </cell>
          <cell r="E222">
            <v>197.47744962748843</v>
          </cell>
          <cell r="F222">
            <v>0.2369</v>
          </cell>
          <cell r="G222">
            <v>0.03</v>
          </cell>
          <cell r="H222">
            <v>0.26690000000000003</v>
          </cell>
        </row>
        <row r="223">
          <cell r="A223">
            <v>36799</v>
          </cell>
          <cell r="B223">
            <v>690.75</v>
          </cell>
          <cell r="C223">
            <v>690.75</v>
          </cell>
          <cell r="E223">
            <v>200.87800999999999</v>
          </cell>
          <cell r="F223">
            <v>0.2369</v>
          </cell>
          <cell r="G223">
            <v>0.03</v>
          </cell>
          <cell r="H223">
            <v>0.26690000000000003</v>
          </cell>
        </row>
        <row r="224">
          <cell r="A224">
            <v>36830</v>
          </cell>
          <cell r="B224">
            <v>694</v>
          </cell>
          <cell r="C224">
            <v>694</v>
          </cell>
          <cell r="E224">
            <v>202.57744</v>
          </cell>
          <cell r="F224">
            <v>0.2109</v>
          </cell>
          <cell r="G224">
            <v>0.03</v>
          </cell>
          <cell r="H224">
            <v>0.2409</v>
          </cell>
        </row>
        <row r="225">
          <cell r="A225">
            <v>36860</v>
          </cell>
          <cell r="B225">
            <v>697</v>
          </cell>
          <cell r="C225">
            <v>697</v>
          </cell>
          <cell r="E225">
            <v>203.87799000000001</v>
          </cell>
          <cell r="F225">
            <v>0.2167</v>
          </cell>
          <cell r="G225">
            <v>0.03</v>
          </cell>
          <cell r="H225">
            <v>0.2467</v>
          </cell>
        </row>
        <row r="226">
          <cell r="A226">
            <v>36891</v>
          </cell>
          <cell r="B226">
            <v>700</v>
          </cell>
          <cell r="C226">
            <v>700</v>
          </cell>
          <cell r="E226">
            <v>205.97792999999999</v>
          </cell>
          <cell r="F226">
            <v>0.2198</v>
          </cell>
          <cell r="G226">
            <v>0.03</v>
          </cell>
          <cell r="H226">
            <v>0.24979999999999999</v>
          </cell>
        </row>
        <row r="227">
          <cell r="A227">
            <v>36922</v>
          </cell>
          <cell r="B227">
            <v>701</v>
          </cell>
          <cell r="C227">
            <v>701</v>
          </cell>
          <cell r="E227">
            <v>207.87004999999999</v>
          </cell>
          <cell r="F227">
            <v>0.2243</v>
          </cell>
          <cell r="G227">
            <v>0.03</v>
          </cell>
          <cell r="H227">
            <v>0.25429999999999997</v>
          </cell>
        </row>
        <row r="228">
          <cell r="A228">
            <v>36950</v>
          </cell>
          <cell r="B228">
            <v>704.75</v>
          </cell>
          <cell r="C228">
            <v>704.75</v>
          </cell>
          <cell r="E228">
            <v>208.87693999999999</v>
          </cell>
          <cell r="F228">
            <v>0.2114</v>
          </cell>
          <cell r="G228">
            <v>0.03</v>
          </cell>
          <cell r="H228">
            <v>0.2414</v>
          </cell>
        </row>
        <row r="229">
          <cell r="A229">
            <v>36981</v>
          </cell>
          <cell r="B229">
            <v>707.75</v>
          </cell>
          <cell r="C229">
            <v>707.75</v>
          </cell>
          <cell r="E229">
            <v>210.47694000000001</v>
          </cell>
          <cell r="F229">
            <v>0.2107</v>
          </cell>
          <cell r="G229">
            <v>0.03</v>
          </cell>
          <cell r="H229">
            <v>0.2407</v>
          </cell>
        </row>
        <row r="230">
          <cell r="A230">
            <v>37011</v>
          </cell>
          <cell r="B230">
            <v>712</v>
          </cell>
          <cell r="C230">
            <v>712</v>
          </cell>
          <cell r="E230">
            <v>212.87638000000001</v>
          </cell>
          <cell r="F230">
            <v>0.20019999999999999</v>
          </cell>
          <cell r="G230">
            <v>0.03</v>
          </cell>
          <cell r="H230">
            <v>0.23019999999999999</v>
          </cell>
        </row>
        <row r="231">
          <cell r="A231">
            <v>37042</v>
          </cell>
          <cell r="B231">
            <v>716.5</v>
          </cell>
          <cell r="C231">
            <v>716.5</v>
          </cell>
          <cell r="E231">
            <v>216.07590999999999</v>
          </cell>
          <cell r="F231">
            <v>0.2082</v>
          </cell>
          <cell r="G231">
            <v>0.03</v>
          </cell>
          <cell r="H231">
            <v>0.2382</v>
          </cell>
        </row>
        <row r="232">
          <cell r="A232">
            <v>37072</v>
          </cell>
          <cell r="B232">
            <v>718.75</v>
          </cell>
          <cell r="C232">
            <v>718.75</v>
          </cell>
          <cell r="E232">
            <v>218.17617000000001</v>
          </cell>
          <cell r="F232">
            <v>0.23369999999999999</v>
          </cell>
          <cell r="G232">
            <v>0.03</v>
          </cell>
          <cell r="H232">
            <v>0.26369999999999999</v>
          </cell>
        </row>
        <row r="233">
          <cell r="A233">
            <v>37103</v>
          </cell>
          <cell r="B233">
            <v>725.25</v>
          </cell>
          <cell r="C233">
            <v>725.25</v>
          </cell>
          <cell r="E233">
            <v>221.47498999999999</v>
          </cell>
          <cell r="F233">
            <v>0.2276</v>
          </cell>
          <cell r="G233">
            <v>0.03</v>
          </cell>
          <cell r="H233">
            <v>0.2576</v>
          </cell>
        </row>
        <row r="234">
          <cell r="A234">
            <v>37134</v>
          </cell>
          <cell r="B234">
            <v>737</v>
          </cell>
          <cell r="C234">
            <v>737</v>
          </cell>
          <cell r="E234">
            <v>222.87470999999999</v>
          </cell>
          <cell r="F234">
            <v>0.2487</v>
          </cell>
          <cell r="G234">
            <v>0.03</v>
          </cell>
          <cell r="H234">
            <v>0.2787</v>
          </cell>
        </row>
        <row r="235">
          <cell r="A235">
            <v>37164</v>
          </cell>
          <cell r="B235">
            <v>743</v>
          </cell>
          <cell r="C235">
            <v>743</v>
          </cell>
          <cell r="E235">
            <v>225.57372000000001</v>
          </cell>
          <cell r="F235">
            <v>0.35859999999999997</v>
          </cell>
          <cell r="G235">
            <v>0.03</v>
          </cell>
          <cell r="H235">
            <v>0.38859999999999995</v>
          </cell>
        </row>
        <row r="236">
          <cell r="A236">
            <v>37195</v>
          </cell>
          <cell r="B236">
            <v>743.75</v>
          </cell>
          <cell r="C236">
            <v>742</v>
          </cell>
          <cell r="E236">
            <v>227.57455999999999</v>
          </cell>
          <cell r="F236">
            <v>0.31309999999999999</v>
          </cell>
          <cell r="G236">
            <v>0.03</v>
          </cell>
          <cell r="H236">
            <v>0.34309999999999996</v>
          </cell>
        </row>
        <row r="237">
          <cell r="A237">
            <v>37225</v>
          </cell>
          <cell r="B237">
            <v>746.5</v>
          </cell>
          <cell r="C237">
            <v>746.5</v>
          </cell>
          <cell r="E237">
            <v>229.77520999999999</v>
          </cell>
          <cell r="F237">
            <v>0.26750000000000002</v>
          </cell>
          <cell r="G237">
            <v>0.03</v>
          </cell>
          <cell r="H237">
            <v>0.29749999999999999</v>
          </cell>
        </row>
        <row r="238">
          <cell r="A238">
            <v>37256</v>
          </cell>
          <cell r="B238">
            <v>760</v>
          </cell>
          <cell r="C238">
            <v>760</v>
          </cell>
          <cell r="E238">
            <v>231.27564000000001</v>
          </cell>
          <cell r="F238">
            <v>0.27660000000000001</v>
          </cell>
          <cell r="G238">
            <v>0.03</v>
          </cell>
          <cell r="H238">
            <v>0.30659999999999998</v>
          </cell>
        </row>
        <row r="239">
          <cell r="A239">
            <v>37272</v>
          </cell>
          <cell r="B239">
            <v>0</v>
          </cell>
          <cell r="C239">
            <v>0</v>
          </cell>
          <cell r="E239">
            <v>0</v>
          </cell>
          <cell r="F239">
            <v>0.35349999999999998</v>
          </cell>
          <cell r="G239">
            <v>0.03</v>
          </cell>
          <cell r="H239">
            <v>0.38349999999999995</v>
          </cell>
        </row>
        <row r="240">
          <cell r="A240">
            <v>37287</v>
          </cell>
          <cell r="B240">
            <v>766</v>
          </cell>
          <cell r="C240">
            <v>766</v>
          </cell>
          <cell r="E240">
            <v>233.37562</v>
          </cell>
          <cell r="F240">
            <v>0.35349999999999998</v>
          </cell>
          <cell r="G240">
            <v>1.2</v>
          </cell>
          <cell r="H240">
            <v>0.42419999999999997</v>
          </cell>
        </row>
        <row r="241">
          <cell r="A241">
            <v>37315</v>
          </cell>
          <cell r="B241">
            <v>1038.25</v>
          </cell>
          <cell r="C241">
            <v>1038.25</v>
          </cell>
          <cell r="E241">
            <v>237.57405</v>
          </cell>
          <cell r="F241">
            <v>0.53559999999999997</v>
          </cell>
          <cell r="G241">
            <v>1.2</v>
          </cell>
          <cell r="H241">
            <v>0.64271999999999996</v>
          </cell>
        </row>
        <row r="242">
          <cell r="A242">
            <v>37346</v>
          </cell>
          <cell r="B242">
            <v>894.5</v>
          </cell>
          <cell r="C242">
            <v>894.5</v>
          </cell>
          <cell r="E242">
            <v>247.57354000000001</v>
          </cell>
          <cell r="F242">
            <v>0.55840000000000001</v>
          </cell>
          <cell r="G242">
            <v>1.2</v>
          </cell>
          <cell r="H242">
            <v>0.67008000000000001</v>
          </cell>
        </row>
        <row r="243">
          <cell r="A243">
            <v>37376</v>
          </cell>
          <cell r="B243">
            <v>851.25</v>
          </cell>
          <cell r="C243">
            <v>851.25</v>
          </cell>
          <cell r="E243">
            <v>252.77258</v>
          </cell>
          <cell r="F243">
            <v>0.48459999999999998</v>
          </cell>
          <cell r="G243">
            <v>1.2</v>
          </cell>
          <cell r="H243">
            <v>0.58151999999999993</v>
          </cell>
        </row>
        <row r="244">
          <cell r="A244">
            <v>37407</v>
          </cell>
          <cell r="B244">
            <v>1132.25</v>
          </cell>
          <cell r="C244">
            <v>1132.25</v>
          </cell>
          <cell r="E244">
            <v>255.67187999999999</v>
          </cell>
          <cell r="F244">
            <v>0.38490000000000002</v>
          </cell>
          <cell r="G244">
            <v>1.2</v>
          </cell>
          <cell r="H244">
            <v>0.46188000000000001</v>
          </cell>
        </row>
        <row r="245">
          <cell r="A245">
            <v>37437</v>
          </cell>
          <cell r="B245">
            <v>1352.75</v>
          </cell>
          <cell r="C245">
            <v>1352.75</v>
          </cell>
          <cell r="E245">
            <v>260.87225000000001</v>
          </cell>
          <cell r="F245">
            <v>0.35149999999999998</v>
          </cell>
          <cell r="G245">
            <v>1.2</v>
          </cell>
          <cell r="H245">
            <v>0.42179999999999995</v>
          </cell>
        </row>
        <row r="246">
          <cell r="A246">
            <v>37468</v>
          </cell>
          <cell r="B246">
            <v>1336.5</v>
          </cell>
          <cell r="C246">
            <v>1336.5</v>
          </cell>
          <cell r="E246">
            <v>270.27148</v>
          </cell>
          <cell r="F246">
            <v>0.32800000000000001</v>
          </cell>
          <cell r="G246">
            <v>1.2</v>
          </cell>
          <cell r="H246">
            <v>0.39360000000000001</v>
          </cell>
        </row>
        <row r="247">
          <cell r="A247">
            <v>37499</v>
          </cell>
          <cell r="B247">
            <v>1415.5</v>
          </cell>
          <cell r="C247">
            <v>1415.5</v>
          </cell>
          <cell r="E247">
            <v>276.77150999999998</v>
          </cell>
          <cell r="F247">
            <v>0.30890000000000001</v>
          </cell>
          <cell r="G247">
            <v>1.2</v>
          </cell>
          <cell r="H247">
            <v>0.37068000000000001</v>
          </cell>
        </row>
        <row r="248">
          <cell r="A248">
            <v>37529</v>
          </cell>
          <cell r="B248">
            <v>1475.5</v>
          </cell>
          <cell r="C248">
            <v>1475.5</v>
          </cell>
          <cell r="E248">
            <v>289.17086999999998</v>
          </cell>
          <cell r="F248">
            <v>0.30680000000000002</v>
          </cell>
          <cell r="G248">
            <v>1.2</v>
          </cell>
          <cell r="H248">
            <v>0.36815999999999999</v>
          </cell>
        </row>
        <row r="249">
          <cell r="A249">
            <v>37560</v>
          </cell>
          <cell r="B249">
            <v>1420.25</v>
          </cell>
          <cell r="C249">
            <v>1420.25</v>
          </cell>
          <cell r="E249">
            <v>295.67142999999999</v>
          </cell>
          <cell r="F249">
            <v>0.32719999999999999</v>
          </cell>
          <cell r="G249">
            <v>1.2</v>
          </cell>
          <cell r="H249">
            <v>0.39263999999999999</v>
          </cell>
        </row>
        <row r="250">
          <cell r="A250">
            <v>37590</v>
          </cell>
          <cell r="B250">
            <v>1325</v>
          </cell>
          <cell r="C250">
            <v>1325</v>
          </cell>
          <cell r="E250">
            <v>300.36964999999998</v>
          </cell>
          <cell r="F250">
            <v>0.33079999999999998</v>
          </cell>
          <cell r="G250">
            <v>1.2</v>
          </cell>
          <cell r="H250">
            <v>0.39695999999999998</v>
          </cell>
        </row>
        <row r="251">
          <cell r="A251">
            <v>37621</v>
          </cell>
          <cell r="B251">
            <v>1403</v>
          </cell>
          <cell r="C251">
            <v>1403</v>
          </cell>
          <cell r="D251">
            <v>135.4247153</v>
          </cell>
          <cell r="E251">
            <v>303.46946000000003</v>
          </cell>
          <cell r="F251">
            <v>0.33860000000000001</v>
          </cell>
          <cell r="G251">
            <v>1.2</v>
          </cell>
          <cell r="H251">
            <v>0.40632000000000001</v>
          </cell>
        </row>
        <row r="252">
          <cell r="A252">
            <v>37652</v>
          </cell>
          <cell r="B252">
            <v>1853</v>
          </cell>
          <cell r="C252">
            <v>1853</v>
          </cell>
          <cell r="E252">
            <v>312.26704000000001</v>
          </cell>
          <cell r="F252">
            <v>0.39150000000000001</v>
          </cell>
          <cell r="G252">
            <v>1.2</v>
          </cell>
          <cell r="H252">
            <v>0.4698</v>
          </cell>
        </row>
        <row r="253">
          <cell r="A253">
            <v>37680</v>
          </cell>
          <cell r="B253">
            <v>1600</v>
          </cell>
          <cell r="C253">
            <v>1600</v>
          </cell>
          <cell r="E253">
            <v>329.46670999999998</v>
          </cell>
          <cell r="F253">
            <v>0.35630000000000001</v>
          </cell>
          <cell r="G253">
            <v>1.2</v>
          </cell>
          <cell r="H253">
            <v>0.42756</v>
          </cell>
        </row>
        <row r="254">
          <cell r="A254">
            <v>37711</v>
          </cell>
          <cell r="B254">
            <v>1600</v>
          </cell>
          <cell r="C254">
            <v>1600</v>
          </cell>
          <cell r="E254">
            <v>331.96735999999999</v>
          </cell>
          <cell r="F254">
            <v>0.3256</v>
          </cell>
          <cell r="G254">
            <v>1.2</v>
          </cell>
          <cell r="H254">
            <v>0.39072000000000001</v>
          </cell>
        </row>
        <row r="255">
          <cell r="A255">
            <v>37741</v>
          </cell>
          <cell r="B255">
            <v>1600</v>
          </cell>
          <cell r="C255">
            <v>1600</v>
          </cell>
          <cell r="E255">
            <v>337.46805999999998</v>
          </cell>
          <cell r="F255">
            <v>0.3009</v>
          </cell>
          <cell r="G255">
            <v>1.2</v>
          </cell>
          <cell r="H255">
            <v>0.36108000000000001</v>
          </cell>
        </row>
        <row r="256">
          <cell r="A256">
            <v>37772</v>
          </cell>
          <cell r="B256">
            <v>1600</v>
          </cell>
          <cell r="C256">
            <v>1600</v>
          </cell>
          <cell r="E256">
            <v>345.26695000000001</v>
          </cell>
          <cell r="F256">
            <v>0.26540000000000002</v>
          </cell>
          <cell r="G256">
            <v>1.2</v>
          </cell>
          <cell r="H256">
            <v>0.31848000000000004</v>
          </cell>
        </row>
        <row r="257">
          <cell r="A257">
            <v>37802</v>
          </cell>
          <cell r="B257">
            <v>1600</v>
          </cell>
          <cell r="C257">
            <v>1600</v>
          </cell>
          <cell r="E257">
            <v>350.06616060499999</v>
          </cell>
          <cell r="F257">
            <v>0.24049999999999999</v>
          </cell>
          <cell r="G257">
            <v>1.2</v>
          </cell>
          <cell r="H257">
            <v>0.28859999999999997</v>
          </cell>
        </row>
        <row r="258">
          <cell r="A258">
            <v>37833</v>
          </cell>
          <cell r="B258">
            <v>1600</v>
          </cell>
          <cell r="C258">
            <v>1600</v>
          </cell>
          <cell r="E258">
            <v>356.36385000000001</v>
          </cell>
          <cell r="F258">
            <v>0.2271</v>
          </cell>
          <cell r="G258">
            <v>1.2</v>
          </cell>
          <cell r="H258">
            <v>0.27251999999999998</v>
          </cell>
        </row>
        <row r="259">
          <cell r="A259">
            <v>37864</v>
          </cell>
          <cell r="B259">
            <v>1600</v>
          </cell>
          <cell r="C259">
            <v>1600</v>
          </cell>
          <cell r="E259">
            <v>360.86473000000001</v>
          </cell>
          <cell r="F259">
            <v>0.24179999999999999</v>
          </cell>
          <cell r="G259">
            <v>1.2</v>
          </cell>
          <cell r="H259">
            <v>0.29015999999999997</v>
          </cell>
        </row>
        <row r="260">
          <cell r="A260">
            <v>37894</v>
          </cell>
          <cell r="B260">
            <v>1600</v>
          </cell>
          <cell r="C260">
            <v>1600</v>
          </cell>
          <cell r="E260">
            <v>366.06479000000002</v>
          </cell>
          <cell r="F260">
            <v>0.23960000000000001</v>
          </cell>
          <cell r="G260">
            <v>1.2</v>
          </cell>
          <cell r="H260">
            <v>0.28752</v>
          </cell>
        </row>
        <row r="261">
          <cell r="A261">
            <v>37925</v>
          </cell>
          <cell r="B261">
            <v>1600</v>
          </cell>
          <cell r="C261">
            <v>1600</v>
          </cell>
          <cell r="E261">
            <v>371.66557999999998</v>
          </cell>
          <cell r="F261">
            <v>0.21879999999999999</v>
          </cell>
          <cell r="G261">
            <v>1.2</v>
          </cell>
          <cell r="H261">
            <v>0.26255999999999996</v>
          </cell>
        </row>
        <row r="262">
          <cell r="A262">
            <v>37955</v>
          </cell>
          <cell r="B262">
            <v>1600</v>
          </cell>
          <cell r="C262">
            <v>1600</v>
          </cell>
          <cell r="E262">
            <v>378.66404</v>
          </cell>
          <cell r="F262">
            <v>0.20349999999999999</v>
          </cell>
          <cell r="G262">
            <v>1.2</v>
          </cell>
          <cell r="H262">
            <v>0.24419999999999997</v>
          </cell>
        </row>
        <row r="263">
          <cell r="A263">
            <v>37986</v>
          </cell>
          <cell r="B263">
            <v>1600</v>
          </cell>
          <cell r="C263">
            <v>1600</v>
          </cell>
          <cell r="E263">
            <v>385.66174999999998</v>
          </cell>
          <cell r="F263">
            <v>0.20050000000000001</v>
          </cell>
          <cell r="G263">
            <v>1.2</v>
          </cell>
          <cell r="H263">
            <v>0.24060000000000001</v>
          </cell>
        </row>
        <row r="264">
          <cell r="A264">
            <v>38017</v>
          </cell>
          <cell r="B264">
            <v>1600</v>
          </cell>
          <cell r="C264">
            <v>1600</v>
          </cell>
          <cell r="E264">
            <v>395.36110000000002</v>
          </cell>
          <cell r="F264">
            <v>0.18909999999999999</v>
          </cell>
          <cell r="G264">
            <v>1.2</v>
          </cell>
          <cell r="H264">
            <v>0.22691999999999998</v>
          </cell>
        </row>
        <row r="265">
          <cell r="A265">
            <v>38046</v>
          </cell>
          <cell r="B265">
            <v>1920</v>
          </cell>
          <cell r="C265">
            <v>1920</v>
          </cell>
          <cell r="E265">
            <v>401.56040000000002</v>
          </cell>
          <cell r="F265">
            <v>0.187</v>
          </cell>
          <cell r="G265">
            <v>1.2</v>
          </cell>
          <cell r="H265">
            <v>0.22439999999999999</v>
          </cell>
        </row>
        <row r="266">
          <cell r="A266">
            <v>38077</v>
          </cell>
          <cell r="B266">
            <v>1920</v>
          </cell>
          <cell r="C266">
            <v>1920</v>
          </cell>
          <cell r="E266">
            <v>410.15780000000001</v>
          </cell>
          <cell r="F266">
            <v>0.17749999999999999</v>
          </cell>
          <cell r="G266">
            <v>1.2</v>
          </cell>
          <cell r="H266">
            <v>0.21299999999999999</v>
          </cell>
        </row>
        <row r="267">
          <cell r="A267">
            <v>38107</v>
          </cell>
          <cell r="B267">
            <v>1920</v>
          </cell>
          <cell r="C267">
            <v>1920</v>
          </cell>
          <cell r="E267">
            <v>415.55549000000002</v>
          </cell>
          <cell r="F267">
            <v>0.1822</v>
          </cell>
          <cell r="G267">
            <v>1.2</v>
          </cell>
          <cell r="H267">
            <v>0.21864</v>
          </cell>
        </row>
        <row r="268">
          <cell r="A268">
            <v>38138</v>
          </cell>
          <cell r="B268">
            <v>1920</v>
          </cell>
          <cell r="C268">
            <v>1920</v>
          </cell>
          <cell r="E268">
            <v>420.45488999999998</v>
          </cell>
          <cell r="F268">
            <v>0.1865</v>
          </cell>
          <cell r="G268">
            <v>1.2</v>
          </cell>
          <cell r="H268">
            <v>0.2238</v>
          </cell>
        </row>
        <row r="269">
          <cell r="A269">
            <v>38168</v>
          </cell>
          <cell r="B269">
            <v>1920</v>
          </cell>
          <cell r="C269">
            <v>1920</v>
          </cell>
          <cell r="E269">
            <v>428.25432999999998</v>
          </cell>
          <cell r="F269">
            <v>0.17910000000000001</v>
          </cell>
          <cell r="G269">
            <v>1.2</v>
          </cell>
          <cell r="H269">
            <v>0.21492</v>
          </cell>
        </row>
        <row r="270">
          <cell r="A270">
            <v>38199</v>
          </cell>
          <cell r="B270">
            <v>1920</v>
          </cell>
          <cell r="C270">
            <v>1920</v>
          </cell>
          <cell r="E270">
            <v>434.15566999999999</v>
          </cell>
          <cell r="F270">
            <v>0.17860000000000001</v>
          </cell>
          <cell r="G270">
            <v>1.2</v>
          </cell>
          <cell r="H270">
            <v>0.21432000000000001</v>
          </cell>
        </row>
        <row r="271">
          <cell r="A271">
            <v>38230</v>
          </cell>
          <cell r="B271">
            <v>1920</v>
          </cell>
          <cell r="C271">
            <v>1920</v>
          </cell>
          <cell r="E271">
            <v>439.95598999999999</v>
          </cell>
          <cell r="F271">
            <v>0.18140000000000001</v>
          </cell>
          <cell r="G271">
            <v>1.2</v>
          </cell>
          <cell r="H271">
            <v>0.21768000000000001</v>
          </cell>
        </row>
        <row r="272">
          <cell r="A272">
            <v>38260</v>
          </cell>
          <cell r="B272">
            <v>1920</v>
          </cell>
          <cell r="C272">
            <v>1920</v>
          </cell>
          <cell r="E272">
            <v>442.25695999999999</v>
          </cell>
          <cell r="F272">
            <v>0.17460000000000001</v>
          </cell>
          <cell r="G272">
            <v>1.2</v>
          </cell>
          <cell r="H272">
            <v>0.20952000000000001</v>
          </cell>
        </row>
        <row r="273">
          <cell r="A273">
            <v>38291</v>
          </cell>
          <cell r="B273">
            <v>1920</v>
          </cell>
          <cell r="C273">
            <v>1920</v>
          </cell>
          <cell r="E273">
            <v>444.95472999999998</v>
          </cell>
          <cell r="F273">
            <v>0.17899999999999999</v>
          </cell>
          <cell r="G273">
            <v>1.2</v>
          </cell>
          <cell r="H273">
            <v>0.21479999999999999</v>
          </cell>
        </row>
        <row r="274">
          <cell r="A274">
            <v>38321</v>
          </cell>
          <cell r="B274">
            <v>1920</v>
          </cell>
          <cell r="C274">
            <v>1920</v>
          </cell>
          <cell r="E274">
            <v>452.45222000000001</v>
          </cell>
          <cell r="F274">
            <v>0.16420000000000001</v>
          </cell>
          <cell r="G274">
            <v>1.2</v>
          </cell>
          <cell r="H274">
            <v>0.19704000000000002</v>
          </cell>
        </row>
        <row r="275">
          <cell r="A275">
            <v>38352</v>
          </cell>
          <cell r="B275">
            <v>1920</v>
          </cell>
          <cell r="C275">
            <v>1920</v>
          </cell>
          <cell r="E275">
            <v>459.65073000000001</v>
          </cell>
          <cell r="F275">
            <v>0.1646</v>
          </cell>
          <cell r="G275">
            <v>1.2</v>
          </cell>
          <cell r="H275">
            <v>0.19752</v>
          </cell>
        </row>
        <row r="276">
          <cell r="A276">
            <v>38383</v>
          </cell>
          <cell r="B276">
            <v>1920</v>
          </cell>
          <cell r="C276">
            <v>1920</v>
          </cell>
          <cell r="E276">
            <v>468.44844000000001</v>
          </cell>
          <cell r="F276">
            <v>0.16789999999999999</v>
          </cell>
          <cell r="G276">
            <v>1.2</v>
          </cell>
          <cell r="H276">
            <v>0.20147999999999999</v>
          </cell>
        </row>
        <row r="277">
          <cell r="A277">
            <v>38411</v>
          </cell>
          <cell r="B277">
            <v>1920</v>
          </cell>
          <cell r="C277">
            <v>1920</v>
          </cell>
          <cell r="E277">
            <v>469.24948999999998</v>
          </cell>
          <cell r="F277">
            <v>0.1694</v>
          </cell>
          <cell r="G277">
            <v>1.2</v>
          </cell>
          <cell r="H277">
            <v>0.20327999999999999</v>
          </cell>
        </row>
        <row r="278">
          <cell r="A278">
            <v>38442</v>
          </cell>
          <cell r="B278">
            <v>2150</v>
          </cell>
          <cell r="C278">
            <v>2144.6</v>
          </cell>
          <cell r="E278">
            <v>474.95087000000001</v>
          </cell>
          <cell r="F278">
            <v>0.1694</v>
          </cell>
          <cell r="G278">
            <v>1.2</v>
          </cell>
          <cell r="H278">
            <v>0.20327999999999999</v>
          </cell>
        </row>
        <row r="279">
          <cell r="A279">
            <v>38472</v>
          </cell>
          <cell r="B279">
            <v>2150</v>
          </cell>
          <cell r="C279">
            <v>2144.6</v>
          </cell>
          <cell r="E279">
            <v>480.65225000000004</v>
          </cell>
          <cell r="F279">
            <v>0.15770000000000001</v>
          </cell>
          <cell r="G279">
            <v>1.2</v>
          </cell>
          <cell r="H279">
            <v>0.18923999999999999</v>
          </cell>
        </row>
        <row r="280">
          <cell r="A280">
            <v>38503</v>
          </cell>
          <cell r="B280">
            <v>2150</v>
          </cell>
          <cell r="C280">
            <v>2144.6</v>
          </cell>
          <cell r="E280">
            <v>493.45325000000003</v>
          </cell>
          <cell r="F280">
            <v>0.1724</v>
          </cell>
          <cell r="G280">
            <v>1.2</v>
          </cell>
          <cell r="H280">
            <v>0.20687999999999998</v>
          </cell>
        </row>
        <row r="281">
          <cell r="A281">
            <v>38533</v>
          </cell>
          <cell r="B281">
            <v>2150</v>
          </cell>
          <cell r="C281">
            <v>2144.6</v>
          </cell>
          <cell r="E281">
            <v>496.25112999999999</v>
          </cell>
          <cell r="F281">
            <v>0.1724</v>
          </cell>
          <cell r="G281">
            <v>1.2</v>
          </cell>
          <cell r="H281">
            <v>0.20687999999999998</v>
          </cell>
        </row>
        <row r="282">
          <cell r="A282">
            <v>38564</v>
          </cell>
          <cell r="B282">
            <v>2150</v>
          </cell>
          <cell r="C282">
            <v>2144.6</v>
          </cell>
          <cell r="E282">
            <v>500.54865999999998</v>
          </cell>
          <cell r="F282">
            <v>0.1724</v>
          </cell>
          <cell r="G282">
            <v>1.2</v>
          </cell>
          <cell r="H282">
            <v>0.20687999999999998</v>
          </cell>
        </row>
        <row r="283">
          <cell r="A283">
            <v>38595</v>
          </cell>
          <cell r="B283">
            <v>2150</v>
          </cell>
          <cell r="C283">
            <v>2144.6</v>
          </cell>
          <cell r="E283">
            <v>505.34892000000002</v>
          </cell>
          <cell r="F283">
            <v>0.1724</v>
          </cell>
          <cell r="G283">
            <v>1.2</v>
          </cell>
          <cell r="H283">
            <v>0.20687999999999998</v>
          </cell>
        </row>
        <row r="284">
          <cell r="A284">
            <v>38625</v>
          </cell>
          <cell r="B284">
            <v>2150</v>
          </cell>
          <cell r="C284">
            <v>2144.6</v>
          </cell>
          <cell r="E284">
            <v>512.84829999999999</v>
          </cell>
          <cell r="F284">
            <v>0.1724</v>
          </cell>
          <cell r="G284">
            <v>1.2</v>
          </cell>
          <cell r="H284">
            <v>0.20687999999999998</v>
          </cell>
        </row>
        <row r="285">
          <cell r="A285">
            <v>38656</v>
          </cell>
          <cell r="B285">
            <v>2150</v>
          </cell>
          <cell r="C285">
            <v>2144.6</v>
          </cell>
          <cell r="E285">
            <v>516.04846999999995</v>
          </cell>
          <cell r="F285">
            <v>0.1724</v>
          </cell>
          <cell r="G285">
            <v>1.2</v>
          </cell>
          <cell r="H285">
            <v>0.20687999999999998</v>
          </cell>
        </row>
        <row r="286">
          <cell r="A286">
            <v>38686</v>
          </cell>
          <cell r="B286">
            <v>2150</v>
          </cell>
          <cell r="C286">
            <v>2144.6</v>
          </cell>
          <cell r="E286">
            <v>521.54954999999995</v>
          </cell>
          <cell r="F286">
            <v>0.1724</v>
          </cell>
          <cell r="G286">
            <v>1.2</v>
          </cell>
          <cell r="H286">
            <v>0.20687999999999998</v>
          </cell>
        </row>
        <row r="287">
          <cell r="A287">
            <v>38717</v>
          </cell>
          <cell r="B287">
            <v>2150</v>
          </cell>
          <cell r="C287">
            <v>2144.6</v>
          </cell>
          <cell r="E287">
            <v>525.64892999999995</v>
          </cell>
          <cell r="F287">
            <v>0.1724</v>
          </cell>
          <cell r="G287">
            <v>1.2</v>
          </cell>
          <cell r="H287">
            <v>0.20687999999999998</v>
          </cell>
        </row>
        <row r="288">
          <cell r="A288">
            <v>38748</v>
          </cell>
          <cell r="B288">
            <v>2150</v>
          </cell>
          <cell r="C288">
            <v>2144.6</v>
          </cell>
          <cell r="E288">
            <v>529.74374</v>
          </cell>
          <cell r="F288">
            <v>0.1724</v>
          </cell>
          <cell r="G288">
            <v>1.2</v>
          </cell>
          <cell r="H288">
            <v>0.20687999999999998</v>
          </cell>
        </row>
        <row r="289">
          <cell r="A289">
            <v>38776</v>
          </cell>
          <cell r="B289">
            <v>2150</v>
          </cell>
          <cell r="C289">
            <v>2144.6</v>
          </cell>
          <cell r="E289">
            <v>527.84195999999997</v>
          </cell>
          <cell r="F289">
            <v>0.1724</v>
          </cell>
          <cell r="G289">
            <v>1.2</v>
          </cell>
          <cell r="H289">
            <v>0.20687999999999998</v>
          </cell>
        </row>
        <row r="290">
          <cell r="A290">
            <v>38807</v>
          </cell>
          <cell r="B290">
            <v>2150</v>
          </cell>
          <cell r="C290">
            <v>2144.6</v>
          </cell>
          <cell r="E290">
            <v>532.64004</v>
          </cell>
          <cell r="F290">
            <v>0.1724</v>
          </cell>
          <cell r="G290">
            <v>1.2</v>
          </cell>
          <cell r="H290">
            <v>0.20687999999999998</v>
          </cell>
        </row>
        <row r="291">
          <cell r="A291">
            <v>38837</v>
          </cell>
          <cell r="B291">
            <v>2150</v>
          </cell>
          <cell r="C291">
            <v>2144.6</v>
          </cell>
          <cell r="E291">
            <v>535.94241</v>
          </cell>
          <cell r="F291">
            <v>0.1724</v>
          </cell>
          <cell r="G291">
            <v>1.2</v>
          </cell>
          <cell r="H291">
            <v>0.20687999999999998</v>
          </cell>
        </row>
        <row r="292">
          <cell r="A292">
            <v>38868</v>
          </cell>
          <cell r="B292">
            <v>2150</v>
          </cell>
          <cell r="C292">
            <v>2144.6</v>
          </cell>
          <cell r="E292">
            <v>544.64076</v>
          </cell>
          <cell r="F292">
            <v>0.1724</v>
          </cell>
          <cell r="G292">
            <v>1.2</v>
          </cell>
          <cell r="H292">
            <v>0.20687999999999998</v>
          </cell>
        </row>
        <row r="293">
          <cell r="A293">
            <v>38898</v>
          </cell>
          <cell r="B293">
            <v>2150</v>
          </cell>
          <cell r="C293">
            <v>2144.6</v>
          </cell>
          <cell r="E293">
            <v>554.73839999999996</v>
          </cell>
          <cell r="F293">
            <v>0.1724</v>
          </cell>
          <cell r="G293">
            <v>1.2</v>
          </cell>
          <cell r="H293">
            <v>0.20687999999999998</v>
          </cell>
        </row>
        <row r="294">
          <cell r="A294">
            <v>38929</v>
          </cell>
          <cell r="B294">
            <v>2150</v>
          </cell>
          <cell r="C294">
            <v>2144.6</v>
          </cell>
          <cell r="E294">
            <v>568.03548000000001</v>
          </cell>
          <cell r="F294">
            <v>0.1724</v>
          </cell>
          <cell r="G294">
            <v>1.2</v>
          </cell>
          <cell r="H294">
            <v>0.20687999999999998</v>
          </cell>
        </row>
        <row r="295">
          <cell r="A295">
            <v>38960</v>
          </cell>
          <cell r="B295">
            <v>2150</v>
          </cell>
          <cell r="C295">
            <v>2144.6</v>
          </cell>
          <cell r="E295">
            <v>580.53225999999995</v>
          </cell>
          <cell r="F295">
            <v>0.1724</v>
          </cell>
          <cell r="G295">
            <v>1.2</v>
          </cell>
        </row>
        <row r="296">
          <cell r="A296">
            <v>38990</v>
          </cell>
          <cell r="B296">
            <v>2150</v>
          </cell>
          <cell r="C296">
            <v>2144.6</v>
          </cell>
        </row>
        <row r="297">
          <cell r="A297">
            <v>39021</v>
          </cell>
          <cell r="B297">
            <v>2150</v>
          </cell>
          <cell r="C297">
            <v>2144.6</v>
          </cell>
        </row>
        <row r="298">
          <cell r="A298">
            <v>39051</v>
          </cell>
          <cell r="B298">
            <v>2150</v>
          </cell>
          <cell r="C298">
            <v>2144.6</v>
          </cell>
        </row>
        <row r="299">
          <cell r="A299">
            <v>39082</v>
          </cell>
          <cell r="B299">
            <v>2150</v>
          </cell>
          <cell r="C299">
            <v>2144.6</v>
          </cell>
        </row>
        <row r="300">
          <cell r="A300">
            <v>39113</v>
          </cell>
          <cell r="B300">
            <v>2150</v>
          </cell>
          <cell r="C300">
            <v>2144.6</v>
          </cell>
        </row>
        <row r="301">
          <cell r="A301">
            <v>39141</v>
          </cell>
          <cell r="B301">
            <v>2150</v>
          </cell>
          <cell r="C301">
            <v>2144.6</v>
          </cell>
        </row>
        <row r="302">
          <cell r="A302">
            <v>39172</v>
          </cell>
          <cell r="B302">
            <v>2150</v>
          </cell>
          <cell r="C302">
            <v>2144.6</v>
          </cell>
        </row>
        <row r="303">
          <cell r="A303">
            <v>39202</v>
          </cell>
          <cell r="B303">
            <v>2150</v>
          </cell>
          <cell r="C303">
            <v>2144.6</v>
          </cell>
        </row>
        <row r="304">
          <cell r="A304">
            <v>39233</v>
          </cell>
          <cell r="B304">
            <v>2150</v>
          </cell>
          <cell r="C304">
            <v>2144.6</v>
          </cell>
        </row>
        <row r="305">
          <cell r="A305">
            <v>39263</v>
          </cell>
          <cell r="B305">
            <v>2150</v>
          </cell>
          <cell r="C305">
            <v>2144.6</v>
          </cell>
        </row>
        <row r="306">
          <cell r="A306">
            <v>39294</v>
          </cell>
          <cell r="B306">
            <v>2150</v>
          </cell>
          <cell r="C306">
            <v>2144.6</v>
          </cell>
        </row>
        <row r="307">
          <cell r="A307">
            <v>39325</v>
          </cell>
          <cell r="B307">
            <v>2150</v>
          </cell>
          <cell r="C307">
            <v>2144.6</v>
          </cell>
        </row>
        <row r="308">
          <cell r="A308">
            <v>39355</v>
          </cell>
          <cell r="B308">
            <v>2150</v>
          </cell>
          <cell r="C308">
            <v>2144.6</v>
          </cell>
        </row>
        <row r="309">
          <cell r="A309">
            <v>39386</v>
          </cell>
          <cell r="B309">
            <v>2150</v>
          </cell>
          <cell r="C309">
            <v>2144.6</v>
          </cell>
        </row>
        <row r="310">
          <cell r="A310">
            <v>39416</v>
          </cell>
          <cell r="B310">
            <v>2150</v>
          </cell>
          <cell r="C310">
            <v>2144.6</v>
          </cell>
        </row>
        <row r="311">
          <cell r="A311">
            <v>39447</v>
          </cell>
          <cell r="B311">
            <v>2150</v>
          </cell>
          <cell r="C311">
            <v>2144.6</v>
          </cell>
        </row>
        <row r="312">
          <cell r="A312">
            <v>39478</v>
          </cell>
          <cell r="B312">
            <v>2150</v>
          </cell>
          <cell r="C312">
            <v>2144.6</v>
          </cell>
        </row>
        <row r="315">
          <cell r="A315" t="str">
            <v>AT-002</v>
          </cell>
          <cell r="B315" t="str">
            <v>KATCON, S.A. DE C.V. - ASISTENCIA TÉCNICA</v>
          </cell>
        </row>
        <row r="316">
          <cell r="A316" t="str">
            <v>AT-003</v>
          </cell>
          <cell r="B316" t="str">
            <v>ASESORÍA Y SERVICIOS INTEGRALES DE MANUFACTURA, S.A. DE C.V.</v>
          </cell>
        </row>
        <row r="317">
          <cell r="A317" t="str">
            <v>AT-004</v>
          </cell>
          <cell r="B317" t="str">
            <v>DELPHI AUTOMOTIVE SYSTEMS</v>
          </cell>
        </row>
        <row r="318">
          <cell r="A318" t="str">
            <v>AT-005</v>
          </cell>
          <cell r="B318" t="str">
            <v>SANKEI GIKEN</v>
          </cell>
        </row>
        <row r="319">
          <cell r="A319" t="str">
            <v>AT-006</v>
          </cell>
          <cell r="B319" t="str">
            <v>JOURARD INTERNATIONAL</v>
          </cell>
        </row>
        <row r="320">
          <cell r="A320" t="str">
            <v>PI-001</v>
          </cell>
          <cell r="B320" t="str">
            <v>KATCON, S.A. DE C.V. - PROVEEDOR</v>
          </cell>
        </row>
        <row r="321">
          <cell r="A321" t="str">
            <v>PI-002</v>
          </cell>
          <cell r="B321" t="str">
            <v>KATCON, S.A. DE C.V. - HOLDING</v>
          </cell>
        </row>
        <row r="322">
          <cell r="A322" t="str">
            <v>PI-003</v>
          </cell>
          <cell r="B322" t="str">
            <v>KATCON, S.A. DE C.V. - HOLDING - DIVIDENDOS</v>
          </cell>
        </row>
        <row r="323">
          <cell r="A323" t="str">
            <v>CI-001</v>
          </cell>
          <cell r="B323" t="str">
            <v>KATCON, S.A. DE C.V. - CLIENTE</v>
          </cell>
        </row>
        <row r="324">
          <cell r="A324" t="str">
            <v>CI-002</v>
          </cell>
        </row>
        <row r="325">
          <cell r="A325" t="str">
            <v>CI-003</v>
          </cell>
        </row>
        <row r="326">
          <cell r="A326" t="str">
            <v>PE-001</v>
          </cell>
          <cell r="B326" t="str">
            <v>Cocarga, S.A. DE C.V.</v>
          </cell>
        </row>
        <row r="327">
          <cell r="A327" t="str">
            <v>PE-002</v>
          </cell>
          <cell r="B327" t="str">
            <v>Engelhard</v>
          </cell>
        </row>
        <row r="328">
          <cell r="A328" t="str">
            <v>PE-003</v>
          </cell>
          <cell r="B328" t="str">
            <v>Suzuki</v>
          </cell>
        </row>
        <row r="329">
          <cell r="A329" t="str">
            <v>PE-004</v>
          </cell>
          <cell r="B329" t="str">
            <v>Cotecna Inspección</v>
          </cell>
        </row>
        <row r="330">
          <cell r="A330" t="str">
            <v>PE-007</v>
          </cell>
          <cell r="B330" t="str">
            <v>Johnson Matthey Argentina, S.A.</v>
          </cell>
        </row>
        <row r="331">
          <cell r="A331" t="str">
            <v>CxC001</v>
          </cell>
          <cell r="B331" t="str">
            <v>General Motors</v>
          </cell>
        </row>
        <row r="332">
          <cell r="A332" t="str">
            <v>CxC002</v>
          </cell>
          <cell r="B332" t="str">
            <v>Servicios Industriales Técnicos, S.A. "SERVINTEC"</v>
          </cell>
        </row>
        <row r="333">
          <cell r="A333" t="str">
            <v>CxC003</v>
          </cell>
          <cell r="B333" t="str">
            <v>Industria Vetusil, C.A.</v>
          </cell>
        </row>
        <row r="334">
          <cell r="A334" t="str">
            <v>CxC004</v>
          </cell>
          <cell r="B334">
            <v>0</v>
          </cell>
        </row>
        <row r="335">
          <cell r="A335" t="str">
            <v>CxC005</v>
          </cell>
          <cell r="B335" t="str">
            <v>Gabriel de Venezuela, C.A.</v>
          </cell>
        </row>
        <row r="336">
          <cell r="A336" t="str">
            <v>CxC006</v>
          </cell>
          <cell r="B336" t="str">
            <v>Industrias Doker, S.A.</v>
          </cell>
        </row>
        <row r="337">
          <cell r="A337" t="str">
            <v>CxC007</v>
          </cell>
          <cell r="B337" t="str">
            <v>Comercial Unisol, C.A.</v>
          </cell>
        </row>
        <row r="338">
          <cell r="A338" t="str">
            <v>CxC008</v>
          </cell>
          <cell r="B338" t="str">
            <v>Agencia de Viajes y Turismo Gaviota</v>
          </cell>
        </row>
        <row r="339">
          <cell r="A339" t="str">
            <v>CxC009</v>
          </cell>
          <cell r="B339" t="str">
            <v>El centro del Silenciador</v>
          </cell>
        </row>
        <row r="341">
          <cell r="A341" t="str">
            <v>CxC999</v>
          </cell>
          <cell r="B341" t="str">
            <v>Clientes varios</v>
          </cell>
        </row>
        <row r="342">
          <cell r="A342" t="str">
            <v>E-001</v>
          </cell>
          <cell r="B342" t="str">
            <v>Servicios Industriales Técnicos, S.A. "SERVINTEC"</v>
          </cell>
        </row>
        <row r="343">
          <cell r="A343" t="str">
            <v>PN-001</v>
          </cell>
          <cell r="B343" t="str">
            <v>Praxair Venezuela, S.A.</v>
          </cell>
        </row>
        <row r="344">
          <cell r="A344" t="str">
            <v>PN-004</v>
          </cell>
          <cell r="B344" t="str">
            <v>F. Stanzione, S.A.</v>
          </cell>
        </row>
        <row r="345">
          <cell r="A345" t="str">
            <v>PN-007</v>
          </cell>
          <cell r="B345" t="str">
            <v>Industria Vetusil, C.A.</v>
          </cell>
        </row>
        <row r="346">
          <cell r="A346" t="str">
            <v>PN-008</v>
          </cell>
          <cell r="B346" t="str">
            <v>Calidad Total, S.R.L.</v>
          </cell>
        </row>
        <row r="347">
          <cell r="A347" t="str">
            <v>PN-015</v>
          </cell>
          <cell r="B347" t="str">
            <v>UPS SCS Venezuela</v>
          </cell>
        </row>
        <row r="348">
          <cell r="A348" t="str">
            <v>PN-022</v>
          </cell>
          <cell r="B348" t="str">
            <v>Warehouse Inversiones, C.A.</v>
          </cell>
        </row>
        <row r="349">
          <cell r="A349" t="str">
            <v>PN-034</v>
          </cell>
          <cell r="B349" t="str">
            <v>KPMG</v>
          </cell>
        </row>
        <row r="350">
          <cell r="A350" t="str">
            <v>PN-039</v>
          </cell>
          <cell r="B350" t="str">
            <v>Sutesolca, C.A.</v>
          </cell>
        </row>
        <row r="351">
          <cell r="A351" t="str">
            <v>PN-045</v>
          </cell>
          <cell r="B351" t="str">
            <v>Corgreen Systems, C.A.</v>
          </cell>
        </row>
        <row r="352">
          <cell r="A352" t="str">
            <v>PN-047</v>
          </cell>
          <cell r="B352" t="str">
            <v>ADS Telefonía Digital, C.A.</v>
          </cell>
        </row>
        <row r="353">
          <cell r="A353" t="str">
            <v>PN-048</v>
          </cell>
          <cell r="B353" t="str">
            <v>Corporación MCM, C.A.</v>
          </cell>
        </row>
        <row r="354">
          <cell r="A354" t="str">
            <v>PN-049</v>
          </cell>
          <cell r="B354" t="str">
            <v>Multicarga, C.A.</v>
          </cell>
        </row>
        <row r="355">
          <cell r="A355" t="str">
            <v>PN-050</v>
          </cell>
          <cell r="B355" t="str">
            <v>Entra, C.A.</v>
          </cell>
        </row>
        <row r="356">
          <cell r="A356" t="str">
            <v>PN-053</v>
          </cell>
          <cell r="B356" t="str">
            <v>Servotex, C.A.</v>
          </cell>
        </row>
        <row r="357">
          <cell r="A357" t="str">
            <v>PN-054</v>
          </cell>
          <cell r="B357" t="str">
            <v>JRL Servicios Integrales</v>
          </cell>
        </row>
        <row r="358">
          <cell r="A358" t="str">
            <v>PN-055</v>
          </cell>
          <cell r="B358" t="str">
            <v>Repriveca, C.A.</v>
          </cell>
        </row>
        <row r="359">
          <cell r="A359" t="str">
            <v>PN-056</v>
          </cell>
          <cell r="B359" t="str">
            <v>Multiservicios Hidraúlicos</v>
          </cell>
        </row>
        <row r="360">
          <cell r="A360" t="str">
            <v>PN-057</v>
          </cell>
          <cell r="B360" t="str">
            <v>Fletes Pinbel</v>
          </cell>
        </row>
        <row r="361">
          <cell r="A361" t="str">
            <v>PN-058</v>
          </cell>
          <cell r="B361" t="str">
            <v>Continental Cargo, C.A.</v>
          </cell>
        </row>
        <row r="362">
          <cell r="A362" t="str">
            <v>PN-104</v>
          </cell>
          <cell r="B362" t="str">
            <v>Panalpina, C.A.</v>
          </cell>
        </row>
        <row r="363">
          <cell r="A363" t="str">
            <v>PN-106</v>
          </cell>
          <cell r="B363" t="str">
            <v>Inversiones de seguridad industral</v>
          </cell>
        </row>
        <row r="364">
          <cell r="A364" t="str">
            <v>PN-107</v>
          </cell>
          <cell r="B364" t="str">
            <v>Servolox, C.A.</v>
          </cell>
        </row>
        <row r="365">
          <cell r="A365" t="str">
            <v>PN-108</v>
          </cell>
          <cell r="B365" t="str">
            <v>Comercial Unisol, C.A.</v>
          </cell>
        </row>
        <row r="366">
          <cell r="A366" t="str">
            <v>PN-109</v>
          </cell>
          <cell r="B366" t="str">
            <v>Solinfo Soluciones Integrales</v>
          </cell>
        </row>
        <row r="367">
          <cell r="A367" t="str">
            <v>PN-110</v>
          </cell>
          <cell r="B367" t="str">
            <v>Villalba, Morales Rueda &amp; Asociados</v>
          </cell>
        </row>
        <row r="368">
          <cell r="A368" t="str">
            <v>PN-111</v>
          </cell>
        </row>
        <row r="369">
          <cell r="A369" t="str">
            <v>PN-999</v>
          </cell>
          <cell r="B369" t="str">
            <v>Proveedores varios</v>
          </cell>
        </row>
        <row r="370">
          <cell r="A370" t="str">
            <v>CXCA-001</v>
          </cell>
          <cell r="B370" t="str">
            <v>Martínez Di Franco &amp; Asociados</v>
          </cell>
        </row>
        <row r="371">
          <cell r="A371" t="str">
            <v>CXCA-003</v>
          </cell>
          <cell r="B371" t="str">
            <v>Escritorio Villalba &amp; Asociados</v>
          </cell>
        </row>
        <row r="372">
          <cell r="A372" t="str">
            <v>CXCA-004</v>
          </cell>
          <cell r="B372" t="str">
            <v>Industria Vetusil, C.A.</v>
          </cell>
        </row>
        <row r="373">
          <cell r="A373" t="str">
            <v>CXCA-006</v>
          </cell>
          <cell r="B373" t="str">
            <v>F. Stanzione, S.A.</v>
          </cell>
        </row>
        <row r="374">
          <cell r="A374" t="str">
            <v>CXCA-010</v>
          </cell>
          <cell r="B374" t="str">
            <v>Cooperativa Quizancars, R.L.</v>
          </cell>
        </row>
        <row r="375">
          <cell r="A375" t="str">
            <v>CXCA-011</v>
          </cell>
          <cell r="B375" t="str">
            <v>Transporte Mi Carga, C.A.</v>
          </cell>
        </row>
        <row r="376">
          <cell r="A376" t="str">
            <v>CXCA-020</v>
          </cell>
          <cell r="B376" t="str">
            <v>Lia Tortolero</v>
          </cell>
        </row>
        <row r="377">
          <cell r="A377" t="str">
            <v>CXCA-030</v>
          </cell>
          <cell r="B377" t="str">
            <v>Danzas Venezolanas</v>
          </cell>
        </row>
        <row r="378">
          <cell r="A378" t="str">
            <v>CXCA-031</v>
          </cell>
          <cell r="B378" t="str">
            <v>Inversiones de Seguridad Industrial, C.A.</v>
          </cell>
        </row>
        <row r="379">
          <cell r="A379" t="str">
            <v>CXCA-032</v>
          </cell>
          <cell r="B379" t="str">
            <v>Cotecna Inspección</v>
          </cell>
        </row>
        <row r="380">
          <cell r="A380" t="str">
            <v>CXCA-033</v>
          </cell>
          <cell r="B380" t="str">
            <v>Francisco Jumenez</v>
          </cell>
        </row>
        <row r="381">
          <cell r="A381" t="str">
            <v>CXCA-034</v>
          </cell>
          <cell r="B381" t="str">
            <v>Intertek Internacional Limited</v>
          </cell>
        </row>
        <row r="382">
          <cell r="A382" t="str">
            <v>CXCA-047</v>
          </cell>
          <cell r="B382" t="str">
            <v>ADS Telefonía Digital, C.A.</v>
          </cell>
        </row>
        <row r="383">
          <cell r="A383" t="str">
            <v>CXCA-050</v>
          </cell>
          <cell r="B383" t="str">
            <v>Entra, C.A.</v>
          </cell>
        </row>
        <row r="384">
          <cell r="A384" t="str">
            <v>CXCA-051</v>
          </cell>
          <cell r="B384" t="str">
            <v>Repuestos Feliz y Bolívar</v>
          </cell>
        </row>
        <row r="385">
          <cell r="A385" t="str">
            <v>CXCA-053</v>
          </cell>
          <cell r="B385" t="str">
            <v>Fletes Pinbel</v>
          </cell>
        </row>
        <row r="386">
          <cell r="A386" t="str">
            <v>CXCA-054</v>
          </cell>
          <cell r="B386" t="str">
            <v>Servotex, C.A.</v>
          </cell>
        </row>
        <row r="387">
          <cell r="A387" t="str">
            <v>CXCA-099</v>
          </cell>
          <cell r="B387" t="str">
            <v>Otras cuentas por cobrar</v>
          </cell>
        </row>
        <row r="388">
          <cell r="A388" t="str">
            <v>CXCA-100</v>
          </cell>
          <cell r="B388" t="str">
            <v>Eva Maite Benavides</v>
          </cell>
        </row>
        <row r="389">
          <cell r="A389" t="str">
            <v>CXCA-101</v>
          </cell>
          <cell r="B389" t="str">
            <v>Sumimeca</v>
          </cell>
        </row>
        <row r="390">
          <cell r="A390" t="str">
            <v>CXCA-102</v>
          </cell>
          <cell r="B390" t="str">
            <v>Continental Cargo, C.A.</v>
          </cell>
        </row>
        <row r="391">
          <cell r="A391" t="str">
            <v>CXCA-103</v>
          </cell>
          <cell r="B391" t="str">
            <v>Repriveca, C.A.</v>
          </cell>
        </row>
        <row r="392">
          <cell r="A392" t="str">
            <v>CXCA-104</v>
          </cell>
          <cell r="B392" t="str">
            <v>Panalpina, C.A.</v>
          </cell>
        </row>
        <row r="393">
          <cell r="A393" t="str">
            <v>CXCA-106</v>
          </cell>
          <cell r="B393" t="str">
            <v>J.R.L. Servicios Integrales, S.R.L.</v>
          </cell>
        </row>
        <row r="394">
          <cell r="A394" t="str">
            <v>CXCA-107</v>
          </cell>
          <cell r="B394" t="str">
            <v>Adiven, C.A.</v>
          </cell>
        </row>
        <row r="395">
          <cell r="A395" t="str">
            <v>CXCA-108</v>
          </cell>
          <cell r="B395" t="str">
            <v>Soluciones Integrales de Información, C.A.</v>
          </cell>
        </row>
        <row r="396">
          <cell r="A396" t="str">
            <v>CXCA-109</v>
          </cell>
          <cell r="B396" t="str">
            <v>Carpinteria Flores, C.A.</v>
          </cell>
        </row>
        <row r="397">
          <cell r="A397" t="str">
            <v>CXCA-110</v>
          </cell>
          <cell r="B397" t="str">
            <v>Video Wer, C.A.</v>
          </cell>
        </row>
        <row r="398">
          <cell r="A398" t="str">
            <v>CXCA-111</v>
          </cell>
        </row>
        <row r="399">
          <cell r="A399" t="str">
            <v>OCXP-001</v>
          </cell>
          <cell r="B399" t="str">
            <v>KPMG</v>
          </cell>
        </row>
        <row r="400">
          <cell r="A400" t="str">
            <v>OCXP-004</v>
          </cell>
          <cell r="B400" t="str">
            <v>Fernando Turner</v>
          </cell>
        </row>
        <row r="401">
          <cell r="A401" t="str">
            <v>OCXP-005</v>
          </cell>
          <cell r="B401" t="str">
            <v>Martínez Di Franco &amp; Asociados</v>
          </cell>
        </row>
        <row r="402">
          <cell r="A402" t="str">
            <v>OCXP-008</v>
          </cell>
          <cell r="B402" t="str">
            <v>Guillermo Sepúlveda</v>
          </cell>
        </row>
        <row r="403">
          <cell r="A403" t="str">
            <v>OCXP-009</v>
          </cell>
          <cell r="B403" t="str">
            <v>Proyectos GSG</v>
          </cell>
        </row>
        <row r="404">
          <cell r="A404" t="str">
            <v>OCXP-010</v>
          </cell>
          <cell r="B404" t="str">
            <v>Eva Maite Beavides</v>
          </cell>
        </row>
        <row r="405">
          <cell r="A405" t="str">
            <v>OCXP-099</v>
          </cell>
          <cell r="B405" t="str">
            <v>Otras cuentas por pagar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1">
          <cell r="C1" t="str">
            <v>SPRADLING VENEZUELA, C.A.</v>
          </cell>
        </row>
        <row r="2">
          <cell r="C2" t="str">
            <v>ACTIVOS FIJOS</v>
          </cell>
        </row>
        <row r="3">
          <cell r="C3">
            <v>39113</v>
          </cell>
        </row>
        <row r="4">
          <cell r="C4" t="str">
            <v>T.C.</v>
          </cell>
          <cell r="D4">
            <v>2150</v>
          </cell>
        </row>
        <row r="5">
          <cell r="C5" t="str">
            <v>IPC:</v>
          </cell>
          <cell r="D5">
            <v>0</v>
          </cell>
        </row>
        <row r="6">
          <cell r="C6">
            <v>1</v>
          </cell>
          <cell r="D6">
            <v>2</v>
          </cell>
          <cell r="E6">
            <v>3</v>
          </cell>
          <cell r="F6">
            <v>4</v>
          </cell>
          <cell r="G6">
            <v>5</v>
          </cell>
          <cell r="H6">
            <v>6</v>
          </cell>
          <cell r="I6">
            <v>7</v>
          </cell>
          <cell r="J6">
            <v>8</v>
          </cell>
          <cell r="K6">
            <v>9</v>
          </cell>
          <cell r="L6">
            <v>10</v>
          </cell>
          <cell r="M6">
            <v>11</v>
          </cell>
          <cell r="N6">
            <v>12</v>
          </cell>
          <cell r="O6">
            <v>13</v>
          </cell>
          <cell r="P6">
            <v>14</v>
          </cell>
          <cell r="Q6">
            <v>15</v>
          </cell>
          <cell r="R6">
            <v>16</v>
          </cell>
          <cell r="S6">
            <v>17</v>
          </cell>
          <cell r="T6">
            <v>18</v>
          </cell>
          <cell r="U6">
            <v>19</v>
          </cell>
          <cell r="V6">
            <v>20</v>
          </cell>
          <cell r="W6">
            <v>21</v>
          </cell>
          <cell r="X6">
            <v>22</v>
          </cell>
          <cell r="Y6">
            <v>23</v>
          </cell>
          <cell r="Z6">
            <v>24</v>
          </cell>
          <cell r="AA6">
            <v>25</v>
          </cell>
        </row>
        <row r="7">
          <cell r="G7" t="str">
            <v>B o l í v a r e s</v>
          </cell>
          <cell r="R7" t="str">
            <v>U S $</v>
          </cell>
        </row>
        <row r="8">
          <cell r="D8" t="str">
            <v>Fecha</v>
          </cell>
          <cell r="E8" t="str">
            <v>Fecha</v>
          </cell>
          <cell r="F8" t="str">
            <v>V.U.</v>
          </cell>
          <cell r="G8" t="str">
            <v>Costo de</v>
          </cell>
          <cell r="H8" t="str">
            <v>Ejercicio</v>
          </cell>
          <cell r="J8" t="str">
            <v>Activo</v>
          </cell>
          <cell r="K8" t="str">
            <v>Depreciación</v>
          </cell>
          <cell r="L8" t="str">
            <v>Alícuota</v>
          </cell>
          <cell r="M8" t="str">
            <v>Depreciación</v>
          </cell>
          <cell r="N8" t="str">
            <v>Retiros y/o</v>
          </cell>
          <cell r="O8" t="str">
            <v>Depreciación</v>
          </cell>
          <cell r="P8" t="str">
            <v>Valor</v>
          </cell>
          <cell r="Q8" t="str">
            <v>T.C.</v>
          </cell>
          <cell r="R8" t="str">
            <v>Costo de</v>
          </cell>
          <cell r="S8" t="str">
            <v>Ejercicio</v>
          </cell>
          <cell r="U8" t="str">
            <v>Activo</v>
          </cell>
          <cell r="V8" t="str">
            <v>Depreciación</v>
          </cell>
          <cell r="W8" t="str">
            <v>Alícuota</v>
          </cell>
          <cell r="X8" t="str">
            <v>Depreciación</v>
          </cell>
          <cell r="Y8" t="str">
            <v>Retiros y/o</v>
          </cell>
          <cell r="Z8" t="str">
            <v>Depreciación</v>
          </cell>
          <cell r="AA8" t="str">
            <v>Valor</v>
          </cell>
        </row>
        <row r="9">
          <cell r="D9" t="str">
            <v>adquisición</v>
          </cell>
          <cell r="E9" t="str">
            <v>inicio</v>
          </cell>
          <cell r="G9" t="str">
            <v>adquisición</v>
          </cell>
          <cell r="H9" t="str">
            <v>Adiciones</v>
          </cell>
          <cell r="I9" t="str">
            <v>Retiros</v>
          </cell>
          <cell r="J9" t="str">
            <v>Neto</v>
          </cell>
          <cell r="K9" t="str">
            <v>acumulada</v>
          </cell>
          <cell r="L9" t="str">
            <v>mensual</v>
          </cell>
          <cell r="M9" t="str">
            <v>del ejercicio</v>
          </cell>
          <cell r="N9" t="str">
            <v>ajustes</v>
          </cell>
          <cell r="O9" t="str">
            <v>acumulada</v>
          </cell>
          <cell r="P9" t="str">
            <v>Neto</v>
          </cell>
          <cell r="R9" t="str">
            <v>adquisición</v>
          </cell>
          <cell r="S9" t="str">
            <v>Adiciones</v>
          </cell>
          <cell r="T9" t="str">
            <v>Retiros</v>
          </cell>
          <cell r="U9" t="str">
            <v>Neto</v>
          </cell>
          <cell r="V9" t="str">
            <v>acumulada</v>
          </cell>
          <cell r="W9" t="str">
            <v>mensual</v>
          </cell>
          <cell r="X9" t="str">
            <v>del ejercicio</v>
          </cell>
          <cell r="Y9" t="str">
            <v>ajustes</v>
          </cell>
          <cell r="Z9" t="str">
            <v>acumulada</v>
          </cell>
          <cell r="AA9" t="str">
            <v>Neto</v>
          </cell>
        </row>
        <row r="10">
          <cell r="C10" t="str">
            <v xml:space="preserve"> </v>
          </cell>
          <cell r="E10" t="str">
            <v>deprec.</v>
          </cell>
          <cell r="G10" t="str">
            <v>inicial</v>
          </cell>
          <cell r="K10" t="str">
            <v>inicial</v>
          </cell>
          <cell r="N10" t="str">
            <v>depreciación</v>
          </cell>
          <cell r="O10">
            <v>39113</v>
          </cell>
          <cell r="R10" t="str">
            <v>inicial</v>
          </cell>
          <cell r="V10" t="str">
            <v>inicial</v>
          </cell>
          <cell r="Y10" t="str">
            <v>depreciación</v>
          </cell>
          <cell r="Z10">
            <v>39113</v>
          </cell>
        </row>
        <row r="11">
          <cell r="C11" t="str">
            <v>activo</v>
          </cell>
          <cell r="D11" t="str">
            <v>fechaadq</v>
          </cell>
          <cell r="E11" t="str">
            <v>fecchaorigdep</v>
          </cell>
          <cell r="F11" t="str">
            <v>vu</v>
          </cell>
          <cell r="G11" t="str">
            <v>costobs</v>
          </cell>
          <cell r="H11" t="str">
            <v>adicionbs</v>
          </cell>
          <cell r="I11" t="str">
            <v>retirobs</v>
          </cell>
          <cell r="J11" t="str">
            <v>costonetobs</v>
          </cell>
          <cell r="K11" t="str">
            <v>depinicbs</v>
          </cell>
          <cell r="L11" t="str">
            <v>alicuotabs</v>
          </cell>
          <cell r="M11" t="str">
            <v>depejerbs</v>
          </cell>
          <cell r="N11" t="str">
            <v>Ret-ajtebs</v>
          </cell>
          <cell r="O11" t="str">
            <v>depacumbs</v>
          </cell>
          <cell r="P11" t="str">
            <v>valornbs</v>
          </cell>
          <cell r="Q11" t="str">
            <v>tc</v>
          </cell>
          <cell r="R11" t="str">
            <v>costoneto$</v>
          </cell>
          <cell r="S11" t="str">
            <v>adiciones$</v>
          </cell>
          <cell r="T11" t="str">
            <v>retiros$</v>
          </cell>
          <cell r="U11" t="str">
            <v>costoneto$</v>
          </cell>
          <cell r="V11" t="str">
            <v>depinic$</v>
          </cell>
          <cell r="W11" t="str">
            <v>alicuota$</v>
          </cell>
          <cell r="X11" t="str">
            <v>depejer$</v>
          </cell>
          <cell r="Y11" t="str">
            <v>Ret-ajte$</v>
          </cell>
          <cell r="Z11" t="str">
            <v>depacum$</v>
          </cell>
          <cell r="AA11" t="str">
            <v>valorn$</v>
          </cell>
        </row>
        <row r="12">
          <cell r="C12" t="str">
            <v>Equipos de computación</v>
          </cell>
          <cell r="D12">
            <v>37225</v>
          </cell>
          <cell r="E12">
            <v>37256</v>
          </cell>
          <cell r="F12">
            <v>36</v>
          </cell>
          <cell r="G12">
            <v>767685.59</v>
          </cell>
          <cell r="H12">
            <v>0</v>
          </cell>
          <cell r="I12">
            <v>0</v>
          </cell>
          <cell r="J12">
            <v>767685.59</v>
          </cell>
          <cell r="K12">
            <v>767685.59</v>
          </cell>
          <cell r="L12">
            <v>21324.6</v>
          </cell>
          <cell r="M12">
            <v>0</v>
          </cell>
          <cell r="N12">
            <v>0</v>
          </cell>
          <cell r="O12">
            <v>767685.59</v>
          </cell>
          <cell r="P12">
            <v>0</v>
          </cell>
          <cell r="Q12">
            <v>746.5</v>
          </cell>
          <cell r="R12">
            <v>1028.3798928332217</v>
          </cell>
          <cell r="S12">
            <v>0</v>
          </cell>
          <cell r="T12">
            <v>0</v>
          </cell>
          <cell r="U12">
            <v>1028.3798928332217</v>
          </cell>
          <cell r="V12">
            <v>1028.3798928332217</v>
          </cell>
          <cell r="W12">
            <v>28.566108506363026</v>
          </cell>
          <cell r="X12">
            <v>0</v>
          </cell>
          <cell r="Y12">
            <v>0</v>
          </cell>
          <cell r="Z12">
            <v>1028.3798928332217</v>
          </cell>
          <cell r="AA12">
            <v>0</v>
          </cell>
        </row>
        <row r="13">
          <cell r="D13" t="str">
            <v>Total Nov-01</v>
          </cell>
          <cell r="G13">
            <v>767685.59</v>
          </cell>
          <cell r="H13">
            <v>0</v>
          </cell>
          <cell r="I13">
            <v>0</v>
          </cell>
          <cell r="J13">
            <v>767685.59</v>
          </cell>
          <cell r="K13">
            <v>767685.59</v>
          </cell>
          <cell r="L13">
            <v>21324.6</v>
          </cell>
          <cell r="M13">
            <v>0</v>
          </cell>
          <cell r="N13">
            <v>0</v>
          </cell>
          <cell r="O13">
            <v>767685.59</v>
          </cell>
          <cell r="P13">
            <v>0</v>
          </cell>
          <cell r="R13">
            <v>1028.3798928332217</v>
          </cell>
          <cell r="S13">
            <v>0</v>
          </cell>
          <cell r="T13">
            <v>0</v>
          </cell>
          <cell r="U13">
            <v>1028.3798928332217</v>
          </cell>
          <cell r="V13">
            <v>1028.3798928332217</v>
          </cell>
          <cell r="W13">
            <v>28.566108506363026</v>
          </cell>
          <cell r="X13">
            <v>0</v>
          </cell>
          <cell r="Y13">
            <v>0</v>
          </cell>
          <cell r="Z13">
            <v>1028.3798928332217</v>
          </cell>
          <cell r="AA13">
            <v>0</v>
          </cell>
        </row>
        <row r="14">
          <cell r="C14" t="str">
            <v>Equipos de computación</v>
          </cell>
          <cell r="D14">
            <v>37256</v>
          </cell>
          <cell r="E14">
            <v>37256</v>
          </cell>
          <cell r="F14">
            <v>36</v>
          </cell>
          <cell r="G14">
            <v>79234</v>
          </cell>
          <cell r="H14">
            <v>0</v>
          </cell>
          <cell r="I14">
            <v>0</v>
          </cell>
          <cell r="J14">
            <v>79234</v>
          </cell>
          <cell r="K14">
            <v>79234</v>
          </cell>
          <cell r="L14">
            <v>2200.94</v>
          </cell>
          <cell r="M14">
            <v>0</v>
          </cell>
          <cell r="N14">
            <v>0</v>
          </cell>
          <cell r="O14">
            <v>79234</v>
          </cell>
          <cell r="P14">
            <v>0</v>
          </cell>
          <cell r="Q14">
            <v>760</v>
          </cell>
          <cell r="R14">
            <v>104.25526315789473</v>
          </cell>
          <cell r="S14">
            <v>0</v>
          </cell>
          <cell r="T14">
            <v>0</v>
          </cell>
          <cell r="U14">
            <v>104.25526315789473</v>
          </cell>
          <cell r="V14">
            <v>104.25526315789473</v>
          </cell>
          <cell r="W14">
            <v>2.8959736842105266</v>
          </cell>
          <cell r="X14">
            <v>0</v>
          </cell>
          <cell r="Y14">
            <v>0</v>
          </cell>
          <cell r="Z14">
            <v>104.25526315789473</v>
          </cell>
          <cell r="AA14">
            <v>0</v>
          </cell>
        </row>
        <row r="15">
          <cell r="D15" t="str">
            <v>Total Dic-01</v>
          </cell>
          <cell r="G15">
            <v>79234</v>
          </cell>
          <cell r="H15">
            <v>0</v>
          </cell>
          <cell r="I15">
            <v>0</v>
          </cell>
          <cell r="J15">
            <v>79234</v>
          </cell>
          <cell r="K15">
            <v>79234</v>
          </cell>
          <cell r="L15">
            <v>2200.94</v>
          </cell>
          <cell r="M15">
            <v>0</v>
          </cell>
          <cell r="N15">
            <v>0</v>
          </cell>
          <cell r="O15">
            <v>79234</v>
          </cell>
          <cell r="P15">
            <v>0</v>
          </cell>
          <cell r="R15">
            <v>104.25526315789473</v>
          </cell>
          <cell r="S15">
            <v>0</v>
          </cell>
          <cell r="T15">
            <v>0</v>
          </cell>
          <cell r="U15">
            <v>104.25526315789473</v>
          </cell>
          <cell r="V15">
            <v>104.25526315789473</v>
          </cell>
          <cell r="W15">
            <v>2.8959736842105266</v>
          </cell>
          <cell r="X15">
            <v>0</v>
          </cell>
          <cell r="Y15">
            <v>0</v>
          </cell>
          <cell r="Z15">
            <v>104.25526315789473</v>
          </cell>
          <cell r="AA15">
            <v>0</v>
          </cell>
        </row>
        <row r="16">
          <cell r="C16" t="str">
            <v>Equipos de computación</v>
          </cell>
          <cell r="D16">
            <v>37287</v>
          </cell>
          <cell r="E16">
            <v>37287</v>
          </cell>
          <cell r="F16">
            <v>36</v>
          </cell>
          <cell r="G16">
            <v>901000</v>
          </cell>
          <cell r="H16">
            <v>0</v>
          </cell>
          <cell r="I16">
            <v>0</v>
          </cell>
          <cell r="J16">
            <v>901000</v>
          </cell>
          <cell r="K16">
            <v>901000</v>
          </cell>
          <cell r="L16">
            <v>25027.78</v>
          </cell>
          <cell r="M16">
            <v>0</v>
          </cell>
          <cell r="N16">
            <v>0</v>
          </cell>
          <cell r="O16">
            <v>901000</v>
          </cell>
          <cell r="P16">
            <v>0</v>
          </cell>
          <cell r="Q16">
            <v>766</v>
          </cell>
          <cell r="R16">
            <v>1176.2402088772847</v>
          </cell>
          <cell r="S16">
            <v>0</v>
          </cell>
          <cell r="T16">
            <v>0</v>
          </cell>
          <cell r="U16">
            <v>1176.2402088772847</v>
          </cell>
          <cell r="V16">
            <v>1176.2402088772847</v>
          </cell>
          <cell r="W16">
            <v>32.673342036553521</v>
          </cell>
          <cell r="X16">
            <v>0</v>
          </cell>
          <cell r="Y16">
            <v>0</v>
          </cell>
          <cell r="Z16">
            <v>1176.2402088772847</v>
          </cell>
          <cell r="AA16">
            <v>0</v>
          </cell>
        </row>
        <row r="17">
          <cell r="D17" t="str">
            <v>Total Ene-02</v>
          </cell>
          <cell r="G17">
            <v>901000</v>
          </cell>
          <cell r="H17">
            <v>0</v>
          </cell>
          <cell r="I17">
            <v>0</v>
          </cell>
          <cell r="J17">
            <v>901000</v>
          </cell>
          <cell r="K17">
            <v>901000</v>
          </cell>
          <cell r="L17">
            <v>25027.78</v>
          </cell>
          <cell r="M17">
            <v>0</v>
          </cell>
          <cell r="N17">
            <v>0</v>
          </cell>
          <cell r="O17">
            <v>901000</v>
          </cell>
          <cell r="P17">
            <v>0</v>
          </cell>
          <cell r="R17">
            <v>1176.2402088772847</v>
          </cell>
          <cell r="S17">
            <v>0</v>
          </cell>
          <cell r="T17">
            <v>0</v>
          </cell>
          <cell r="U17">
            <v>1176.2402088772847</v>
          </cell>
          <cell r="V17">
            <v>1176.2402088772847</v>
          </cell>
          <cell r="W17">
            <v>32.673342036553521</v>
          </cell>
          <cell r="X17">
            <v>0</v>
          </cell>
          <cell r="Y17">
            <v>0</v>
          </cell>
          <cell r="Z17">
            <v>1176.2402088772847</v>
          </cell>
          <cell r="AA17">
            <v>0</v>
          </cell>
        </row>
        <row r="18">
          <cell r="C18" t="str">
            <v>Total Equipos de computación</v>
          </cell>
          <cell r="G18">
            <v>1747919.5899999999</v>
          </cell>
          <cell r="H18">
            <v>0</v>
          </cell>
          <cell r="I18">
            <v>0</v>
          </cell>
          <cell r="J18">
            <v>1747919.5899999999</v>
          </cell>
          <cell r="K18">
            <v>1747919.5899999999</v>
          </cell>
          <cell r="L18">
            <v>48553.319999999992</v>
          </cell>
          <cell r="M18">
            <v>0</v>
          </cell>
          <cell r="N18">
            <v>0</v>
          </cell>
          <cell r="O18">
            <v>1747919.5899999999</v>
          </cell>
          <cell r="P18">
            <v>0</v>
          </cell>
          <cell r="R18">
            <v>2308.875364868401</v>
          </cell>
          <cell r="S18">
            <v>0</v>
          </cell>
          <cell r="T18">
            <v>0</v>
          </cell>
          <cell r="U18">
            <v>2308.875364868401</v>
          </cell>
          <cell r="V18">
            <v>2308.875364868401</v>
          </cell>
          <cell r="W18">
            <v>64.135424227127075</v>
          </cell>
          <cell r="X18">
            <v>0</v>
          </cell>
          <cell r="Y18">
            <v>0</v>
          </cell>
          <cell r="Z18">
            <v>2308.875364868401</v>
          </cell>
          <cell r="AA18">
            <v>0</v>
          </cell>
        </row>
        <row r="19">
          <cell r="C19" t="str">
            <v>Estanteria</v>
          </cell>
          <cell r="D19">
            <v>37225</v>
          </cell>
          <cell r="E19">
            <v>37256</v>
          </cell>
          <cell r="F19">
            <v>36</v>
          </cell>
          <cell r="G19">
            <v>201733.47643021558</v>
          </cell>
          <cell r="H19">
            <v>0</v>
          </cell>
          <cell r="I19">
            <v>0</v>
          </cell>
          <cell r="J19">
            <v>201733.47643021558</v>
          </cell>
          <cell r="K19">
            <v>201733.47643021558</v>
          </cell>
          <cell r="L19">
            <v>5603.71</v>
          </cell>
          <cell r="M19">
            <v>0</v>
          </cell>
          <cell r="N19">
            <v>0</v>
          </cell>
          <cell r="O19">
            <v>201733.47643021558</v>
          </cell>
          <cell r="P19">
            <v>0</v>
          </cell>
          <cell r="Q19">
            <v>750.5</v>
          </cell>
          <cell r="R19">
            <v>268.79876939402476</v>
          </cell>
          <cell r="S19">
            <v>0</v>
          </cell>
          <cell r="T19">
            <v>0</v>
          </cell>
          <cell r="U19">
            <v>268.79876939402476</v>
          </cell>
          <cell r="V19">
            <v>268.79876939402476</v>
          </cell>
          <cell r="W19">
            <v>7.4666355762824788</v>
          </cell>
          <cell r="X19">
            <v>0</v>
          </cell>
          <cell r="Y19">
            <v>0</v>
          </cell>
          <cell r="Z19">
            <v>268.79876939402476</v>
          </cell>
          <cell r="AA19">
            <v>0</v>
          </cell>
        </row>
        <row r="20">
          <cell r="C20" t="str">
            <v>Estanteria</v>
          </cell>
          <cell r="D20">
            <v>37225</v>
          </cell>
          <cell r="E20">
            <v>37256</v>
          </cell>
          <cell r="F20">
            <v>36</v>
          </cell>
          <cell r="G20">
            <v>201733.47643021558</v>
          </cell>
          <cell r="H20">
            <v>0</v>
          </cell>
          <cell r="I20">
            <v>0</v>
          </cell>
          <cell r="J20">
            <v>201733.47643021558</v>
          </cell>
          <cell r="K20">
            <v>201733.47643021558</v>
          </cell>
          <cell r="L20">
            <v>5603.71</v>
          </cell>
          <cell r="M20">
            <v>0</v>
          </cell>
          <cell r="N20">
            <v>0</v>
          </cell>
          <cell r="O20">
            <v>201733.47643021558</v>
          </cell>
          <cell r="P20">
            <v>0</v>
          </cell>
          <cell r="Q20">
            <v>750.5</v>
          </cell>
          <cell r="R20">
            <v>268.79876939402476</v>
          </cell>
          <cell r="S20">
            <v>0</v>
          </cell>
          <cell r="T20">
            <v>0</v>
          </cell>
          <cell r="U20">
            <v>268.79876939402476</v>
          </cell>
          <cell r="V20">
            <v>268.79876939402476</v>
          </cell>
          <cell r="W20">
            <v>7.4666355762824788</v>
          </cell>
          <cell r="X20">
            <v>0</v>
          </cell>
          <cell r="Y20">
            <v>0</v>
          </cell>
          <cell r="Z20">
            <v>268.79876939402476</v>
          </cell>
          <cell r="AA20">
            <v>0</v>
          </cell>
        </row>
        <row r="21">
          <cell r="C21" t="str">
            <v>Estanteria</v>
          </cell>
          <cell r="D21">
            <v>37225</v>
          </cell>
          <cell r="E21">
            <v>37256</v>
          </cell>
          <cell r="F21">
            <v>36</v>
          </cell>
          <cell r="G21">
            <v>433715.64522669901</v>
          </cell>
          <cell r="H21">
            <v>0</v>
          </cell>
          <cell r="I21">
            <v>0</v>
          </cell>
          <cell r="J21">
            <v>433715.64522669901</v>
          </cell>
          <cell r="K21">
            <v>433715.64522669901</v>
          </cell>
          <cell r="L21">
            <v>12047.66</v>
          </cell>
          <cell r="M21">
            <v>0</v>
          </cell>
          <cell r="N21">
            <v>0</v>
          </cell>
          <cell r="O21">
            <v>433715.64522669901</v>
          </cell>
          <cell r="P21">
            <v>0</v>
          </cell>
          <cell r="Q21">
            <v>750.5</v>
          </cell>
          <cell r="R21">
            <v>577.90225879640104</v>
          </cell>
          <cell r="S21">
            <v>0</v>
          </cell>
          <cell r="T21">
            <v>0</v>
          </cell>
          <cell r="U21">
            <v>577.90225879640104</v>
          </cell>
          <cell r="V21">
            <v>577.90225879640104</v>
          </cell>
          <cell r="W21">
            <v>16.052844770153232</v>
          </cell>
          <cell r="X21">
            <v>0</v>
          </cell>
          <cell r="Y21">
            <v>0</v>
          </cell>
          <cell r="Z21">
            <v>577.90225879640104</v>
          </cell>
          <cell r="AA21">
            <v>0</v>
          </cell>
        </row>
        <row r="22">
          <cell r="C22" t="str">
            <v>Estanteria</v>
          </cell>
          <cell r="D22">
            <v>37225</v>
          </cell>
          <cell r="E22">
            <v>37256</v>
          </cell>
          <cell r="F22">
            <v>36</v>
          </cell>
          <cell r="G22">
            <v>201733.47643021558</v>
          </cell>
          <cell r="H22">
            <v>0</v>
          </cell>
          <cell r="I22">
            <v>0</v>
          </cell>
          <cell r="J22">
            <v>201733.47643021558</v>
          </cell>
          <cell r="K22">
            <v>201733.47643021558</v>
          </cell>
          <cell r="L22">
            <v>5603.71</v>
          </cell>
          <cell r="M22">
            <v>0</v>
          </cell>
          <cell r="N22">
            <v>0</v>
          </cell>
          <cell r="O22">
            <v>201733.47643021558</v>
          </cell>
          <cell r="P22">
            <v>0</v>
          </cell>
          <cell r="Q22">
            <v>750.5</v>
          </cell>
          <cell r="R22">
            <v>268.79876939402476</v>
          </cell>
          <cell r="S22">
            <v>0</v>
          </cell>
          <cell r="T22">
            <v>0</v>
          </cell>
          <cell r="U22">
            <v>268.79876939402476</v>
          </cell>
          <cell r="V22">
            <v>268.79876939402476</v>
          </cell>
          <cell r="W22">
            <v>7.4666355762824788</v>
          </cell>
          <cell r="X22">
            <v>0</v>
          </cell>
          <cell r="Y22">
            <v>0</v>
          </cell>
          <cell r="Z22">
            <v>268.79876939402476</v>
          </cell>
          <cell r="AA22">
            <v>0</v>
          </cell>
        </row>
        <row r="23">
          <cell r="C23" t="str">
            <v>Estanteria</v>
          </cell>
          <cell r="D23">
            <v>37225</v>
          </cell>
          <cell r="E23">
            <v>37256</v>
          </cell>
          <cell r="F23">
            <v>36</v>
          </cell>
          <cell r="G23">
            <v>290180.60040910722</v>
          </cell>
          <cell r="H23">
            <v>0</v>
          </cell>
          <cell r="I23">
            <v>0</v>
          </cell>
          <cell r="J23">
            <v>290180.60040910722</v>
          </cell>
          <cell r="K23">
            <v>290180.60040910722</v>
          </cell>
          <cell r="L23">
            <v>8060.57</v>
          </cell>
          <cell r="M23">
            <v>0</v>
          </cell>
          <cell r="N23">
            <v>0</v>
          </cell>
          <cell r="O23">
            <v>290180.60040910722</v>
          </cell>
          <cell r="P23">
            <v>0</v>
          </cell>
          <cell r="Q23">
            <v>750.5</v>
          </cell>
          <cell r="R23">
            <v>386.64970074497967</v>
          </cell>
          <cell r="S23">
            <v>0</v>
          </cell>
          <cell r="T23">
            <v>0</v>
          </cell>
          <cell r="U23">
            <v>386.64970074497967</v>
          </cell>
          <cell r="V23">
            <v>386.64970074497967</v>
          </cell>
          <cell r="W23">
            <v>10.740266489007329</v>
          </cell>
          <cell r="X23">
            <v>0</v>
          </cell>
          <cell r="Y23">
            <v>0</v>
          </cell>
          <cell r="Z23">
            <v>386.64970074497967</v>
          </cell>
          <cell r="AA23">
            <v>0</v>
          </cell>
        </row>
        <row r="24">
          <cell r="C24" t="str">
            <v>Estanteria</v>
          </cell>
          <cell r="D24">
            <v>37225</v>
          </cell>
          <cell r="E24">
            <v>37256</v>
          </cell>
          <cell r="F24">
            <v>36</v>
          </cell>
          <cell r="G24">
            <v>211816.3738856382</v>
          </cell>
          <cell r="H24">
            <v>0</v>
          </cell>
          <cell r="I24">
            <v>0</v>
          </cell>
          <cell r="J24">
            <v>211816.3738856382</v>
          </cell>
          <cell r="K24">
            <v>211816.3738856382</v>
          </cell>
          <cell r="L24">
            <v>5883.79</v>
          </cell>
          <cell r="M24">
            <v>0</v>
          </cell>
          <cell r="N24">
            <v>0</v>
          </cell>
          <cell r="O24">
            <v>211816.3738856382</v>
          </cell>
          <cell r="P24">
            <v>0</v>
          </cell>
          <cell r="Q24">
            <v>750.5</v>
          </cell>
          <cell r="R24">
            <v>282.23367606347529</v>
          </cell>
          <cell r="S24">
            <v>0</v>
          </cell>
          <cell r="T24">
            <v>0</v>
          </cell>
          <cell r="U24">
            <v>282.23367606347529</v>
          </cell>
          <cell r="V24">
            <v>282.23367606347529</v>
          </cell>
          <cell r="W24">
            <v>7.8398267821452361</v>
          </cell>
          <cell r="X24">
            <v>0</v>
          </cell>
          <cell r="Y24">
            <v>0</v>
          </cell>
          <cell r="Z24">
            <v>282.23367606347529</v>
          </cell>
          <cell r="AA24">
            <v>0</v>
          </cell>
        </row>
        <row r="25">
          <cell r="D25" t="str">
            <v>Total Nov-01</v>
          </cell>
          <cell r="G25">
            <v>1540913.0488120914</v>
          </cell>
          <cell r="H25">
            <v>0</v>
          </cell>
          <cell r="I25">
            <v>0</v>
          </cell>
          <cell r="J25">
            <v>1540913.0488120914</v>
          </cell>
          <cell r="K25">
            <v>1540913.0488120914</v>
          </cell>
          <cell r="L25">
            <v>42803.15</v>
          </cell>
          <cell r="M25">
            <v>0</v>
          </cell>
          <cell r="N25">
            <v>0</v>
          </cell>
          <cell r="O25">
            <v>1540913.0488120914</v>
          </cell>
          <cell r="P25">
            <v>0</v>
          </cell>
          <cell r="R25">
            <v>2053.1819437869303</v>
          </cell>
          <cell r="S25">
            <v>0</v>
          </cell>
          <cell r="T25">
            <v>0</v>
          </cell>
          <cell r="U25">
            <v>2053.1819437869303</v>
          </cell>
          <cell r="V25">
            <v>2053.1819437869303</v>
          </cell>
          <cell r="W25">
            <v>57.032844770153233</v>
          </cell>
          <cell r="X25">
            <v>0</v>
          </cell>
          <cell r="Y25">
            <v>0</v>
          </cell>
          <cell r="Z25">
            <v>2053.1819437869303</v>
          </cell>
          <cell r="AA25">
            <v>0</v>
          </cell>
        </row>
        <row r="26">
          <cell r="C26" t="str">
            <v>Estanteria</v>
          </cell>
          <cell r="D26">
            <v>37256</v>
          </cell>
          <cell r="E26">
            <v>37256</v>
          </cell>
          <cell r="F26">
            <v>36</v>
          </cell>
          <cell r="G26">
            <v>349345</v>
          </cell>
          <cell r="H26">
            <v>0</v>
          </cell>
          <cell r="I26">
            <v>0</v>
          </cell>
          <cell r="J26">
            <v>349345</v>
          </cell>
          <cell r="K26">
            <v>349345</v>
          </cell>
          <cell r="L26">
            <v>9704.0300000000007</v>
          </cell>
          <cell r="M26">
            <v>0</v>
          </cell>
          <cell r="N26">
            <v>0</v>
          </cell>
          <cell r="O26">
            <v>349345</v>
          </cell>
          <cell r="P26">
            <v>0</v>
          </cell>
          <cell r="Q26">
            <v>750.5</v>
          </cell>
          <cell r="R26">
            <v>465.4830113257828</v>
          </cell>
          <cell r="S26">
            <v>0</v>
          </cell>
          <cell r="T26">
            <v>0</v>
          </cell>
          <cell r="U26">
            <v>465.4830113257828</v>
          </cell>
          <cell r="V26">
            <v>465.4830113257828</v>
          </cell>
          <cell r="W26">
            <v>12.930086608927382</v>
          </cell>
          <cell r="X26">
            <v>0</v>
          </cell>
          <cell r="Y26">
            <v>0</v>
          </cell>
          <cell r="Z26">
            <v>465.4830113257828</v>
          </cell>
          <cell r="AA26">
            <v>0</v>
          </cell>
        </row>
        <row r="27">
          <cell r="C27" t="str">
            <v>Estanteria</v>
          </cell>
          <cell r="D27">
            <v>37256</v>
          </cell>
          <cell r="E27">
            <v>37256</v>
          </cell>
          <cell r="F27">
            <v>36</v>
          </cell>
          <cell r="G27">
            <v>567685.6</v>
          </cell>
          <cell r="H27">
            <v>0</v>
          </cell>
          <cell r="I27">
            <v>0</v>
          </cell>
          <cell r="J27">
            <v>567685.6</v>
          </cell>
          <cell r="K27">
            <v>567685.6</v>
          </cell>
          <cell r="L27">
            <v>15769.04</v>
          </cell>
          <cell r="M27">
            <v>0</v>
          </cell>
          <cell r="N27">
            <v>0</v>
          </cell>
          <cell r="O27">
            <v>567685.6</v>
          </cell>
          <cell r="P27">
            <v>0</v>
          </cell>
          <cell r="Q27">
            <v>760</v>
          </cell>
          <cell r="R27">
            <v>746.95473684210526</v>
          </cell>
          <cell r="S27">
            <v>0</v>
          </cell>
          <cell r="T27">
            <v>0</v>
          </cell>
          <cell r="U27">
            <v>746.95473684210526</v>
          </cell>
          <cell r="V27">
            <v>746.95473684210526</v>
          </cell>
          <cell r="W27">
            <v>20.748736842105263</v>
          </cell>
          <cell r="X27">
            <v>0</v>
          </cell>
          <cell r="Y27">
            <v>0</v>
          </cell>
          <cell r="Z27">
            <v>746.95473684210526</v>
          </cell>
          <cell r="AA27">
            <v>0</v>
          </cell>
        </row>
        <row r="28">
          <cell r="D28" t="str">
            <v>Total Dic-01</v>
          </cell>
          <cell r="G28">
            <v>917030.6</v>
          </cell>
          <cell r="H28">
            <v>0</v>
          </cell>
          <cell r="I28">
            <v>0</v>
          </cell>
          <cell r="J28">
            <v>917030.6</v>
          </cell>
          <cell r="K28">
            <v>917030.6</v>
          </cell>
          <cell r="L28">
            <v>25473.07</v>
          </cell>
          <cell r="M28">
            <v>0</v>
          </cell>
          <cell r="N28">
            <v>0</v>
          </cell>
          <cell r="O28">
            <v>917030.6</v>
          </cell>
          <cell r="P28">
            <v>0</v>
          </cell>
          <cell r="R28">
            <v>1212.437748167888</v>
          </cell>
          <cell r="S28">
            <v>0</v>
          </cell>
          <cell r="T28">
            <v>0</v>
          </cell>
          <cell r="U28">
            <v>1212.437748167888</v>
          </cell>
          <cell r="V28">
            <v>1212.437748167888</v>
          </cell>
          <cell r="W28">
            <v>33.678823451032642</v>
          </cell>
          <cell r="X28">
            <v>0</v>
          </cell>
          <cell r="Y28">
            <v>0</v>
          </cell>
          <cell r="Z28">
            <v>1212.437748167888</v>
          </cell>
          <cell r="AA28">
            <v>0</v>
          </cell>
        </row>
        <row r="29">
          <cell r="C29" t="str">
            <v>Estanteria</v>
          </cell>
          <cell r="D29">
            <v>37287</v>
          </cell>
          <cell r="E29">
            <v>37315</v>
          </cell>
          <cell r="F29">
            <v>36</v>
          </cell>
          <cell r="G29">
            <v>1085800</v>
          </cell>
          <cell r="H29">
            <v>0</v>
          </cell>
          <cell r="I29">
            <v>0</v>
          </cell>
          <cell r="J29">
            <v>1085800</v>
          </cell>
          <cell r="K29">
            <v>1085800</v>
          </cell>
          <cell r="L29">
            <v>30161.11</v>
          </cell>
          <cell r="M29">
            <v>0</v>
          </cell>
          <cell r="N29">
            <v>0</v>
          </cell>
          <cell r="O29">
            <v>1085800</v>
          </cell>
          <cell r="P29">
            <v>0</v>
          </cell>
          <cell r="Q29">
            <v>766</v>
          </cell>
          <cell r="R29">
            <v>1417.4934725848564</v>
          </cell>
          <cell r="S29">
            <v>0</v>
          </cell>
          <cell r="T29">
            <v>0</v>
          </cell>
          <cell r="U29">
            <v>1417.4934725848564</v>
          </cell>
          <cell r="V29">
            <v>1417.4934725848564</v>
          </cell>
          <cell r="W29">
            <v>39.374817232375982</v>
          </cell>
          <cell r="X29">
            <v>0</v>
          </cell>
          <cell r="Y29">
            <v>0</v>
          </cell>
          <cell r="Z29">
            <v>1417.4934725848564</v>
          </cell>
          <cell r="AA29">
            <v>0</v>
          </cell>
        </row>
        <row r="30">
          <cell r="D30" t="str">
            <v>Total Ene-02</v>
          </cell>
          <cell r="G30">
            <v>1085800</v>
          </cell>
          <cell r="H30">
            <v>0</v>
          </cell>
          <cell r="I30">
            <v>0</v>
          </cell>
          <cell r="J30">
            <v>1085800</v>
          </cell>
          <cell r="K30">
            <v>1085800</v>
          </cell>
          <cell r="L30">
            <v>30161.11</v>
          </cell>
          <cell r="M30">
            <v>0</v>
          </cell>
          <cell r="N30">
            <v>0</v>
          </cell>
          <cell r="O30">
            <v>1085800</v>
          </cell>
          <cell r="P30">
            <v>0</v>
          </cell>
          <cell r="R30">
            <v>1417.4934725848564</v>
          </cell>
          <cell r="S30">
            <v>0</v>
          </cell>
          <cell r="T30">
            <v>0</v>
          </cell>
          <cell r="U30">
            <v>1417.4934725848564</v>
          </cell>
          <cell r="V30">
            <v>1417.4934725848564</v>
          </cell>
          <cell r="W30">
            <v>39.374817232375982</v>
          </cell>
          <cell r="X30">
            <v>0</v>
          </cell>
          <cell r="Y30">
            <v>0</v>
          </cell>
          <cell r="Z30">
            <v>1417.4934725848564</v>
          </cell>
          <cell r="AA30">
            <v>0</v>
          </cell>
        </row>
        <row r="31">
          <cell r="C31" t="str">
            <v>Estanteria</v>
          </cell>
          <cell r="D31">
            <v>37315</v>
          </cell>
          <cell r="E31">
            <v>37315</v>
          </cell>
          <cell r="F31">
            <v>36</v>
          </cell>
          <cell r="G31">
            <v>2320000</v>
          </cell>
          <cell r="H31">
            <v>0</v>
          </cell>
          <cell r="I31">
            <v>0</v>
          </cell>
          <cell r="J31">
            <v>2320000</v>
          </cell>
          <cell r="K31">
            <v>2320000</v>
          </cell>
          <cell r="L31">
            <v>64444.44</v>
          </cell>
          <cell r="M31">
            <v>0</v>
          </cell>
          <cell r="N31">
            <v>0</v>
          </cell>
          <cell r="O31">
            <v>2320000</v>
          </cell>
          <cell r="P31">
            <v>0</v>
          </cell>
          <cell r="Q31">
            <v>1038.25</v>
          </cell>
          <cell r="R31">
            <v>2234.5292559595473</v>
          </cell>
          <cell r="S31">
            <v>0</v>
          </cell>
          <cell r="T31">
            <v>0</v>
          </cell>
          <cell r="U31">
            <v>2234.5292559595473</v>
          </cell>
          <cell r="V31">
            <v>2234.5292559595473</v>
          </cell>
          <cell r="W31">
            <v>62.070252829280044</v>
          </cell>
          <cell r="X31">
            <v>0</v>
          </cell>
          <cell r="Y31">
            <v>0</v>
          </cell>
          <cell r="Z31">
            <v>2234.5292559595473</v>
          </cell>
          <cell r="AA31">
            <v>0</v>
          </cell>
        </row>
        <row r="32">
          <cell r="D32" t="str">
            <v>Total Feb-02</v>
          </cell>
          <cell r="G32">
            <v>2320000</v>
          </cell>
          <cell r="H32">
            <v>0</v>
          </cell>
          <cell r="I32">
            <v>0</v>
          </cell>
          <cell r="J32">
            <v>2320000</v>
          </cell>
          <cell r="K32">
            <v>2320000</v>
          </cell>
          <cell r="L32">
            <v>64444.44</v>
          </cell>
          <cell r="M32">
            <v>0</v>
          </cell>
          <cell r="N32">
            <v>0</v>
          </cell>
          <cell r="O32">
            <v>2320000</v>
          </cell>
          <cell r="P32">
            <v>0</v>
          </cell>
          <cell r="R32">
            <v>2234.5292559595473</v>
          </cell>
          <cell r="S32">
            <v>0</v>
          </cell>
          <cell r="T32">
            <v>0</v>
          </cell>
          <cell r="U32">
            <v>2234.5292559595473</v>
          </cell>
          <cell r="V32">
            <v>2234.5292559595473</v>
          </cell>
          <cell r="W32">
            <v>62.070252829280044</v>
          </cell>
          <cell r="X32">
            <v>0</v>
          </cell>
          <cell r="Y32">
            <v>0</v>
          </cell>
          <cell r="Z32">
            <v>2234.5292559595473</v>
          </cell>
          <cell r="AA32">
            <v>0</v>
          </cell>
        </row>
        <row r="33">
          <cell r="C33" t="str">
            <v>Estanteria</v>
          </cell>
          <cell r="D33">
            <v>37376</v>
          </cell>
          <cell r="E33">
            <v>37376</v>
          </cell>
          <cell r="F33">
            <v>36</v>
          </cell>
          <cell r="G33">
            <v>2554000</v>
          </cell>
          <cell r="H33">
            <v>0</v>
          </cell>
          <cell r="I33">
            <v>0</v>
          </cell>
          <cell r="J33">
            <v>2554000</v>
          </cell>
          <cell r="K33">
            <v>2554000</v>
          </cell>
          <cell r="L33">
            <v>70944.44</v>
          </cell>
          <cell r="M33">
            <v>0</v>
          </cell>
          <cell r="N33">
            <v>0</v>
          </cell>
          <cell r="O33">
            <v>2554000</v>
          </cell>
          <cell r="P33">
            <v>0</v>
          </cell>
          <cell r="Q33">
            <v>851.25</v>
          </cell>
          <cell r="R33">
            <v>3000.2936857562408</v>
          </cell>
          <cell r="S33">
            <v>0</v>
          </cell>
          <cell r="T33">
            <v>0</v>
          </cell>
          <cell r="U33">
            <v>3000.2936857562408</v>
          </cell>
          <cell r="V33">
            <v>3000.2936857562408</v>
          </cell>
          <cell r="W33">
            <v>83.341486049926587</v>
          </cell>
          <cell r="X33">
            <v>0</v>
          </cell>
          <cell r="Y33">
            <v>0</v>
          </cell>
          <cell r="Z33">
            <v>3000.2936857562408</v>
          </cell>
          <cell r="AA33">
            <v>0</v>
          </cell>
        </row>
        <row r="34">
          <cell r="C34" t="str">
            <v>Estanteria</v>
          </cell>
          <cell r="D34">
            <v>38717</v>
          </cell>
          <cell r="E34">
            <v>38717</v>
          </cell>
          <cell r="F34">
            <v>36</v>
          </cell>
          <cell r="G34">
            <v>7212325.7000000002</v>
          </cell>
          <cell r="H34">
            <v>0</v>
          </cell>
          <cell r="I34">
            <v>0</v>
          </cell>
          <cell r="J34">
            <v>7212325.7000000002</v>
          </cell>
          <cell r="K34">
            <v>0</v>
          </cell>
          <cell r="L34">
            <v>200342.38</v>
          </cell>
          <cell r="M34">
            <v>2604450.94</v>
          </cell>
          <cell r="N34">
            <v>0</v>
          </cell>
          <cell r="O34">
            <v>2604450.94</v>
          </cell>
          <cell r="P34">
            <v>4607874.76</v>
          </cell>
          <cell r="Q34">
            <v>2150</v>
          </cell>
          <cell r="R34">
            <v>3354.570093023256</v>
          </cell>
          <cell r="S34">
            <v>0</v>
          </cell>
          <cell r="T34">
            <v>0</v>
          </cell>
          <cell r="U34">
            <v>3354.570093023256</v>
          </cell>
          <cell r="V34">
            <v>0</v>
          </cell>
          <cell r="W34">
            <v>93.182502325581396</v>
          </cell>
          <cell r="X34">
            <v>1211.3725302325581</v>
          </cell>
          <cell r="Y34">
            <v>0</v>
          </cell>
          <cell r="Z34">
            <v>1211.3725302325581</v>
          </cell>
          <cell r="AA34">
            <v>2143.1975627906977</v>
          </cell>
        </row>
        <row r="35">
          <cell r="D35" t="str">
            <v>Total Abr-02</v>
          </cell>
          <cell r="G35">
            <v>9766325.6999999993</v>
          </cell>
          <cell r="H35">
            <v>0</v>
          </cell>
          <cell r="I35">
            <v>0</v>
          </cell>
          <cell r="J35">
            <v>9766325.6999999993</v>
          </cell>
          <cell r="K35">
            <v>2554000</v>
          </cell>
          <cell r="L35">
            <v>271286.82</v>
          </cell>
          <cell r="M35">
            <v>2604450.94</v>
          </cell>
          <cell r="N35">
            <v>0</v>
          </cell>
          <cell r="O35">
            <v>5158450.9399999995</v>
          </cell>
          <cell r="P35">
            <v>4607874.76</v>
          </cell>
          <cell r="Q35">
            <v>3001.25</v>
          </cell>
          <cell r="R35">
            <v>6354.8637787794969</v>
          </cell>
          <cell r="S35">
            <v>0</v>
          </cell>
          <cell r="T35">
            <v>0</v>
          </cell>
          <cell r="U35">
            <v>6354.8637787794969</v>
          </cell>
          <cell r="V35">
            <v>3000.2936857562408</v>
          </cell>
          <cell r="W35">
            <v>176.523988375508</v>
          </cell>
          <cell r="X35">
            <v>1211.3725302325581</v>
          </cell>
          <cell r="Y35">
            <v>0</v>
          </cell>
          <cell r="Z35">
            <v>4211.6662159887992</v>
          </cell>
          <cell r="AA35">
            <v>2143.1975627906977</v>
          </cell>
        </row>
        <row r="36">
          <cell r="C36" t="str">
            <v>Total Estanteria</v>
          </cell>
          <cell r="G36">
            <v>15630069.348812092</v>
          </cell>
          <cell r="H36">
            <v>0</v>
          </cell>
          <cell r="I36">
            <v>0</v>
          </cell>
          <cell r="J36">
            <v>15630069.348812092</v>
          </cell>
          <cell r="K36">
            <v>8417743.648812091</v>
          </cell>
          <cell r="L36">
            <v>434168.59</v>
          </cell>
          <cell r="M36">
            <v>2604450.94</v>
          </cell>
          <cell r="N36">
            <v>0</v>
          </cell>
          <cell r="O36">
            <v>11022194.58881209</v>
          </cell>
          <cell r="P36">
            <v>4607874.76</v>
          </cell>
          <cell r="R36">
            <v>13272.50619927872</v>
          </cell>
          <cell r="S36">
            <v>0</v>
          </cell>
          <cell r="T36">
            <v>0</v>
          </cell>
          <cell r="U36">
            <v>13272.50619927872</v>
          </cell>
          <cell r="V36">
            <v>9917.9361062554635</v>
          </cell>
          <cell r="W36">
            <v>368.68072665834984</v>
          </cell>
          <cell r="X36">
            <v>1211.3725302325581</v>
          </cell>
          <cell r="Y36">
            <v>0</v>
          </cell>
          <cell r="Z36">
            <v>11129.308636488022</v>
          </cell>
          <cell r="AA36">
            <v>2143.1975627906977</v>
          </cell>
        </row>
        <row r="37">
          <cell r="C37" t="str">
            <v>Maquinaria</v>
          </cell>
          <cell r="D37">
            <v>37195</v>
          </cell>
          <cell r="E37">
            <v>37256</v>
          </cell>
          <cell r="F37">
            <v>60</v>
          </cell>
          <cell r="G37">
            <v>10223956.125659099</v>
          </cell>
          <cell r="H37">
            <v>0</v>
          </cell>
          <cell r="I37">
            <v>0</v>
          </cell>
          <cell r="J37">
            <v>10223956.125659099</v>
          </cell>
          <cell r="K37">
            <v>8179164.959999999</v>
          </cell>
          <cell r="L37">
            <v>170399.27</v>
          </cell>
          <cell r="M37">
            <v>2044791.1656590998</v>
          </cell>
          <cell r="N37">
            <v>0</v>
          </cell>
          <cell r="O37">
            <v>10223956.125659099</v>
          </cell>
          <cell r="P37">
            <v>0</v>
          </cell>
          <cell r="Q37">
            <v>743</v>
          </cell>
          <cell r="R37">
            <v>13760.371636149528</v>
          </cell>
          <cell r="S37">
            <v>0</v>
          </cell>
          <cell r="T37">
            <v>0</v>
          </cell>
          <cell r="U37">
            <v>13760.371636149528</v>
          </cell>
          <cell r="V37">
            <v>11008.29738896366</v>
          </cell>
          <cell r="W37">
            <v>229.33952893674291</v>
          </cell>
          <cell r="X37">
            <v>2752.074247185868</v>
          </cell>
          <cell r="Y37">
            <v>0</v>
          </cell>
          <cell r="Z37">
            <v>13760.371636149528</v>
          </cell>
          <cell r="AA37">
            <v>0</v>
          </cell>
        </row>
        <row r="38">
          <cell r="C38" t="str">
            <v>Maquinaria</v>
          </cell>
          <cell r="D38">
            <v>37195</v>
          </cell>
          <cell r="E38">
            <v>37256</v>
          </cell>
          <cell r="F38">
            <v>60</v>
          </cell>
          <cell r="G38">
            <v>9971952.0752154756</v>
          </cell>
          <cell r="H38">
            <v>0</v>
          </cell>
          <cell r="I38">
            <v>0</v>
          </cell>
          <cell r="J38">
            <v>9971952.0752154756</v>
          </cell>
          <cell r="K38">
            <v>7977561.6000000006</v>
          </cell>
          <cell r="L38">
            <v>166199.20000000001</v>
          </cell>
          <cell r="M38">
            <v>1994390.4752154751</v>
          </cell>
          <cell r="N38">
            <v>0</v>
          </cell>
          <cell r="O38">
            <v>9971952.0752154756</v>
          </cell>
          <cell r="P38">
            <v>0</v>
          </cell>
          <cell r="Q38">
            <v>743</v>
          </cell>
          <cell r="R38">
            <v>13421.200639590143</v>
          </cell>
          <cell r="S38">
            <v>0</v>
          </cell>
          <cell r="T38">
            <v>0</v>
          </cell>
          <cell r="U38">
            <v>13421.200639590143</v>
          </cell>
          <cell r="V38">
            <v>10736.960430686408</v>
          </cell>
          <cell r="W38">
            <v>223.68667563930015</v>
          </cell>
          <cell r="X38">
            <v>2684.240208903735</v>
          </cell>
          <cell r="Y38">
            <v>0</v>
          </cell>
          <cell r="Z38">
            <v>13421.200639590143</v>
          </cell>
          <cell r="AA38">
            <v>0</v>
          </cell>
        </row>
        <row r="39">
          <cell r="C39" t="str">
            <v>Maquinaria</v>
          </cell>
          <cell r="D39">
            <v>37195</v>
          </cell>
          <cell r="E39">
            <v>37256</v>
          </cell>
          <cell r="F39">
            <v>60</v>
          </cell>
          <cell r="G39">
            <v>12302332.232048543</v>
          </cell>
          <cell r="H39">
            <v>0</v>
          </cell>
          <cell r="I39">
            <v>0</v>
          </cell>
          <cell r="J39">
            <v>12302332.232048543</v>
          </cell>
          <cell r="K39">
            <v>9841865.7599999998</v>
          </cell>
          <cell r="L39">
            <v>205038.87</v>
          </cell>
          <cell r="M39">
            <v>2460466.4720485434</v>
          </cell>
          <cell r="N39">
            <v>0</v>
          </cell>
          <cell r="O39">
            <v>12302332.232048543</v>
          </cell>
          <cell r="P39">
            <v>0</v>
          </cell>
          <cell r="Q39">
            <v>743</v>
          </cell>
          <cell r="R39">
            <v>16557.647687817691</v>
          </cell>
          <cell r="S39">
            <v>0</v>
          </cell>
          <cell r="T39">
            <v>0</v>
          </cell>
          <cell r="U39">
            <v>16557.647687817691</v>
          </cell>
          <cell r="V39">
            <v>13246.118115746971</v>
          </cell>
          <cell r="W39">
            <v>275.96079407806189</v>
          </cell>
          <cell r="X39">
            <v>3311.5295720707177</v>
          </cell>
          <cell r="Y39">
            <v>0</v>
          </cell>
          <cell r="Z39">
            <v>16557.647687817691</v>
          </cell>
          <cell r="AA39">
            <v>0</v>
          </cell>
        </row>
        <row r="40">
          <cell r="C40" t="str">
            <v>Maquinaria</v>
          </cell>
          <cell r="D40">
            <v>37195</v>
          </cell>
          <cell r="E40">
            <v>37256</v>
          </cell>
          <cell r="F40">
            <v>60</v>
          </cell>
          <cell r="G40">
            <v>5639480.075766216</v>
          </cell>
          <cell r="H40">
            <v>0</v>
          </cell>
          <cell r="I40">
            <v>0</v>
          </cell>
          <cell r="J40">
            <v>5639480.075766216</v>
          </cell>
          <cell r="K40">
            <v>4511583.84</v>
          </cell>
          <cell r="L40">
            <v>93991.33</v>
          </cell>
          <cell r="M40">
            <v>1127896.2357662162</v>
          </cell>
          <cell r="N40">
            <v>0</v>
          </cell>
          <cell r="O40">
            <v>5639480.075766216</v>
          </cell>
          <cell r="P40">
            <v>0</v>
          </cell>
          <cell r="Q40">
            <v>743</v>
          </cell>
          <cell r="R40">
            <v>7590.1481504255935</v>
          </cell>
          <cell r="S40">
            <v>0</v>
          </cell>
          <cell r="T40">
            <v>0</v>
          </cell>
          <cell r="U40">
            <v>7590.1481504255935</v>
          </cell>
          <cell r="V40">
            <v>6072.1182234185735</v>
          </cell>
          <cell r="W40">
            <v>126.50246298788694</v>
          </cell>
          <cell r="X40">
            <v>1518.0299270070204</v>
          </cell>
          <cell r="Y40">
            <v>0</v>
          </cell>
          <cell r="Z40">
            <v>7590.1481504255935</v>
          </cell>
          <cell r="AA40">
            <v>0</v>
          </cell>
        </row>
        <row r="41">
          <cell r="C41" t="str">
            <v>Maquinaria</v>
          </cell>
          <cell r="D41">
            <v>37195</v>
          </cell>
          <cell r="E41">
            <v>37256</v>
          </cell>
          <cell r="F41">
            <v>60</v>
          </cell>
          <cell r="G41">
            <v>1215798.2588686142</v>
          </cell>
          <cell r="H41">
            <v>0</v>
          </cell>
          <cell r="I41">
            <v>0</v>
          </cell>
          <cell r="J41">
            <v>1215798.2588686142</v>
          </cell>
          <cell r="K41">
            <v>972638.39999999991</v>
          </cell>
          <cell r="L41">
            <v>20263.3</v>
          </cell>
          <cell r="M41">
            <v>243159.8588686143</v>
          </cell>
          <cell r="N41">
            <v>0</v>
          </cell>
          <cell r="O41">
            <v>1215798.2588686142</v>
          </cell>
          <cell r="P41">
            <v>0</v>
          </cell>
          <cell r="Q41">
            <v>743</v>
          </cell>
          <cell r="R41">
            <v>1636.3368221650258</v>
          </cell>
          <cell r="S41">
            <v>0</v>
          </cell>
          <cell r="T41">
            <v>0</v>
          </cell>
          <cell r="U41">
            <v>1636.3368221650258</v>
          </cell>
          <cell r="V41">
            <v>1309.0691790040376</v>
          </cell>
          <cell r="W41">
            <v>27.272274562584119</v>
          </cell>
          <cell r="X41">
            <v>327.26764316098831</v>
          </cell>
          <cell r="Y41">
            <v>0</v>
          </cell>
          <cell r="Z41">
            <v>1636.3368221650258</v>
          </cell>
          <cell r="AA41">
            <v>0</v>
          </cell>
        </row>
        <row r="42">
          <cell r="C42" t="str">
            <v>Maquinaria</v>
          </cell>
          <cell r="D42">
            <v>37195</v>
          </cell>
          <cell r="E42">
            <v>37256</v>
          </cell>
          <cell r="F42">
            <v>60</v>
          </cell>
          <cell r="G42">
            <v>1249920</v>
          </cell>
          <cell r="H42">
            <v>0</v>
          </cell>
          <cell r="I42">
            <v>0</v>
          </cell>
          <cell r="J42">
            <v>1249920</v>
          </cell>
          <cell r="K42">
            <v>999936</v>
          </cell>
          <cell r="L42">
            <v>20832</v>
          </cell>
          <cell r="M42">
            <v>249984</v>
          </cell>
          <cell r="N42">
            <v>0</v>
          </cell>
          <cell r="O42">
            <v>1249920</v>
          </cell>
          <cell r="P42">
            <v>0</v>
          </cell>
          <cell r="Q42">
            <v>743.75</v>
          </cell>
          <cell r="R42">
            <v>1680.5647058823529</v>
          </cell>
          <cell r="S42">
            <v>0</v>
          </cell>
          <cell r="T42">
            <v>0</v>
          </cell>
          <cell r="U42">
            <v>1680.5647058823529</v>
          </cell>
          <cell r="V42">
            <v>1344.4517647058824</v>
          </cell>
          <cell r="W42">
            <v>28.009411764705881</v>
          </cell>
          <cell r="X42">
            <v>336.1129411764706</v>
          </cell>
          <cell r="Y42">
            <v>0</v>
          </cell>
          <cell r="Z42">
            <v>1680.5647058823529</v>
          </cell>
          <cell r="AA42">
            <v>0</v>
          </cell>
        </row>
        <row r="43">
          <cell r="D43" t="str">
            <v>Total Oct-01</v>
          </cell>
          <cell r="G43">
            <v>40603438.767557941</v>
          </cell>
          <cell r="H43">
            <v>0</v>
          </cell>
          <cell r="I43">
            <v>0</v>
          </cell>
          <cell r="J43">
            <v>40603438.767557941</v>
          </cell>
          <cell r="K43">
            <v>32482750.559999999</v>
          </cell>
          <cell r="L43">
            <v>676723.97</v>
          </cell>
          <cell r="M43">
            <v>8120688.2075579483</v>
          </cell>
          <cell r="N43">
            <v>0</v>
          </cell>
          <cell r="O43">
            <v>40603438.767557941</v>
          </cell>
          <cell r="P43">
            <v>0</v>
          </cell>
          <cell r="R43">
            <v>54646.269642030333</v>
          </cell>
          <cell r="S43">
            <v>0</v>
          </cell>
          <cell r="T43">
            <v>0</v>
          </cell>
          <cell r="U43">
            <v>54646.269642030333</v>
          </cell>
          <cell r="V43">
            <v>43717.015102525533</v>
          </cell>
          <cell r="W43">
            <v>910.77114796928186</v>
          </cell>
          <cell r="X43">
            <v>10929.254539504802</v>
          </cell>
          <cell r="Y43">
            <v>0</v>
          </cell>
          <cell r="Z43">
            <v>54646.269642030333</v>
          </cell>
          <cell r="AA43">
            <v>0</v>
          </cell>
        </row>
        <row r="44">
          <cell r="C44" t="str">
            <v>Maquinaria</v>
          </cell>
          <cell r="D44">
            <v>37225</v>
          </cell>
          <cell r="E44">
            <v>37256</v>
          </cell>
          <cell r="F44">
            <v>60</v>
          </cell>
          <cell r="G44">
            <v>1470259.8434443902</v>
          </cell>
          <cell r="H44">
            <v>0</v>
          </cell>
          <cell r="I44">
            <v>0</v>
          </cell>
          <cell r="J44">
            <v>1470259.8434443902</v>
          </cell>
          <cell r="K44">
            <v>1176207.8400000001</v>
          </cell>
          <cell r="L44">
            <v>24504.33</v>
          </cell>
          <cell r="M44">
            <v>294052.00344439014</v>
          </cell>
          <cell r="N44">
            <v>0</v>
          </cell>
          <cell r="O44">
            <v>1470259.8434443902</v>
          </cell>
          <cell r="P44">
            <v>0</v>
          </cell>
          <cell r="Q44">
            <v>750.5</v>
          </cell>
          <cell r="R44">
            <v>1959.0404309718724</v>
          </cell>
          <cell r="S44">
            <v>0</v>
          </cell>
          <cell r="T44">
            <v>0</v>
          </cell>
          <cell r="U44">
            <v>1959.0404309718724</v>
          </cell>
          <cell r="V44">
            <v>1567.2322984676882</v>
          </cell>
          <cell r="W44">
            <v>32.650672884743507</v>
          </cell>
          <cell r="X44">
            <v>391.80813250418407</v>
          </cell>
          <cell r="Y44">
            <v>0</v>
          </cell>
          <cell r="Z44">
            <v>1959.0404309718724</v>
          </cell>
          <cell r="AA44">
            <v>0</v>
          </cell>
        </row>
        <row r="45">
          <cell r="D45" t="str">
            <v>Total Nov-01</v>
          </cell>
          <cell r="G45">
            <v>1470259.8434443902</v>
          </cell>
          <cell r="H45">
            <v>0</v>
          </cell>
          <cell r="I45">
            <v>0</v>
          </cell>
          <cell r="J45">
            <v>1470259.8434443902</v>
          </cell>
          <cell r="K45">
            <v>1176207.8400000001</v>
          </cell>
          <cell r="L45">
            <v>24504.33</v>
          </cell>
          <cell r="M45">
            <v>294052.00344439014</v>
          </cell>
          <cell r="N45">
            <v>0</v>
          </cell>
          <cell r="O45">
            <v>1470259.8434443902</v>
          </cell>
          <cell r="P45">
            <v>0</v>
          </cell>
          <cell r="R45">
            <v>1959.0404309718724</v>
          </cell>
          <cell r="S45">
            <v>0</v>
          </cell>
          <cell r="T45">
            <v>0</v>
          </cell>
          <cell r="U45">
            <v>1959.0404309718724</v>
          </cell>
          <cell r="V45">
            <v>1567.2322984676882</v>
          </cell>
          <cell r="W45">
            <v>32.650672884743507</v>
          </cell>
          <cell r="X45">
            <v>391.80813250418407</v>
          </cell>
          <cell r="Y45">
            <v>0</v>
          </cell>
          <cell r="Z45">
            <v>1959.0404309718724</v>
          </cell>
          <cell r="AA45">
            <v>0</v>
          </cell>
        </row>
        <row r="46">
          <cell r="C46" t="str">
            <v>Maquinaria</v>
          </cell>
          <cell r="D46">
            <v>37256</v>
          </cell>
          <cell r="E46">
            <v>37256</v>
          </cell>
          <cell r="F46">
            <v>60</v>
          </cell>
          <cell r="G46">
            <v>480000</v>
          </cell>
          <cell r="H46">
            <v>0</v>
          </cell>
          <cell r="I46">
            <v>0</v>
          </cell>
          <cell r="J46">
            <v>480000</v>
          </cell>
          <cell r="K46">
            <v>384000</v>
          </cell>
          <cell r="L46">
            <v>8000</v>
          </cell>
          <cell r="M46">
            <v>96000</v>
          </cell>
          <cell r="N46">
            <v>0</v>
          </cell>
          <cell r="O46">
            <v>480000</v>
          </cell>
          <cell r="P46">
            <v>0</v>
          </cell>
          <cell r="Q46">
            <v>760</v>
          </cell>
          <cell r="R46">
            <v>631.57894736842104</v>
          </cell>
          <cell r="S46">
            <v>0</v>
          </cell>
          <cell r="T46">
            <v>0</v>
          </cell>
          <cell r="U46">
            <v>631.57894736842104</v>
          </cell>
          <cell r="V46">
            <v>505.26315789473682</v>
          </cell>
          <cell r="W46">
            <v>10.526315789473685</v>
          </cell>
          <cell r="X46">
            <v>126.31578947368421</v>
          </cell>
          <cell r="Y46">
            <v>0</v>
          </cell>
          <cell r="Z46">
            <v>631.57894736842104</v>
          </cell>
          <cell r="AA46">
            <v>0</v>
          </cell>
        </row>
        <row r="47">
          <cell r="D47" t="str">
            <v>Total Dic-01</v>
          </cell>
          <cell r="G47">
            <v>480000</v>
          </cell>
          <cell r="H47">
            <v>0</v>
          </cell>
          <cell r="I47">
            <v>0</v>
          </cell>
          <cell r="J47">
            <v>480000</v>
          </cell>
          <cell r="K47">
            <v>384000</v>
          </cell>
          <cell r="L47">
            <v>8000</v>
          </cell>
          <cell r="M47">
            <v>96000</v>
          </cell>
          <cell r="N47">
            <v>0</v>
          </cell>
          <cell r="O47">
            <v>480000</v>
          </cell>
          <cell r="P47">
            <v>0</v>
          </cell>
          <cell r="R47">
            <v>631.57894736842104</v>
          </cell>
          <cell r="S47">
            <v>0</v>
          </cell>
          <cell r="T47">
            <v>0</v>
          </cell>
          <cell r="U47">
            <v>631.57894736842104</v>
          </cell>
          <cell r="V47">
            <v>505.26315789473682</v>
          </cell>
          <cell r="W47">
            <v>10.526315789473685</v>
          </cell>
          <cell r="X47">
            <v>126.31578947368421</v>
          </cell>
          <cell r="Y47">
            <v>0</v>
          </cell>
          <cell r="Z47">
            <v>631.57894736842104</v>
          </cell>
          <cell r="AA47">
            <v>0</v>
          </cell>
        </row>
        <row r="48">
          <cell r="C48" t="str">
            <v>Maquinaria</v>
          </cell>
          <cell r="D48">
            <v>37287</v>
          </cell>
          <cell r="E48">
            <v>37287</v>
          </cell>
          <cell r="F48">
            <v>60</v>
          </cell>
          <cell r="G48">
            <v>6000000</v>
          </cell>
          <cell r="H48">
            <v>0</v>
          </cell>
          <cell r="I48">
            <v>0</v>
          </cell>
          <cell r="J48">
            <v>6000000</v>
          </cell>
          <cell r="K48">
            <v>4700000</v>
          </cell>
          <cell r="L48">
            <v>100000</v>
          </cell>
          <cell r="M48">
            <v>1300000</v>
          </cell>
          <cell r="N48">
            <v>0</v>
          </cell>
          <cell r="O48">
            <v>6000000</v>
          </cell>
          <cell r="P48">
            <v>0</v>
          </cell>
          <cell r="Q48">
            <v>766</v>
          </cell>
          <cell r="R48">
            <v>7832.8981723237594</v>
          </cell>
          <cell r="S48">
            <v>0</v>
          </cell>
          <cell r="T48">
            <v>0</v>
          </cell>
          <cell r="U48">
            <v>7832.8981723237594</v>
          </cell>
          <cell r="V48">
            <v>6135.7702349869451</v>
          </cell>
          <cell r="W48">
            <v>130.54830287206266</v>
          </cell>
          <cell r="X48">
            <v>1697.1279373368145</v>
          </cell>
          <cell r="Y48">
            <v>0</v>
          </cell>
          <cell r="Z48">
            <v>7832.8981723237594</v>
          </cell>
          <cell r="AA48">
            <v>0</v>
          </cell>
        </row>
        <row r="49">
          <cell r="D49" t="str">
            <v>Total Ene-02</v>
          </cell>
          <cell r="G49">
            <v>6000000</v>
          </cell>
          <cell r="H49">
            <v>0</v>
          </cell>
          <cell r="I49">
            <v>0</v>
          </cell>
          <cell r="J49">
            <v>6000000</v>
          </cell>
          <cell r="K49">
            <v>4700000</v>
          </cell>
          <cell r="L49">
            <v>100000</v>
          </cell>
          <cell r="M49">
            <v>1300000</v>
          </cell>
          <cell r="N49">
            <v>0</v>
          </cell>
          <cell r="O49">
            <v>6000000</v>
          </cell>
          <cell r="P49">
            <v>0</v>
          </cell>
          <cell r="R49">
            <v>7832.8981723237594</v>
          </cell>
          <cell r="S49">
            <v>0</v>
          </cell>
          <cell r="T49">
            <v>0</v>
          </cell>
          <cell r="U49">
            <v>7832.8981723237594</v>
          </cell>
          <cell r="V49">
            <v>6135.7702349869451</v>
          </cell>
          <cell r="W49">
            <v>130.54830287206266</v>
          </cell>
          <cell r="X49">
            <v>1697.1279373368145</v>
          </cell>
          <cell r="Y49">
            <v>0</v>
          </cell>
          <cell r="Z49">
            <v>7832.8981723237594</v>
          </cell>
          <cell r="AA49">
            <v>0</v>
          </cell>
        </row>
        <row r="50">
          <cell r="C50" t="str">
            <v>Maquinaria</v>
          </cell>
          <cell r="D50">
            <v>37376</v>
          </cell>
          <cell r="E50">
            <v>37376</v>
          </cell>
          <cell r="F50">
            <v>60</v>
          </cell>
          <cell r="G50">
            <v>22658952.412149224</v>
          </cell>
          <cell r="H50">
            <v>0</v>
          </cell>
          <cell r="I50">
            <v>0</v>
          </cell>
          <cell r="J50">
            <v>22658952.412149224</v>
          </cell>
          <cell r="K50">
            <v>16616565.24</v>
          </cell>
          <cell r="L50">
            <v>377649.21</v>
          </cell>
          <cell r="M50">
            <v>4909439.7300000004</v>
          </cell>
          <cell r="N50">
            <v>0</v>
          </cell>
          <cell r="O50">
            <v>21526004.969999999</v>
          </cell>
          <cell r="P50">
            <v>1132947.4421492256</v>
          </cell>
          <cell r="Q50">
            <v>847.5</v>
          </cell>
          <cell r="R50">
            <v>26736.227034984335</v>
          </cell>
          <cell r="S50">
            <v>0</v>
          </cell>
          <cell r="T50">
            <v>0</v>
          </cell>
          <cell r="U50">
            <v>26736.227034984335</v>
          </cell>
          <cell r="V50">
            <v>19606.566654867256</v>
          </cell>
          <cell r="W50">
            <v>445.60378761061952</v>
          </cell>
          <cell r="X50">
            <v>5792.8492389380535</v>
          </cell>
          <cell r="Y50">
            <v>0</v>
          </cell>
          <cell r="Z50">
            <v>25399.415893805308</v>
          </cell>
          <cell r="AA50">
            <v>1336.8111411790273</v>
          </cell>
        </row>
        <row r="51">
          <cell r="C51" t="str">
            <v>Maquinaria</v>
          </cell>
          <cell r="D51">
            <v>37376</v>
          </cell>
          <cell r="E51">
            <v>37376</v>
          </cell>
          <cell r="F51">
            <v>60</v>
          </cell>
          <cell r="G51">
            <v>10876297.157831626</v>
          </cell>
          <cell r="H51">
            <v>0</v>
          </cell>
          <cell r="I51">
            <v>0</v>
          </cell>
          <cell r="J51">
            <v>10876297.157831626</v>
          </cell>
          <cell r="K51">
            <v>7975951.2799999993</v>
          </cell>
          <cell r="L51">
            <v>181271.62</v>
          </cell>
          <cell r="M51">
            <v>2356531.06</v>
          </cell>
          <cell r="N51">
            <v>0</v>
          </cell>
          <cell r="O51">
            <v>10332482.34</v>
          </cell>
          <cell r="P51">
            <v>543814.81783162616</v>
          </cell>
          <cell r="Q51">
            <v>847.5</v>
          </cell>
          <cell r="R51">
            <v>12833.388976792479</v>
          </cell>
          <cell r="S51">
            <v>0</v>
          </cell>
          <cell r="T51">
            <v>0</v>
          </cell>
          <cell r="U51">
            <v>12833.388976792479</v>
          </cell>
          <cell r="V51">
            <v>9411.1519528023582</v>
          </cell>
          <cell r="W51">
            <v>213.88981710914453</v>
          </cell>
          <cell r="X51">
            <v>2780.5676224188792</v>
          </cell>
          <cell r="Y51">
            <v>0</v>
          </cell>
          <cell r="Z51">
            <v>12191.719575221239</v>
          </cell>
          <cell r="AA51">
            <v>641.66940157124031</v>
          </cell>
        </row>
        <row r="52">
          <cell r="C52" t="str">
            <v>Maquinaria</v>
          </cell>
          <cell r="D52">
            <v>37376</v>
          </cell>
          <cell r="E52">
            <v>37376</v>
          </cell>
          <cell r="F52">
            <v>60</v>
          </cell>
          <cell r="G52">
            <v>14501729.543775503</v>
          </cell>
          <cell r="H52">
            <v>0</v>
          </cell>
          <cell r="I52">
            <v>0</v>
          </cell>
          <cell r="J52">
            <v>14501729.543775503</v>
          </cell>
          <cell r="K52">
            <v>10634601.559999999</v>
          </cell>
          <cell r="L52">
            <v>241695.49</v>
          </cell>
          <cell r="M52">
            <v>3142041.37</v>
          </cell>
          <cell r="N52">
            <v>0</v>
          </cell>
          <cell r="O52">
            <v>13776642.93</v>
          </cell>
          <cell r="P52">
            <v>725086.61377550289</v>
          </cell>
          <cell r="Q52">
            <v>847.5</v>
          </cell>
          <cell r="R52">
            <v>17111.185302389975</v>
          </cell>
          <cell r="S52">
            <v>0</v>
          </cell>
          <cell r="T52">
            <v>0</v>
          </cell>
          <cell r="U52">
            <v>17111.185302389975</v>
          </cell>
          <cell r="V52">
            <v>12548.202430678464</v>
          </cell>
          <cell r="W52">
            <v>285.18641887905602</v>
          </cell>
          <cell r="X52">
            <v>3707.4234454277289</v>
          </cell>
          <cell r="Y52">
            <v>0</v>
          </cell>
          <cell r="Z52">
            <v>16255.625876106194</v>
          </cell>
          <cell r="AA52">
            <v>855.5594262837792</v>
          </cell>
        </row>
        <row r="53">
          <cell r="C53" t="str">
            <v>Maquinaria</v>
          </cell>
          <cell r="D53">
            <v>37376</v>
          </cell>
          <cell r="E53">
            <v>37376</v>
          </cell>
          <cell r="F53">
            <v>60</v>
          </cell>
          <cell r="G53">
            <v>4531790.4824298453</v>
          </cell>
          <cell r="H53">
            <v>0</v>
          </cell>
          <cell r="I53">
            <v>0</v>
          </cell>
          <cell r="J53">
            <v>4531790.4824298453</v>
          </cell>
          <cell r="K53">
            <v>3323312.96</v>
          </cell>
          <cell r="L53">
            <v>75529.84</v>
          </cell>
          <cell r="M53">
            <v>981887.91999999993</v>
          </cell>
          <cell r="N53">
            <v>0</v>
          </cell>
          <cell r="O53">
            <v>4305200.88</v>
          </cell>
          <cell r="P53">
            <v>226589.60242984537</v>
          </cell>
          <cell r="Q53">
            <v>847.5</v>
          </cell>
          <cell r="R53">
            <v>5347.2454069968671</v>
          </cell>
          <cell r="S53">
            <v>0</v>
          </cell>
          <cell r="T53">
            <v>0</v>
          </cell>
          <cell r="U53">
            <v>5347.2454069968671</v>
          </cell>
          <cell r="V53">
            <v>3921.313227138643</v>
          </cell>
          <cell r="W53">
            <v>89.120755162241878</v>
          </cell>
          <cell r="X53">
            <v>1158.5698171091444</v>
          </cell>
          <cell r="Y53">
            <v>0</v>
          </cell>
          <cell r="Z53">
            <v>5079.8830442477874</v>
          </cell>
          <cell r="AA53">
            <v>267.36236274908009</v>
          </cell>
        </row>
        <row r="54">
          <cell r="D54" t="str">
            <v>Total Abr-02</v>
          </cell>
          <cell r="G54">
            <v>52568769.596186206</v>
          </cell>
          <cell r="H54">
            <v>0</v>
          </cell>
          <cell r="I54">
            <v>0</v>
          </cell>
          <cell r="J54">
            <v>52568769.596186206</v>
          </cell>
          <cell r="K54">
            <v>38550431.039999999</v>
          </cell>
          <cell r="L54">
            <v>876146.16</v>
          </cell>
          <cell r="M54">
            <v>11389900.08</v>
          </cell>
          <cell r="N54">
            <v>0</v>
          </cell>
          <cell r="O54">
            <v>49940331.119999997</v>
          </cell>
          <cell r="P54">
            <v>2628438.4761862</v>
          </cell>
          <cell r="R54">
            <v>62028.046721163657</v>
          </cell>
          <cell r="S54">
            <v>0</v>
          </cell>
          <cell r="T54">
            <v>0</v>
          </cell>
          <cell r="U54">
            <v>62028.046721163657</v>
          </cell>
          <cell r="V54">
            <v>45487.234265486724</v>
          </cell>
          <cell r="W54">
            <v>1033.800778761062</v>
          </cell>
          <cell r="X54">
            <v>13439.410123893806</v>
          </cell>
          <cell r="Y54">
            <v>0</v>
          </cell>
          <cell r="Z54">
            <v>58926.644389380519</v>
          </cell>
          <cell r="AA54">
            <v>3101.402331783127</v>
          </cell>
        </row>
        <row r="55">
          <cell r="C55" t="str">
            <v>Maquinaria</v>
          </cell>
          <cell r="D55">
            <v>37772</v>
          </cell>
          <cell r="E55">
            <v>37772</v>
          </cell>
          <cell r="F55">
            <v>60</v>
          </cell>
          <cell r="G55">
            <v>791285.75</v>
          </cell>
          <cell r="H55">
            <v>0</v>
          </cell>
          <cell r="I55">
            <v>0</v>
          </cell>
          <cell r="J55">
            <v>791285.75</v>
          </cell>
          <cell r="K55">
            <v>408831.10000000003</v>
          </cell>
          <cell r="L55">
            <v>13188.1</v>
          </cell>
          <cell r="M55">
            <v>171445.30000000002</v>
          </cell>
          <cell r="N55">
            <v>0</v>
          </cell>
          <cell r="O55">
            <v>580276.4</v>
          </cell>
          <cell r="P55">
            <v>211009.34999999998</v>
          </cell>
          <cell r="Q55">
            <v>1600</v>
          </cell>
          <cell r="R55">
            <v>494.55359375</v>
          </cell>
          <cell r="S55">
            <v>0</v>
          </cell>
          <cell r="T55">
            <v>0</v>
          </cell>
          <cell r="U55">
            <v>494.55359375</v>
          </cell>
          <cell r="V55">
            <v>255.51943750000001</v>
          </cell>
          <cell r="W55">
            <v>8.2425625</v>
          </cell>
          <cell r="X55">
            <v>107.15331250000001</v>
          </cell>
          <cell r="Y55">
            <v>0</v>
          </cell>
          <cell r="Z55">
            <v>362.67275000000001</v>
          </cell>
          <cell r="AA55">
            <v>131.88084375</v>
          </cell>
        </row>
        <row r="56">
          <cell r="D56" t="str">
            <v>Total May-03</v>
          </cell>
          <cell r="G56">
            <v>791285.75</v>
          </cell>
          <cell r="H56">
            <v>0</v>
          </cell>
          <cell r="I56">
            <v>0</v>
          </cell>
          <cell r="J56">
            <v>791285.75</v>
          </cell>
          <cell r="K56">
            <v>408831.10000000003</v>
          </cell>
          <cell r="L56">
            <v>13188.1</v>
          </cell>
          <cell r="M56">
            <v>171445.30000000002</v>
          </cell>
          <cell r="N56">
            <v>0</v>
          </cell>
          <cell r="O56">
            <v>580276.4</v>
          </cell>
          <cell r="P56">
            <v>211009.34999999998</v>
          </cell>
          <cell r="R56">
            <v>494.55359375</v>
          </cell>
          <cell r="S56">
            <v>0</v>
          </cell>
          <cell r="T56">
            <v>0</v>
          </cell>
          <cell r="U56">
            <v>494.55359375</v>
          </cell>
          <cell r="V56">
            <v>255.51943750000001</v>
          </cell>
          <cell r="W56">
            <v>8.2425625</v>
          </cell>
          <cell r="X56">
            <v>107.15331250000001</v>
          </cell>
          <cell r="Y56">
            <v>0</v>
          </cell>
          <cell r="Z56">
            <v>362.67275000000001</v>
          </cell>
          <cell r="AA56">
            <v>131.88084375</v>
          </cell>
        </row>
        <row r="57">
          <cell r="C57" t="str">
            <v>Maquinaria</v>
          </cell>
          <cell r="D57">
            <v>37894</v>
          </cell>
          <cell r="E57">
            <v>37925</v>
          </cell>
          <cell r="F57">
            <v>24</v>
          </cell>
          <cell r="G57">
            <v>301855766.63</v>
          </cell>
          <cell r="H57">
            <v>0</v>
          </cell>
          <cell r="I57">
            <v>301855766.63</v>
          </cell>
          <cell r="J57">
            <v>0</v>
          </cell>
          <cell r="K57">
            <v>301855766.63</v>
          </cell>
          <cell r="L57">
            <v>12577323.609999999</v>
          </cell>
          <cell r="M57">
            <v>0</v>
          </cell>
          <cell r="N57">
            <v>-301855766.63</v>
          </cell>
          <cell r="O57">
            <v>0</v>
          </cell>
          <cell r="P57">
            <v>0</v>
          </cell>
          <cell r="Q57">
            <v>1600</v>
          </cell>
          <cell r="R57">
            <v>188659.85414375001</v>
          </cell>
          <cell r="S57">
            <v>0</v>
          </cell>
          <cell r="T57">
            <v>188659.85414375001</v>
          </cell>
          <cell r="U57">
            <v>0</v>
          </cell>
          <cell r="V57">
            <v>188659.85414375001</v>
          </cell>
          <cell r="W57">
            <v>7860.8272562499997</v>
          </cell>
          <cell r="X57">
            <v>0</v>
          </cell>
          <cell r="Y57">
            <v>-188659.85414375001</v>
          </cell>
          <cell r="Z57">
            <v>0</v>
          </cell>
          <cell r="AA57">
            <v>0</v>
          </cell>
        </row>
        <row r="58">
          <cell r="D58" t="str">
            <v>Total Sep-03</v>
          </cell>
          <cell r="G58">
            <v>301855766.63</v>
          </cell>
          <cell r="H58">
            <v>0</v>
          </cell>
          <cell r="I58">
            <v>301855766.63</v>
          </cell>
          <cell r="J58">
            <v>0</v>
          </cell>
          <cell r="K58">
            <v>301855766.63</v>
          </cell>
          <cell r="L58">
            <v>12577323.609999999</v>
          </cell>
          <cell r="M58">
            <v>0</v>
          </cell>
          <cell r="N58">
            <v>-301855766.63</v>
          </cell>
          <cell r="O58">
            <v>0</v>
          </cell>
          <cell r="P58">
            <v>0</v>
          </cell>
          <cell r="R58">
            <v>188659.85414375001</v>
          </cell>
          <cell r="S58">
            <v>0</v>
          </cell>
          <cell r="T58">
            <v>188659.85414375001</v>
          </cell>
          <cell r="U58">
            <v>0</v>
          </cell>
          <cell r="V58">
            <v>188659.85414375001</v>
          </cell>
          <cell r="W58">
            <v>7860.8272562499997</v>
          </cell>
          <cell r="X58">
            <v>0</v>
          </cell>
          <cell r="Y58">
            <v>-188659.85414375001</v>
          </cell>
          <cell r="Z58">
            <v>0</v>
          </cell>
          <cell r="AA58">
            <v>0</v>
          </cell>
        </row>
        <row r="59">
          <cell r="C59" t="str">
            <v>Maquinaria</v>
          </cell>
          <cell r="D59">
            <v>37925</v>
          </cell>
          <cell r="E59">
            <v>37925</v>
          </cell>
          <cell r="F59">
            <v>24</v>
          </cell>
          <cell r="G59">
            <v>13878601</v>
          </cell>
          <cell r="H59">
            <v>0</v>
          </cell>
          <cell r="I59">
            <v>13878601</v>
          </cell>
          <cell r="J59">
            <v>0</v>
          </cell>
          <cell r="K59">
            <v>13878601</v>
          </cell>
          <cell r="L59">
            <v>578275.04</v>
          </cell>
          <cell r="M59">
            <v>0</v>
          </cell>
          <cell r="N59">
            <v>-13878601</v>
          </cell>
          <cell r="O59">
            <v>0</v>
          </cell>
          <cell r="P59">
            <v>0</v>
          </cell>
          <cell r="Q59">
            <v>1600</v>
          </cell>
          <cell r="R59">
            <v>8674.1256250000006</v>
          </cell>
          <cell r="S59">
            <v>0</v>
          </cell>
          <cell r="T59">
            <v>8674.1256250000006</v>
          </cell>
          <cell r="U59">
            <v>0</v>
          </cell>
          <cell r="V59">
            <v>8674.1256250000006</v>
          </cell>
          <cell r="W59">
            <v>361.42190000000005</v>
          </cell>
          <cell r="X59">
            <v>0</v>
          </cell>
          <cell r="Y59">
            <v>-8674.1256250000006</v>
          </cell>
          <cell r="Z59">
            <v>0</v>
          </cell>
          <cell r="AA59">
            <v>0</v>
          </cell>
        </row>
        <row r="60">
          <cell r="C60" t="str">
            <v>Maquinaria</v>
          </cell>
          <cell r="D60">
            <v>37925</v>
          </cell>
          <cell r="E60">
            <v>37925</v>
          </cell>
          <cell r="F60">
            <v>60</v>
          </cell>
          <cell r="G60">
            <v>2450296.25</v>
          </cell>
          <cell r="H60">
            <v>0</v>
          </cell>
          <cell r="I60">
            <v>0</v>
          </cell>
          <cell r="J60">
            <v>2450296.25</v>
          </cell>
          <cell r="K60">
            <v>1061795.02</v>
          </cell>
          <cell r="L60">
            <v>40838.269999999997</v>
          </cell>
          <cell r="M60">
            <v>530897.51</v>
          </cell>
          <cell r="N60">
            <v>0</v>
          </cell>
          <cell r="O60">
            <v>1592692.53</v>
          </cell>
          <cell r="P60">
            <v>857603.72</v>
          </cell>
          <cell r="Q60">
            <v>1600</v>
          </cell>
          <cell r="R60">
            <v>1531.4351562500001</v>
          </cell>
          <cell r="S60">
            <v>0</v>
          </cell>
          <cell r="T60">
            <v>0</v>
          </cell>
          <cell r="U60">
            <v>1531.4351562500001</v>
          </cell>
          <cell r="V60">
            <v>663.62188749999996</v>
          </cell>
          <cell r="W60">
            <v>25.523918749999996</v>
          </cell>
          <cell r="X60">
            <v>331.81094374999998</v>
          </cell>
          <cell r="Y60">
            <v>0</v>
          </cell>
          <cell r="Z60">
            <v>995.43283125000005</v>
          </cell>
          <cell r="AA60">
            <v>536.00232499999993</v>
          </cell>
        </row>
        <row r="61">
          <cell r="D61" t="str">
            <v>Total Oct-03</v>
          </cell>
          <cell r="G61">
            <v>16328897.25</v>
          </cell>
          <cell r="H61">
            <v>0</v>
          </cell>
          <cell r="I61">
            <v>13878601</v>
          </cell>
          <cell r="J61">
            <v>2450296.25</v>
          </cell>
          <cell r="K61">
            <v>14940396.02</v>
          </cell>
          <cell r="L61">
            <v>619113.31000000006</v>
          </cell>
          <cell r="M61">
            <v>530897.51</v>
          </cell>
          <cell r="N61">
            <v>-13878601</v>
          </cell>
          <cell r="O61">
            <v>1592692.53</v>
          </cell>
          <cell r="P61">
            <v>857603.72</v>
          </cell>
          <cell r="R61">
            <v>10205.56078125</v>
          </cell>
          <cell r="S61">
            <v>0</v>
          </cell>
          <cell r="T61">
            <v>8674.1256250000006</v>
          </cell>
          <cell r="U61">
            <v>1531.4351562500001</v>
          </cell>
          <cell r="V61">
            <v>9337.7475125000001</v>
          </cell>
          <cell r="W61">
            <v>386.94581875000006</v>
          </cell>
          <cell r="X61">
            <v>331.81094374999998</v>
          </cell>
          <cell r="Y61">
            <v>-8674.1256250000006</v>
          </cell>
          <cell r="Z61">
            <v>995.43283125000005</v>
          </cell>
          <cell r="AA61">
            <v>536.00232499999993</v>
          </cell>
        </row>
        <row r="62">
          <cell r="C62" t="str">
            <v>Maquinaria</v>
          </cell>
          <cell r="D62">
            <v>37955</v>
          </cell>
          <cell r="E62">
            <v>37955</v>
          </cell>
          <cell r="F62">
            <v>60</v>
          </cell>
          <cell r="G62">
            <v>2410000</v>
          </cell>
          <cell r="H62">
            <v>0</v>
          </cell>
          <cell r="I62">
            <v>0</v>
          </cell>
          <cell r="J62">
            <v>2410000</v>
          </cell>
          <cell r="K62">
            <v>1004166.75</v>
          </cell>
          <cell r="L62">
            <v>40166.67</v>
          </cell>
          <cell r="M62">
            <v>522166.70999999996</v>
          </cell>
          <cell r="N62">
            <v>0</v>
          </cell>
          <cell r="O62">
            <v>1526333.46</v>
          </cell>
          <cell r="P62">
            <v>883666.54</v>
          </cell>
          <cell r="Q62">
            <v>1600</v>
          </cell>
          <cell r="R62">
            <v>1506.25</v>
          </cell>
          <cell r="S62">
            <v>0</v>
          </cell>
          <cell r="T62">
            <v>0</v>
          </cell>
          <cell r="U62">
            <v>1506.25</v>
          </cell>
          <cell r="V62">
            <v>627.60421874999997</v>
          </cell>
          <cell r="W62">
            <v>25.104168749999999</v>
          </cell>
          <cell r="X62">
            <v>326.35419374999998</v>
          </cell>
          <cell r="Y62">
            <v>0</v>
          </cell>
          <cell r="Z62">
            <v>953.95841250000001</v>
          </cell>
          <cell r="AA62">
            <v>552.29158749999999</v>
          </cell>
        </row>
        <row r="63">
          <cell r="D63" t="str">
            <v>Total Nov-03</v>
          </cell>
          <cell r="G63">
            <v>2410000</v>
          </cell>
          <cell r="H63">
            <v>0</v>
          </cell>
          <cell r="I63">
            <v>0</v>
          </cell>
          <cell r="J63">
            <v>2410000</v>
          </cell>
          <cell r="K63">
            <v>1004166.75</v>
          </cell>
          <cell r="L63">
            <v>40166.67</v>
          </cell>
          <cell r="M63">
            <v>522166.70999999996</v>
          </cell>
          <cell r="N63">
            <v>0</v>
          </cell>
          <cell r="O63">
            <v>1526333.46</v>
          </cell>
          <cell r="P63">
            <v>883666.54</v>
          </cell>
          <cell r="R63">
            <v>1506.25</v>
          </cell>
          <cell r="S63">
            <v>0</v>
          </cell>
          <cell r="T63">
            <v>0</v>
          </cell>
          <cell r="U63">
            <v>1506.25</v>
          </cell>
          <cell r="V63">
            <v>627.60421874999997</v>
          </cell>
          <cell r="W63">
            <v>25.104168749999999</v>
          </cell>
          <cell r="X63">
            <v>326.35419374999998</v>
          </cell>
          <cell r="Y63">
            <v>0</v>
          </cell>
          <cell r="Z63">
            <v>953.95841250000001</v>
          </cell>
          <cell r="AA63">
            <v>552.29158749999999</v>
          </cell>
        </row>
        <row r="64">
          <cell r="C64" t="str">
            <v>Maquinaria</v>
          </cell>
          <cell r="D64">
            <v>38625</v>
          </cell>
          <cell r="E64">
            <v>38625</v>
          </cell>
          <cell r="F64">
            <v>36</v>
          </cell>
          <cell r="G64">
            <v>2135615.29</v>
          </cell>
          <cell r="H64">
            <v>0</v>
          </cell>
          <cell r="I64">
            <v>0</v>
          </cell>
          <cell r="J64">
            <v>2135615.29</v>
          </cell>
          <cell r="K64">
            <v>177967.95</v>
          </cell>
          <cell r="L64">
            <v>59322.65</v>
          </cell>
          <cell r="M64">
            <v>771194.45000000007</v>
          </cell>
          <cell r="N64">
            <v>0</v>
          </cell>
          <cell r="O64">
            <v>949162.40000000014</v>
          </cell>
          <cell r="P64">
            <v>1186452.8899999999</v>
          </cell>
          <cell r="Q64">
            <v>2150</v>
          </cell>
          <cell r="R64">
            <v>993.30943720930236</v>
          </cell>
          <cell r="S64">
            <v>0</v>
          </cell>
          <cell r="T64">
            <v>0</v>
          </cell>
          <cell r="U64">
            <v>993.30943720930236</v>
          </cell>
          <cell r="V64">
            <v>82.775790697674424</v>
          </cell>
          <cell r="W64">
            <v>27.591930232558141</v>
          </cell>
          <cell r="X64">
            <v>358.69509302325582</v>
          </cell>
          <cell r="Y64">
            <v>0</v>
          </cell>
          <cell r="Z64">
            <v>441.47088372093032</v>
          </cell>
          <cell r="AA64">
            <v>551.8385534883721</v>
          </cell>
        </row>
        <row r="65">
          <cell r="C65" t="str">
            <v>Maquinaria</v>
          </cell>
          <cell r="D65">
            <v>38625</v>
          </cell>
          <cell r="E65">
            <v>38625</v>
          </cell>
          <cell r="F65">
            <v>36</v>
          </cell>
          <cell r="G65">
            <v>12446868.43</v>
          </cell>
          <cell r="H65">
            <v>0</v>
          </cell>
          <cell r="I65">
            <v>0</v>
          </cell>
          <cell r="J65">
            <v>12446868.43</v>
          </cell>
          <cell r="K65">
            <v>1037239.0499999999</v>
          </cell>
          <cell r="L65">
            <v>345746.35</v>
          </cell>
          <cell r="M65">
            <v>4494702.55</v>
          </cell>
          <cell r="N65">
            <v>0</v>
          </cell>
          <cell r="O65">
            <v>5531941.5999999996</v>
          </cell>
          <cell r="P65">
            <v>6914926.8300000001</v>
          </cell>
          <cell r="Q65">
            <v>2150</v>
          </cell>
          <cell r="R65">
            <v>5789.2411302325581</v>
          </cell>
          <cell r="S65">
            <v>0</v>
          </cell>
          <cell r="T65">
            <v>0</v>
          </cell>
          <cell r="U65">
            <v>5789.2411302325581</v>
          </cell>
          <cell r="V65">
            <v>482.43676744186041</v>
          </cell>
          <cell r="W65">
            <v>160.81225581395347</v>
          </cell>
          <cell r="X65">
            <v>2090.5593255813951</v>
          </cell>
          <cell r="Y65">
            <v>0</v>
          </cell>
          <cell r="Z65">
            <v>2572.9960930232555</v>
          </cell>
          <cell r="AA65">
            <v>3216.2450372093022</v>
          </cell>
        </row>
        <row r="66">
          <cell r="D66" t="str">
            <v>Total Sep-05</v>
          </cell>
          <cell r="G66">
            <v>14582483.719999999</v>
          </cell>
          <cell r="H66">
            <v>0</v>
          </cell>
          <cell r="I66">
            <v>0</v>
          </cell>
          <cell r="J66">
            <v>14582483.719999999</v>
          </cell>
          <cell r="K66">
            <v>1215207</v>
          </cell>
          <cell r="L66">
            <v>405069</v>
          </cell>
          <cell r="M66">
            <v>5265897</v>
          </cell>
          <cell r="N66">
            <v>0</v>
          </cell>
          <cell r="O66">
            <v>6481104</v>
          </cell>
          <cell r="P66">
            <v>8101379.7199999997</v>
          </cell>
          <cell r="R66">
            <v>6782.55056744186</v>
          </cell>
          <cell r="S66">
            <v>0</v>
          </cell>
          <cell r="T66">
            <v>0</v>
          </cell>
          <cell r="U66">
            <v>6782.55056744186</v>
          </cell>
          <cell r="V66">
            <v>565.21255813953485</v>
          </cell>
          <cell r="W66">
            <v>188.4041860465116</v>
          </cell>
          <cell r="X66">
            <v>2449.2544186046507</v>
          </cell>
          <cell r="Y66">
            <v>0</v>
          </cell>
          <cell r="Z66">
            <v>3014.466976744186</v>
          </cell>
          <cell r="AA66">
            <v>3768.0835906976745</v>
          </cell>
        </row>
        <row r="67">
          <cell r="C67" t="str">
            <v>Maquinaria</v>
          </cell>
          <cell r="D67">
            <v>38656</v>
          </cell>
          <cell r="E67">
            <v>38656</v>
          </cell>
          <cell r="F67">
            <v>36</v>
          </cell>
          <cell r="G67">
            <v>2634677.5538635096</v>
          </cell>
          <cell r="H67">
            <v>0</v>
          </cell>
          <cell r="I67">
            <v>0</v>
          </cell>
          <cell r="J67">
            <v>2634677.5538635096</v>
          </cell>
          <cell r="K67">
            <v>146370.98000000001</v>
          </cell>
          <cell r="L67">
            <v>73185.490000000005</v>
          </cell>
          <cell r="M67">
            <v>951411.37000000011</v>
          </cell>
          <cell r="N67">
            <v>0</v>
          </cell>
          <cell r="O67">
            <v>1097782.3500000001</v>
          </cell>
          <cell r="P67">
            <v>1536895.2038635095</v>
          </cell>
          <cell r="Q67">
            <v>2150</v>
          </cell>
          <cell r="R67">
            <v>1225.4314204016323</v>
          </cell>
          <cell r="S67">
            <v>0</v>
          </cell>
          <cell r="T67">
            <v>0</v>
          </cell>
          <cell r="U67">
            <v>1225.4314204016323</v>
          </cell>
          <cell r="V67">
            <v>68.079525581395359</v>
          </cell>
          <cell r="W67">
            <v>34.039762790697679</v>
          </cell>
          <cell r="X67">
            <v>442.51691627906985</v>
          </cell>
          <cell r="Y67">
            <v>0</v>
          </cell>
          <cell r="Z67">
            <v>510.59644186046518</v>
          </cell>
          <cell r="AA67">
            <v>714.83497854116717</v>
          </cell>
        </row>
        <row r="68">
          <cell r="D68" t="str">
            <v>Total Oct-05</v>
          </cell>
          <cell r="G68">
            <v>2634677.5538635096</v>
          </cell>
          <cell r="H68">
            <v>0</v>
          </cell>
          <cell r="I68">
            <v>0</v>
          </cell>
          <cell r="J68">
            <v>2634677.5538635096</v>
          </cell>
          <cell r="K68">
            <v>146370.98000000001</v>
          </cell>
          <cell r="L68">
            <v>73185.490000000005</v>
          </cell>
          <cell r="M68">
            <v>951411.37000000011</v>
          </cell>
          <cell r="N68">
            <v>0</v>
          </cell>
          <cell r="O68">
            <v>1097782.3500000001</v>
          </cell>
          <cell r="P68">
            <v>1536895.2038635095</v>
          </cell>
          <cell r="R68">
            <v>1225.4314204016323</v>
          </cell>
          <cell r="S68">
            <v>0</v>
          </cell>
          <cell r="T68">
            <v>0</v>
          </cell>
          <cell r="U68">
            <v>1225.4314204016323</v>
          </cell>
          <cell r="V68">
            <v>68.079525581395359</v>
          </cell>
          <cell r="W68">
            <v>34.039762790697679</v>
          </cell>
          <cell r="X68">
            <v>442.51691627906985</v>
          </cell>
          <cell r="Y68">
            <v>0</v>
          </cell>
          <cell r="Z68">
            <v>510.59644186046518</v>
          </cell>
          <cell r="AA68">
            <v>714.83497854116717</v>
          </cell>
        </row>
        <row r="69">
          <cell r="C69" t="str">
            <v>Maquinaria</v>
          </cell>
          <cell r="D69">
            <v>38776</v>
          </cell>
          <cell r="E69">
            <v>38776</v>
          </cell>
          <cell r="F69">
            <v>36</v>
          </cell>
          <cell r="G69">
            <v>0</v>
          </cell>
          <cell r="H69">
            <v>4500000</v>
          </cell>
          <cell r="I69">
            <v>0</v>
          </cell>
          <cell r="J69">
            <v>4500000</v>
          </cell>
          <cell r="K69">
            <v>0</v>
          </cell>
          <cell r="L69">
            <v>125000</v>
          </cell>
          <cell r="M69">
            <v>1375000</v>
          </cell>
          <cell r="N69">
            <v>0</v>
          </cell>
          <cell r="O69">
            <v>1375000</v>
          </cell>
          <cell r="P69">
            <v>3125000</v>
          </cell>
          <cell r="Q69">
            <v>2150</v>
          </cell>
          <cell r="R69">
            <v>0</v>
          </cell>
          <cell r="S69">
            <v>2093.0232558139537</v>
          </cell>
          <cell r="T69">
            <v>0</v>
          </cell>
          <cell r="U69">
            <v>2093.0232558139537</v>
          </cell>
          <cell r="V69">
            <v>0</v>
          </cell>
          <cell r="W69">
            <v>58.139534883720927</v>
          </cell>
          <cell r="X69">
            <v>639.53488372093022</v>
          </cell>
          <cell r="Y69">
            <v>0</v>
          </cell>
          <cell r="Z69">
            <v>639.53488372093022</v>
          </cell>
          <cell r="AA69">
            <v>1453.4883720930231</v>
          </cell>
        </row>
        <row r="70">
          <cell r="C70" t="str">
            <v>Maquinaria</v>
          </cell>
          <cell r="D70">
            <v>38776</v>
          </cell>
          <cell r="E70">
            <v>38776</v>
          </cell>
          <cell r="F70">
            <v>36</v>
          </cell>
          <cell r="G70">
            <v>0</v>
          </cell>
          <cell r="H70">
            <v>2102955.67</v>
          </cell>
          <cell r="I70">
            <v>0</v>
          </cell>
          <cell r="J70">
            <v>2102955.67</v>
          </cell>
          <cell r="K70">
            <v>0</v>
          </cell>
          <cell r="L70">
            <v>58415.44</v>
          </cell>
          <cell r="M70">
            <v>642569.84000000008</v>
          </cell>
          <cell r="N70">
            <v>0</v>
          </cell>
          <cell r="O70">
            <v>642569.84000000008</v>
          </cell>
          <cell r="P70">
            <v>1460385.8299999998</v>
          </cell>
          <cell r="Q70">
            <v>2150</v>
          </cell>
          <cell r="R70">
            <v>0</v>
          </cell>
          <cell r="S70">
            <v>978.11891627906971</v>
          </cell>
          <cell r="T70">
            <v>0</v>
          </cell>
          <cell r="U70">
            <v>978.11891627906971</v>
          </cell>
          <cell r="V70">
            <v>0</v>
          </cell>
          <cell r="W70">
            <v>27.169972093023258</v>
          </cell>
          <cell r="X70">
            <v>298.86969302325588</v>
          </cell>
          <cell r="Y70">
            <v>0</v>
          </cell>
          <cell r="Z70">
            <v>298.86969302325588</v>
          </cell>
          <cell r="AA70">
            <v>679.24922325581383</v>
          </cell>
        </row>
        <row r="71">
          <cell r="D71" t="str">
            <v>Total Feb-06</v>
          </cell>
          <cell r="G71">
            <v>0</v>
          </cell>
          <cell r="H71">
            <v>6602955.6699999999</v>
          </cell>
          <cell r="I71">
            <v>0</v>
          </cell>
          <cell r="J71">
            <v>6602955.6699999999</v>
          </cell>
          <cell r="K71">
            <v>0</v>
          </cell>
          <cell r="L71">
            <v>183415.44</v>
          </cell>
          <cell r="M71">
            <v>2017569.84</v>
          </cell>
          <cell r="N71">
            <v>0</v>
          </cell>
          <cell r="O71">
            <v>2017569.84</v>
          </cell>
          <cell r="P71">
            <v>4585385.83</v>
          </cell>
          <cell r="R71">
            <v>0</v>
          </cell>
          <cell r="S71">
            <v>3071.1421720930234</v>
          </cell>
          <cell r="T71">
            <v>0</v>
          </cell>
          <cell r="U71">
            <v>3071.1421720930234</v>
          </cell>
          <cell r="V71">
            <v>0</v>
          </cell>
          <cell r="W71">
            <v>85.309506976744188</v>
          </cell>
          <cell r="X71">
            <v>938.4045767441861</v>
          </cell>
          <cell r="Y71">
            <v>0</v>
          </cell>
          <cell r="Z71">
            <v>938.4045767441861</v>
          </cell>
          <cell r="AA71">
            <v>2132.7375953488372</v>
          </cell>
        </row>
        <row r="72">
          <cell r="C72" t="str">
            <v>Total Maquinaria</v>
          </cell>
          <cell r="G72">
            <v>439725579.1110521</v>
          </cell>
          <cell r="H72">
            <v>6602955.6699999999</v>
          </cell>
          <cell r="I72">
            <v>315734367.63</v>
          </cell>
          <cell r="J72">
            <v>130594167.15105206</v>
          </cell>
          <cell r="K72">
            <v>396864127.91999996</v>
          </cell>
          <cell r="L72">
            <v>15596836.08</v>
          </cell>
          <cell r="M72">
            <v>30660028.021002345</v>
          </cell>
          <cell r="N72">
            <v>-315734367.63</v>
          </cell>
          <cell r="O72">
            <v>111789788.31100233</v>
          </cell>
          <cell r="P72">
            <v>18804378.840049706</v>
          </cell>
          <cell r="R72">
            <v>335972.03442045156</v>
          </cell>
          <cell r="S72">
            <v>3071.1421720930234</v>
          </cell>
          <cell r="T72">
            <v>197333.97976875002</v>
          </cell>
          <cell r="U72">
            <v>141709.19682379457</v>
          </cell>
          <cell r="V72">
            <v>296926.53245558258</v>
          </cell>
          <cell r="W72">
            <v>10707.170480340574</v>
          </cell>
          <cell r="X72">
            <v>31179.410884341196</v>
          </cell>
          <cell r="Y72">
            <v>-197333.97976875002</v>
          </cell>
          <cell r="Z72">
            <v>130771.96357117376</v>
          </cell>
          <cell r="AA72">
            <v>10937.233252620805</v>
          </cell>
        </row>
        <row r="73">
          <cell r="C73" t="str">
            <v>Mobiliario de oficina</v>
          </cell>
          <cell r="D73">
            <v>37195</v>
          </cell>
          <cell r="E73">
            <v>37256</v>
          </cell>
          <cell r="F73">
            <v>36</v>
          </cell>
          <cell r="G73">
            <v>87689.94</v>
          </cell>
          <cell r="H73">
            <v>0</v>
          </cell>
          <cell r="I73">
            <v>0</v>
          </cell>
          <cell r="J73">
            <v>87689.94</v>
          </cell>
          <cell r="K73">
            <v>87689.94</v>
          </cell>
          <cell r="L73">
            <v>2435.83</v>
          </cell>
          <cell r="M73">
            <v>0</v>
          </cell>
          <cell r="N73">
            <v>0</v>
          </cell>
          <cell r="O73">
            <v>87689.94</v>
          </cell>
          <cell r="P73">
            <v>0</v>
          </cell>
          <cell r="Q73">
            <v>743.75</v>
          </cell>
          <cell r="R73">
            <v>117.90244033613446</v>
          </cell>
          <cell r="S73">
            <v>0</v>
          </cell>
          <cell r="T73">
            <v>0</v>
          </cell>
          <cell r="U73">
            <v>117.90244033613446</v>
          </cell>
          <cell r="V73">
            <v>117.90244033613446</v>
          </cell>
          <cell r="W73">
            <v>3.2750655462184874</v>
          </cell>
          <cell r="X73">
            <v>0</v>
          </cell>
          <cell r="Y73">
            <v>0</v>
          </cell>
          <cell r="Z73">
            <v>117.90244033613446</v>
          </cell>
          <cell r="AA73">
            <v>0</v>
          </cell>
        </row>
        <row r="74">
          <cell r="C74" t="str">
            <v>Mobiliario de oficina</v>
          </cell>
          <cell r="D74">
            <v>37195</v>
          </cell>
          <cell r="E74">
            <v>37256</v>
          </cell>
          <cell r="F74">
            <v>36</v>
          </cell>
          <cell r="G74">
            <v>251000</v>
          </cell>
          <cell r="H74">
            <v>0</v>
          </cell>
          <cell r="I74">
            <v>0</v>
          </cell>
          <cell r="J74">
            <v>251000</v>
          </cell>
          <cell r="K74">
            <v>251000</v>
          </cell>
          <cell r="L74">
            <v>6972.22</v>
          </cell>
          <cell r="M74">
            <v>0</v>
          </cell>
          <cell r="N74">
            <v>0</v>
          </cell>
          <cell r="O74">
            <v>251000</v>
          </cell>
          <cell r="P74">
            <v>0</v>
          </cell>
          <cell r="Q74">
            <v>743.75</v>
          </cell>
          <cell r="R74">
            <v>337.47899159663865</v>
          </cell>
          <cell r="S74">
            <v>0</v>
          </cell>
          <cell r="T74">
            <v>0</v>
          </cell>
          <cell r="U74">
            <v>337.47899159663865</v>
          </cell>
          <cell r="V74">
            <v>337.47899159663865</v>
          </cell>
          <cell r="W74">
            <v>9.3744134453781509</v>
          </cell>
          <cell r="X74">
            <v>0</v>
          </cell>
          <cell r="Y74">
            <v>0</v>
          </cell>
          <cell r="Z74">
            <v>337.47899159663865</v>
          </cell>
          <cell r="AA74">
            <v>0</v>
          </cell>
        </row>
        <row r="75">
          <cell r="C75" t="str">
            <v>Mobiliario de oficina</v>
          </cell>
          <cell r="D75">
            <v>37195</v>
          </cell>
          <cell r="E75">
            <v>37256</v>
          </cell>
          <cell r="F75">
            <v>36</v>
          </cell>
          <cell r="G75">
            <v>75109.17</v>
          </cell>
          <cell r="H75">
            <v>0</v>
          </cell>
          <cell r="I75">
            <v>0</v>
          </cell>
          <cell r="J75">
            <v>75109.17</v>
          </cell>
          <cell r="K75">
            <v>75109.17</v>
          </cell>
          <cell r="L75">
            <v>2086.37</v>
          </cell>
          <cell r="M75">
            <v>0</v>
          </cell>
          <cell r="N75">
            <v>0</v>
          </cell>
          <cell r="O75">
            <v>75109.17</v>
          </cell>
          <cell r="P75">
            <v>0</v>
          </cell>
          <cell r="Q75">
            <v>743.75</v>
          </cell>
          <cell r="R75">
            <v>100.98711932773109</v>
          </cell>
          <cell r="S75">
            <v>0</v>
          </cell>
          <cell r="T75">
            <v>0</v>
          </cell>
          <cell r="U75">
            <v>100.98711932773109</v>
          </cell>
          <cell r="V75">
            <v>100.98711932773109</v>
          </cell>
          <cell r="W75">
            <v>2.8052033613445375</v>
          </cell>
          <cell r="X75">
            <v>0</v>
          </cell>
          <cell r="Y75">
            <v>0</v>
          </cell>
          <cell r="Z75">
            <v>100.98711932773109</v>
          </cell>
          <cell r="AA75">
            <v>0</v>
          </cell>
        </row>
        <row r="76">
          <cell r="C76" t="str">
            <v>Mobiliario de oficina</v>
          </cell>
          <cell r="D76">
            <v>37195</v>
          </cell>
          <cell r="E76">
            <v>37256</v>
          </cell>
          <cell r="F76">
            <v>36</v>
          </cell>
          <cell r="G76">
            <v>106550.22</v>
          </cell>
          <cell r="H76">
            <v>0</v>
          </cell>
          <cell r="I76">
            <v>0</v>
          </cell>
          <cell r="J76">
            <v>106550.22</v>
          </cell>
          <cell r="K76">
            <v>106550.22</v>
          </cell>
          <cell r="L76">
            <v>2959.73</v>
          </cell>
          <cell r="M76">
            <v>0</v>
          </cell>
          <cell r="N76">
            <v>0</v>
          </cell>
          <cell r="O76">
            <v>106550.22</v>
          </cell>
          <cell r="P76">
            <v>0</v>
          </cell>
          <cell r="Q76">
            <v>743.75</v>
          </cell>
          <cell r="R76">
            <v>143.26079999999999</v>
          </cell>
          <cell r="S76">
            <v>0</v>
          </cell>
          <cell r="T76">
            <v>0</v>
          </cell>
          <cell r="U76">
            <v>143.26079999999999</v>
          </cell>
          <cell r="V76">
            <v>143.26079999999999</v>
          </cell>
          <cell r="W76">
            <v>3.9794689075630254</v>
          </cell>
          <cell r="X76">
            <v>0</v>
          </cell>
          <cell r="Y76">
            <v>0</v>
          </cell>
          <cell r="Z76">
            <v>143.26079999999999</v>
          </cell>
          <cell r="AA76">
            <v>0</v>
          </cell>
        </row>
        <row r="77">
          <cell r="D77" t="str">
            <v>Total Oct-01</v>
          </cell>
          <cell r="G77">
            <v>520349.32999999996</v>
          </cell>
          <cell r="H77">
            <v>0</v>
          </cell>
          <cell r="I77">
            <v>0</v>
          </cell>
          <cell r="J77">
            <v>520349.32999999996</v>
          </cell>
          <cell r="K77">
            <v>520349.32999999996</v>
          </cell>
          <cell r="L77">
            <v>14454.149999999998</v>
          </cell>
          <cell r="M77">
            <v>0</v>
          </cell>
          <cell r="N77">
            <v>0</v>
          </cell>
          <cell r="O77">
            <v>520349.32999999996</v>
          </cell>
          <cell r="P77">
            <v>0</v>
          </cell>
          <cell r="R77">
            <v>699.62935126050422</v>
          </cell>
          <cell r="S77">
            <v>0</v>
          </cell>
          <cell r="T77">
            <v>0</v>
          </cell>
          <cell r="U77">
            <v>699.62935126050422</v>
          </cell>
          <cell r="V77">
            <v>699.62935126050422</v>
          </cell>
          <cell r="W77">
            <v>19.434151260504201</v>
          </cell>
          <cell r="X77">
            <v>0</v>
          </cell>
          <cell r="Y77">
            <v>0</v>
          </cell>
          <cell r="Z77">
            <v>699.62935126050422</v>
          </cell>
          <cell r="AA77">
            <v>0</v>
          </cell>
        </row>
        <row r="78">
          <cell r="C78" t="str">
            <v>Mobiliario de oficina</v>
          </cell>
          <cell r="D78">
            <v>37225</v>
          </cell>
          <cell r="E78">
            <v>37256</v>
          </cell>
          <cell r="F78">
            <v>36</v>
          </cell>
          <cell r="G78">
            <v>208733.62</v>
          </cell>
          <cell r="H78">
            <v>0</v>
          </cell>
          <cell r="I78">
            <v>0</v>
          </cell>
          <cell r="J78">
            <v>208733.62</v>
          </cell>
          <cell r="K78">
            <v>208733.62</v>
          </cell>
          <cell r="L78">
            <v>5798.16</v>
          </cell>
          <cell r="M78">
            <v>0</v>
          </cell>
          <cell r="N78">
            <v>0</v>
          </cell>
          <cell r="O78">
            <v>208733.62</v>
          </cell>
          <cell r="P78">
            <v>0</v>
          </cell>
          <cell r="Q78">
            <v>746.5</v>
          </cell>
          <cell r="R78">
            <v>279.61636972538514</v>
          </cell>
          <cell r="S78">
            <v>0</v>
          </cell>
          <cell r="T78">
            <v>0</v>
          </cell>
          <cell r="U78">
            <v>279.61636972538514</v>
          </cell>
          <cell r="V78">
            <v>279.61636972538514</v>
          </cell>
          <cell r="W78">
            <v>7.767126590756865</v>
          </cell>
          <cell r="X78">
            <v>0</v>
          </cell>
          <cell r="Y78">
            <v>0</v>
          </cell>
          <cell r="Z78">
            <v>279.61636972538514</v>
          </cell>
          <cell r="AA78">
            <v>0</v>
          </cell>
        </row>
        <row r="79">
          <cell r="C79" t="str">
            <v>Mobiliario de oficina</v>
          </cell>
          <cell r="D79">
            <v>37225</v>
          </cell>
          <cell r="E79">
            <v>37256</v>
          </cell>
          <cell r="F79">
            <v>36</v>
          </cell>
          <cell r="G79">
            <v>237554.59</v>
          </cell>
          <cell r="H79">
            <v>0</v>
          </cell>
          <cell r="I79">
            <v>0</v>
          </cell>
          <cell r="J79">
            <v>237554.59</v>
          </cell>
          <cell r="K79">
            <v>237554.59</v>
          </cell>
          <cell r="L79">
            <v>6598.74</v>
          </cell>
          <cell r="M79">
            <v>0</v>
          </cell>
          <cell r="N79">
            <v>0</v>
          </cell>
          <cell r="O79">
            <v>237554.59</v>
          </cell>
          <cell r="P79">
            <v>0</v>
          </cell>
          <cell r="Q79">
            <v>746.5</v>
          </cell>
          <cell r="R79">
            <v>318.22450100468853</v>
          </cell>
          <cell r="S79">
            <v>0</v>
          </cell>
          <cell r="T79">
            <v>0</v>
          </cell>
          <cell r="U79">
            <v>318.22450100468853</v>
          </cell>
          <cell r="V79">
            <v>318.22450100468853</v>
          </cell>
          <cell r="W79">
            <v>8.8395713328868055</v>
          </cell>
          <cell r="X79">
            <v>0</v>
          </cell>
          <cell r="Y79">
            <v>0</v>
          </cell>
          <cell r="Z79">
            <v>318.22450100468853</v>
          </cell>
          <cell r="AA79">
            <v>0</v>
          </cell>
        </row>
        <row r="80">
          <cell r="C80" t="str">
            <v>Mobiliario de oficina</v>
          </cell>
          <cell r="D80">
            <v>37225</v>
          </cell>
          <cell r="E80">
            <v>37256</v>
          </cell>
          <cell r="F80">
            <v>36</v>
          </cell>
          <cell r="G80">
            <v>2811772</v>
          </cell>
          <cell r="H80">
            <v>0</v>
          </cell>
          <cell r="I80">
            <v>0</v>
          </cell>
          <cell r="J80">
            <v>2811772</v>
          </cell>
          <cell r="K80">
            <v>2811772</v>
          </cell>
          <cell r="L80">
            <v>78104.78</v>
          </cell>
          <cell r="M80">
            <v>0</v>
          </cell>
          <cell r="N80">
            <v>0</v>
          </cell>
          <cell r="O80">
            <v>2811772</v>
          </cell>
          <cell r="P80">
            <v>0</v>
          </cell>
          <cell r="Q80">
            <v>746.5</v>
          </cell>
          <cell r="R80">
            <v>3766.6068318821167</v>
          </cell>
          <cell r="S80">
            <v>0</v>
          </cell>
          <cell r="T80">
            <v>0</v>
          </cell>
          <cell r="U80">
            <v>3766.6068318821167</v>
          </cell>
          <cell r="V80">
            <v>3766.6068318821167</v>
          </cell>
          <cell r="W80">
            <v>104.62797052913596</v>
          </cell>
          <cell r="X80">
            <v>0</v>
          </cell>
          <cell r="Y80">
            <v>0</v>
          </cell>
          <cell r="Z80">
            <v>3766.6068318821167</v>
          </cell>
          <cell r="AA80">
            <v>0</v>
          </cell>
        </row>
        <row r="81">
          <cell r="D81" t="str">
            <v>Total Nov-01</v>
          </cell>
          <cell r="G81">
            <v>3258060.21</v>
          </cell>
          <cell r="H81">
            <v>0</v>
          </cell>
          <cell r="I81">
            <v>0</v>
          </cell>
          <cell r="J81">
            <v>3258060.21</v>
          </cell>
          <cell r="K81">
            <v>3258060.21</v>
          </cell>
          <cell r="L81">
            <v>90501.68</v>
          </cell>
          <cell r="M81">
            <v>0</v>
          </cell>
          <cell r="N81">
            <v>0</v>
          </cell>
          <cell r="O81">
            <v>3258060.21</v>
          </cell>
          <cell r="P81">
            <v>0</v>
          </cell>
          <cell r="R81">
            <v>4364.4477026121904</v>
          </cell>
          <cell r="S81">
            <v>0</v>
          </cell>
          <cell r="T81">
            <v>0</v>
          </cell>
          <cell r="U81">
            <v>4364.4477026121904</v>
          </cell>
          <cell r="V81">
            <v>4364.4477026121904</v>
          </cell>
          <cell r="W81">
            <v>121.23466845277963</v>
          </cell>
          <cell r="X81">
            <v>0</v>
          </cell>
          <cell r="Y81">
            <v>0</v>
          </cell>
          <cell r="Z81">
            <v>4364.4477026121904</v>
          </cell>
          <cell r="AA81">
            <v>0</v>
          </cell>
        </row>
        <row r="82">
          <cell r="C82" t="str">
            <v>Mobiliario de oficina</v>
          </cell>
          <cell r="D82">
            <v>37256</v>
          </cell>
          <cell r="E82">
            <v>37256</v>
          </cell>
          <cell r="F82">
            <v>36</v>
          </cell>
          <cell r="G82">
            <v>122170.74</v>
          </cell>
          <cell r="H82">
            <v>0</v>
          </cell>
          <cell r="I82">
            <v>0</v>
          </cell>
          <cell r="J82">
            <v>122170.74</v>
          </cell>
          <cell r="K82">
            <v>122170.74</v>
          </cell>
          <cell r="L82">
            <v>3393.63</v>
          </cell>
          <cell r="M82">
            <v>0</v>
          </cell>
          <cell r="N82">
            <v>0</v>
          </cell>
          <cell r="O82">
            <v>122170.74</v>
          </cell>
          <cell r="P82">
            <v>0</v>
          </cell>
          <cell r="Q82">
            <v>760</v>
          </cell>
          <cell r="R82">
            <v>160.75097368421052</v>
          </cell>
          <cell r="S82">
            <v>0</v>
          </cell>
          <cell r="T82">
            <v>0</v>
          </cell>
          <cell r="U82">
            <v>160.75097368421052</v>
          </cell>
          <cell r="V82">
            <v>160.75097368421052</v>
          </cell>
          <cell r="W82">
            <v>4.4653026315789477</v>
          </cell>
          <cell r="X82">
            <v>0</v>
          </cell>
          <cell r="Y82">
            <v>0</v>
          </cell>
          <cell r="Z82">
            <v>160.75097368421052</v>
          </cell>
          <cell r="AA82">
            <v>0</v>
          </cell>
        </row>
        <row r="83">
          <cell r="C83" t="str">
            <v>Mobiliario de oficina</v>
          </cell>
          <cell r="D83">
            <v>37256</v>
          </cell>
          <cell r="E83">
            <v>37256</v>
          </cell>
          <cell r="F83">
            <v>36</v>
          </cell>
          <cell r="G83">
            <v>115800</v>
          </cell>
          <cell r="H83">
            <v>0</v>
          </cell>
          <cell r="I83">
            <v>0</v>
          </cell>
          <cell r="J83">
            <v>115800</v>
          </cell>
          <cell r="K83">
            <v>115800</v>
          </cell>
          <cell r="L83">
            <v>3216.67</v>
          </cell>
          <cell r="M83">
            <v>0</v>
          </cell>
          <cell r="N83">
            <v>0</v>
          </cell>
          <cell r="O83">
            <v>115800</v>
          </cell>
          <cell r="P83">
            <v>0</v>
          </cell>
          <cell r="Q83">
            <v>760</v>
          </cell>
          <cell r="R83">
            <v>152.36842105263159</v>
          </cell>
          <cell r="S83">
            <v>0</v>
          </cell>
          <cell r="T83">
            <v>0</v>
          </cell>
          <cell r="U83">
            <v>152.36842105263159</v>
          </cell>
          <cell r="V83">
            <v>152.36842105263159</v>
          </cell>
          <cell r="W83">
            <v>4.2324605263157897</v>
          </cell>
          <cell r="X83">
            <v>0</v>
          </cell>
          <cell r="Y83">
            <v>0</v>
          </cell>
          <cell r="Z83">
            <v>152.36842105263159</v>
          </cell>
          <cell r="AA83">
            <v>0</v>
          </cell>
        </row>
        <row r="84">
          <cell r="C84" t="str">
            <v>Mobiliario de oficina</v>
          </cell>
          <cell r="D84">
            <v>37256</v>
          </cell>
          <cell r="E84">
            <v>37256</v>
          </cell>
          <cell r="F84">
            <v>36</v>
          </cell>
          <cell r="G84">
            <v>59000</v>
          </cell>
          <cell r="H84">
            <v>0</v>
          </cell>
          <cell r="I84">
            <v>0</v>
          </cell>
          <cell r="J84">
            <v>59000</v>
          </cell>
          <cell r="K84">
            <v>59000</v>
          </cell>
          <cell r="L84">
            <v>1638.89</v>
          </cell>
          <cell r="M84">
            <v>0</v>
          </cell>
          <cell r="N84">
            <v>0</v>
          </cell>
          <cell r="O84">
            <v>59000</v>
          </cell>
          <cell r="P84">
            <v>0</v>
          </cell>
          <cell r="Q84">
            <v>760</v>
          </cell>
          <cell r="R84">
            <v>77.631578947368425</v>
          </cell>
          <cell r="S84">
            <v>0</v>
          </cell>
          <cell r="T84">
            <v>0</v>
          </cell>
          <cell r="U84">
            <v>77.631578947368425</v>
          </cell>
          <cell r="V84">
            <v>77.631578947368425</v>
          </cell>
          <cell r="W84">
            <v>2.1564342105263159</v>
          </cell>
          <cell r="X84">
            <v>0</v>
          </cell>
          <cell r="Y84">
            <v>0</v>
          </cell>
          <cell r="Z84">
            <v>77.631578947368425</v>
          </cell>
          <cell r="AA84">
            <v>0</v>
          </cell>
        </row>
        <row r="85">
          <cell r="C85" t="str">
            <v>Mobiliario de oficina</v>
          </cell>
          <cell r="D85">
            <v>37256</v>
          </cell>
          <cell r="E85">
            <v>37256</v>
          </cell>
          <cell r="F85">
            <v>36</v>
          </cell>
          <cell r="G85">
            <v>1450000</v>
          </cell>
          <cell r="H85">
            <v>0</v>
          </cell>
          <cell r="I85">
            <v>0</v>
          </cell>
          <cell r="J85">
            <v>1450000</v>
          </cell>
          <cell r="K85">
            <v>1450000</v>
          </cell>
          <cell r="L85">
            <v>40277.78</v>
          </cell>
          <cell r="M85">
            <v>0</v>
          </cell>
          <cell r="N85">
            <v>0</v>
          </cell>
          <cell r="O85">
            <v>1450000</v>
          </cell>
          <cell r="P85">
            <v>0</v>
          </cell>
          <cell r="Q85">
            <v>760</v>
          </cell>
          <cell r="R85">
            <v>1907.8947368421052</v>
          </cell>
          <cell r="S85">
            <v>0</v>
          </cell>
          <cell r="T85">
            <v>0</v>
          </cell>
          <cell r="U85">
            <v>1907.8947368421052</v>
          </cell>
          <cell r="V85">
            <v>1907.8947368421052</v>
          </cell>
          <cell r="W85">
            <v>52.997078947368422</v>
          </cell>
          <cell r="X85">
            <v>0</v>
          </cell>
          <cell r="Y85">
            <v>0</v>
          </cell>
          <cell r="Z85">
            <v>1907.8947368421052</v>
          </cell>
          <cell r="AA85">
            <v>0</v>
          </cell>
        </row>
        <row r="86">
          <cell r="D86" t="str">
            <v>Total Dic-01</v>
          </cell>
          <cell r="G86">
            <v>1746970.74</v>
          </cell>
          <cell r="H86">
            <v>0</v>
          </cell>
          <cell r="I86">
            <v>0</v>
          </cell>
          <cell r="J86">
            <v>1746970.74</v>
          </cell>
          <cell r="K86">
            <v>1746970.74</v>
          </cell>
          <cell r="L86">
            <v>48526.97</v>
          </cell>
          <cell r="M86">
            <v>0</v>
          </cell>
          <cell r="N86">
            <v>0</v>
          </cell>
          <cell r="O86">
            <v>1746970.74</v>
          </cell>
          <cell r="P86">
            <v>0</v>
          </cell>
          <cell r="R86">
            <v>2298.6457105263157</v>
          </cell>
          <cell r="S86">
            <v>0</v>
          </cell>
          <cell r="T86">
            <v>0</v>
          </cell>
          <cell r="U86">
            <v>2298.6457105263157</v>
          </cell>
          <cell r="V86">
            <v>2298.6457105263157</v>
          </cell>
          <cell r="W86">
            <v>63.851276315789477</v>
          </cell>
          <cell r="X86">
            <v>0</v>
          </cell>
          <cell r="Y86">
            <v>0</v>
          </cell>
          <cell r="Z86">
            <v>2298.6457105263157</v>
          </cell>
          <cell r="AA86">
            <v>0</v>
          </cell>
        </row>
        <row r="87">
          <cell r="C87" t="str">
            <v>Mobiliario de oficina</v>
          </cell>
          <cell r="D87">
            <v>37499</v>
          </cell>
          <cell r="E87">
            <v>37499</v>
          </cell>
          <cell r="F87">
            <v>36</v>
          </cell>
          <cell r="G87">
            <v>1275415.5</v>
          </cell>
          <cell r="H87">
            <v>0</v>
          </cell>
          <cell r="I87">
            <v>0</v>
          </cell>
          <cell r="J87">
            <v>1275415.5</v>
          </cell>
          <cell r="K87">
            <v>1275415.5</v>
          </cell>
          <cell r="L87">
            <v>35428.21</v>
          </cell>
          <cell r="M87">
            <v>0</v>
          </cell>
          <cell r="N87">
            <v>0</v>
          </cell>
          <cell r="O87">
            <v>1275415.5</v>
          </cell>
          <cell r="P87">
            <v>0</v>
          </cell>
          <cell r="Q87">
            <v>1415.5</v>
          </cell>
          <cell r="R87">
            <v>901.03532320734723</v>
          </cell>
          <cell r="S87">
            <v>0</v>
          </cell>
          <cell r="T87">
            <v>0</v>
          </cell>
          <cell r="U87">
            <v>901.03532320734723</v>
          </cell>
          <cell r="V87">
            <v>901.03532320734723</v>
          </cell>
          <cell r="W87">
            <v>25.028760155422113</v>
          </cell>
          <cell r="X87">
            <v>0</v>
          </cell>
          <cell r="Y87">
            <v>0</v>
          </cell>
          <cell r="Z87">
            <v>901.03532320734723</v>
          </cell>
          <cell r="AA87">
            <v>0</v>
          </cell>
        </row>
        <row r="88">
          <cell r="D88" t="str">
            <v>Total Ago-02</v>
          </cell>
          <cell r="G88">
            <v>1275415.5</v>
          </cell>
          <cell r="H88">
            <v>0</v>
          </cell>
          <cell r="I88">
            <v>0</v>
          </cell>
          <cell r="J88">
            <v>1275415.5</v>
          </cell>
          <cell r="K88">
            <v>1275415.5</v>
          </cell>
          <cell r="L88">
            <v>35428.21</v>
          </cell>
          <cell r="M88">
            <v>0</v>
          </cell>
          <cell r="N88">
            <v>0</v>
          </cell>
          <cell r="O88">
            <v>1275415.5</v>
          </cell>
          <cell r="P88">
            <v>0</v>
          </cell>
          <cell r="R88">
            <v>901.03532320734723</v>
          </cell>
          <cell r="S88">
            <v>0</v>
          </cell>
          <cell r="T88">
            <v>0</v>
          </cell>
          <cell r="U88">
            <v>901.03532320734723</v>
          </cell>
          <cell r="V88">
            <v>901.03532320734723</v>
          </cell>
          <cell r="W88">
            <v>25.028760155422113</v>
          </cell>
          <cell r="X88">
            <v>0</v>
          </cell>
          <cell r="Y88">
            <v>0</v>
          </cell>
          <cell r="Z88">
            <v>901.03532320734723</v>
          </cell>
          <cell r="AA88">
            <v>0</v>
          </cell>
        </row>
        <row r="89">
          <cell r="C89" t="str">
            <v>Total Mobiliario de oficina</v>
          </cell>
          <cell r="G89">
            <v>6800795.7800000003</v>
          </cell>
          <cell r="H89">
            <v>0</v>
          </cell>
          <cell r="I89">
            <v>0</v>
          </cell>
          <cell r="J89">
            <v>6800795.7800000003</v>
          </cell>
          <cell r="K89">
            <v>6800795.7800000003</v>
          </cell>
          <cell r="L89">
            <v>188911.00999999998</v>
          </cell>
          <cell r="M89">
            <v>0</v>
          </cell>
          <cell r="N89">
            <v>0</v>
          </cell>
          <cell r="O89">
            <v>6800795.7800000003</v>
          </cell>
          <cell r="P89">
            <v>0</v>
          </cell>
          <cell r="R89">
            <v>8263.7580876063566</v>
          </cell>
          <cell r="S89">
            <v>0</v>
          </cell>
          <cell r="T89">
            <v>0</v>
          </cell>
          <cell r="U89">
            <v>8263.7580876063566</v>
          </cell>
          <cell r="V89">
            <v>8263.7580876063566</v>
          </cell>
          <cell r="W89">
            <v>229.54885618449538</v>
          </cell>
          <cell r="X89">
            <v>0</v>
          </cell>
          <cell r="Y89">
            <v>0</v>
          </cell>
          <cell r="Z89">
            <v>8263.7580876063566</v>
          </cell>
          <cell r="AA89">
            <v>0</v>
          </cell>
        </row>
        <row r="90">
          <cell r="C90" t="str">
            <v>Vehículos</v>
          </cell>
          <cell r="D90">
            <v>37195</v>
          </cell>
          <cell r="E90">
            <v>37256</v>
          </cell>
          <cell r="F90">
            <v>60</v>
          </cell>
          <cell r="G90">
            <v>12230920.75</v>
          </cell>
          <cell r="H90">
            <v>0</v>
          </cell>
          <cell r="I90">
            <v>0</v>
          </cell>
          <cell r="J90">
            <v>12230920.75</v>
          </cell>
          <cell r="K90">
            <v>9784736.6400000006</v>
          </cell>
          <cell r="L90">
            <v>203848.68</v>
          </cell>
          <cell r="M90">
            <v>2446184.1099999994</v>
          </cell>
          <cell r="N90">
            <v>0</v>
          </cell>
          <cell r="O90">
            <v>12230920.75</v>
          </cell>
          <cell r="P90">
            <v>0</v>
          </cell>
          <cell r="Q90">
            <v>743.75</v>
          </cell>
          <cell r="R90">
            <v>16444.935462184872</v>
          </cell>
          <cell r="S90">
            <v>0</v>
          </cell>
          <cell r="T90">
            <v>0</v>
          </cell>
          <cell r="U90">
            <v>16444.935462184872</v>
          </cell>
          <cell r="V90">
            <v>13155.948423529413</v>
          </cell>
          <cell r="W90">
            <v>274.0822588235294</v>
          </cell>
          <cell r="X90">
            <v>3288.9870386554612</v>
          </cell>
          <cell r="Y90">
            <v>0</v>
          </cell>
          <cell r="Z90">
            <v>16444.935462184872</v>
          </cell>
          <cell r="AA90">
            <v>0</v>
          </cell>
        </row>
        <row r="91">
          <cell r="D91" t="str">
            <v>Total Oct-01</v>
          </cell>
          <cell r="G91">
            <v>12230920.75</v>
          </cell>
          <cell r="H91">
            <v>0</v>
          </cell>
          <cell r="I91">
            <v>0</v>
          </cell>
          <cell r="J91">
            <v>12230920.75</v>
          </cell>
          <cell r="K91">
            <v>9784736.6400000006</v>
          </cell>
          <cell r="L91">
            <v>203848.68</v>
          </cell>
          <cell r="M91">
            <v>2446184.1099999994</v>
          </cell>
          <cell r="N91">
            <v>0</v>
          </cell>
          <cell r="O91">
            <v>12230920.75</v>
          </cell>
          <cell r="P91">
            <v>0</v>
          </cell>
          <cell r="R91">
            <v>16444.935462184872</v>
          </cell>
          <cell r="S91">
            <v>0</v>
          </cell>
          <cell r="T91">
            <v>0</v>
          </cell>
          <cell r="U91">
            <v>16444.935462184872</v>
          </cell>
          <cell r="V91">
            <v>13155.948423529413</v>
          </cell>
          <cell r="W91">
            <v>274.0822588235294</v>
          </cell>
          <cell r="X91">
            <v>3288.9870386554612</v>
          </cell>
          <cell r="Y91">
            <v>0</v>
          </cell>
          <cell r="Z91">
            <v>16444.935462184872</v>
          </cell>
          <cell r="AA91">
            <v>0</v>
          </cell>
        </row>
        <row r="92">
          <cell r="C92" t="str">
            <v>Vehículos</v>
          </cell>
          <cell r="D92">
            <v>37560</v>
          </cell>
          <cell r="E92">
            <v>37560</v>
          </cell>
          <cell r="F92">
            <v>60</v>
          </cell>
          <cell r="G92">
            <v>9400000</v>
          </cell>
          <cell r="H92">
            <v>0</v>
          </cell>
          <cell r="I92">
            <v>0</v>
          </cell>
          <cell r="J92">
            <v>9400000</v>
          </cell>
          <cell r="K92">
            <v>5953333.4600000009</v>
          </cell>
          <cell r="L92">
            <v>156666.67000000001</v>
          </cell>
          <cell r="M92">
            <v>2036666.7100000002</v>
          </cell>
          <cell r="N92">
            <v>0</v>
          </cell>
          <cell r="O92">
            <v>7990000.1700000009</v>
          </cell>
          <cell r="P92">
            <v>1409999.8299999991</v>
          </cell>
          <cell r="Q92">
            <v>1420.25</v>
          </cell>
          <cell r="R92">
            <v>6618.5530716423164</v>
          </cell>
          <cell r="S92">
            <v>0</v>
          </cell>
          <cell r="T92">
            <v>0</v>
          </cell>
          <cell r="U92">
            <v>6618.5530716423164</v>
          </cell>
          <cell r="V92">
            <v>4191.750367892977</v>
          </cell>
          <cell r="W92">
            <v>110.30922020770991</v>
          </cell>
          <cell r="X92">
            <v>1434.0198627002289</v>
          </cell>
          <cell r="Y92">
            <v>0</v>
          </cell>
          <cell r="Z92">
            <v>5625.7702305932062</v>
          </cell>
          <cell r="AA92">
            <v>992.78284104911052</v>
          </cell>
        </row>
        <row r="93">
          <cell r="D93" t="str">
            <v>Total Oct-02</v>
          </cell>
          <cell r="G93">
            <v>9400000</v>
          </cell>
          <cell r="H93">
            <v>0</v>
          </cell>
          <cell r="I93">
            <v>0</v>
          </cell>
          <cell r="J93">
            <v>9400000</v>
          </cell>
          <cell r="K93">
            <v>5953333.4600000009</v>
          </cell>
          <cell r="L93">
            <v>156666.67000000001</v>
          </cell>
          <cell r="M93">
            <v>2036666.7100000002</v>
          </cell>
          <cell r="N93">
            <v>0</v>
          </cell>
          <cell r="O93">
            <v>7990000.1700000009</v>
          </cell>
          <cell r="P93">
            <v>1409999.8299999991</v>
          </cell>
          <cell r="R93">
            <v>6618.5530716423164</v>
          </cell>
          <cell r="S93">
            <v>0</v>
          </cell>
          <cell r="T93">
            <v>0</v>
          </cell>
          <cell r="U93">
            <v>6618.5530716423164</v>
          </cell>
          <cell r="V93">
            <v>4191.750367892977</v>
          </cell>
          <cell r="W93">
            <v>110.30922020770991</v>
          </cell>
          <cell r="X93">
            <v>1434.0198627002289</v>
          </cell>
          <cell r="Y93">
            <v>0</v>
          </cell>
          <cell r="Z93">
            <v>5625.7702305932062</v>
          </cell>
          <cell r="AA93">
            <v>992.78284104911052</v>
          </cell>
        </row>
        <row r="94">
          <cell r="C94" t="str">
            <v>Vehículos</v>
          </cell>
          <cell r="D94">
            <v>38442</v>
          </cell>
          <cell r="E94">
            <v>38442</v>
          </cell>
          <cell r="F94">
            <v>36</v>
          </cell>
          <cell r="G94">
            <v>40279334.780000001</v>
          </cell>
          <cell r="H94">
            <v>0</v>
          </cell>
          <cell r="I94">
            <v>0</v>
          </cell>
          <cell r="J94">
            <v>40279334.780000001</v>
          </cell>
          <cell r="K94">
            <v>10069833.689999999</v>
          </cell>
          <cell r="L94">
            <v>1118870.4099999999</v>
          </cell>
          <cell r="M94">
            <v>14545315.329999998</v>
          </cell>
          <cell r="N94">
            <v>0</v>
          </cell>
          <cell r="O94">
            <v>24615149.019999996</v>
          </cell>
          <cell r="P94">
            <v>15664185.760000005</v>
          </cell>
          <cell r="Q94">
            <v>2150</v>
          </cell>
          <cell r="R94">
            <v>18734.574316279071</v>
          </cell>
          <cell r="S94">
            <v>0</v>
          </cell>
          <cell r="T94">
            <v>0</v>
          </cell>
          <cell r="U94">
            <v>18734.574316279071</v>
          </cell>
          <cell r="V94">
            <v>4683.6435767441862</v>
          </cell>
          <cell r="W94">
            <v>520.40484186046513</v>
          </cell>
          <cell r="X94">
            <v>6765.2629441860454</v>
          </cell>
          <cell r="Y94">
            <v>0</v>
          </cell>
          <cell r="Z94">
            <v>11448.90652093023</v>
          </cell>
          <cell r="AA94">
            <v>7285.6677953488397</v>
          </cell>
        </row>
        <row r="95">
          <cell r="D95" t="str">
            <v>Total Mar-05</v>
          </cell>
          <cell r="G95">
            <v>40279334.780000001</v>
          </cell>
          <cell r="H95">
            <v>0</v>
          </cell>
          <cell r="I95">
            <v>0</v>
          </cell>
          <cell r="J95">
            <v>40279334.780000001</v>
          </cell>
          <cell r="K95">
            <v>10069833.689999999</v>
          </cell>
          <cell r="L95">
            <v>1118870.4099999999</v>
          </cell>
          <cell r="M95">
            <v>14545315.329999998</v>
          </cell>
          <cell r="N95">
            <v>0</v>
          </cell>
          <cell r="O95">
            <v>24615149.019999996</v>
          </cell>
          <cell r="P95">
            <v>15664185.760000005</v>
          </cell>
          <cell r="R95">
            <v>18734.574316279071</v>
          </cell>
          <cell r="S95">
            <v>0</v>
          </cell>
          <cell r="T95">
            <v>0</v>
          </cell>
          <cell r="U95">
            <v>18734.574316279071</v>
          </cell>
          <cell r="V95">
            <v>4683.6435767441862</v>
          </cell>
          <cell r="W95">
            <v>520.40484186046513</v>
          </cell>
          <cell r="X95">
            <v>6765.2629441860454</v>
          </cell>
          <cell r="Y95">
            <v>0</v>
          </cell>
          <cell r="Z95">
            <v>11448.90652093023</v>
          </cell>
          <cell r="AA95">
            <v>7285.6677953488397</v>
          </cell>
        </row>
        <row r="96">
          <cell r="C96" t="str">
            <v>Total Vehículos</v>
          </cell>
          <cell r="G96">
            <v>61910255.530000001</v>
          </cell>
          <cell r="H96">
            <v>0</v>
          </cell>
          <cell r="I96">
            <v>0</v>
          </cell>
          <cell r="J96">
            <v>61910255.530000001</v>
          </cell>
          <cell r="K96">
            <v>25807903.789999999</v>
          </cell>
          <cell r="L96">
            <v>1479385.7599999998</v>
          </cell>
          <cell r="M96">
            <v>19028166.149999999</v>
          </cell>
          <cell r="N96">
            <v>0</v>
          </cell>
          <cell r="O96">
            <v>44836069.939999998</v>
          </cell>
          <cell r="P96">
            <v>17074185.590000004</v>
          </cell>
          <cell r="R96">
            <v>41798.06285010626</v>
          </cell>
          <cell r="S96">
            <v>0</v>
          </cell>
          <cell r="T96">
            <v>0</v>
          </cell>
          <cell r="U96">
            <v>41798.06285010626</v>
          </cell>
          <cell r="V96">
            <v>22031.342368166577</v>
          </cell>
          <cell r="W96">
            <v>904.79632089170445</v>
          </cell>
          <cell r="X96">
            <v>11488.269845541736</v>
          </cell>
          <cell r="Y96">
            <v>0</v>
          </cell>
          <cell r="Z96">
            <v>33519.612213708308</v>
          </cell>
          <cell r="AA96">
            <v>8278.4506363979508</v>
          </cell>
        </row>
        <row r="97">
          <cell r="D97" t="str">
            <v>Total general</v>
          </cell>
          <cell r="G97">
            <v>525814619.35986423</v>
          </cell>
          <cell r="H97">
            <v>6602955.6699999999</v>
          </cell>
          <cell r="I97">
            <v>315734367.63</v>
          </cell>
          <cell r="J97">
            <v>216683207.39986411</v>
          </cell>
          <cell r="K97">
            <v>439638490.72881204</v>
          </cell>
          <cell r="L97">
            <v>17747854.760000002</v>
          </cell>
          <cell r="M97">
            <v>52292645.111002341</v>
          </cell>
          <cell r="N97">
            <v>-315734367.63</v>
          </cell>
          <cell r="O97">
            <v>176196768.20981443</v>
          </cell>
          <cell r="P97">
            <v>40486439.190049708</v>
          </cell>
          <cell r="R97">
            <v>401615.23692231107</v>
          </cell>
          <cell r="S97">
            <v>3071.1421720930234</v>
          </cell>
          <cell r="T97">
            <v>197333.97976875002</v>
          </cell>
          <cell r="U97">
            <v>207352.39932565429</v>
          </cell>
          <cell r="V97">
            <v>339448.44438247912</v>
          </cell>
          <cell r="W97">
            <v>12274.331808302251</v>
          </cell>
          <cell r="X97">
            <v>43879.053260115492</v>
          </cell>
          <cell r="Y97">
            <v>-197333.97976875002</v>
          </cell>
          <cell r="Z97">
            <v>185993.51787384483</v>
          </cell>
          <cell r="AA97">
            <v>21358.881451809451</v>
          </cell>
        </row>
        <row r="98">
          <cell r="C98" t="str">
            <v>Total general</v>
          </cell>
          <cell r="G98">
            <v>525814619.35986423</v>
          </cell>
          <cell r="H98">
            <v>6602955.6699999999</v>
          </cell>
          <cell r="I98">
            <v>315734367.63</v>
          </cell>
          <cell r="J98">
            <v>216683207.39986411</v>
          </cell>
          <cell r="K98">
            <v>439638490.72881204</v>
          </cell>
          <cell r="L98">
            <v>17747854.760000002</v>
          </cell>
          <cell r="M98">
            <v>52292645.111002341</v>
          </cell>
          <cell r="N98">
            <v>-315734367.63</v>
          </cell>
          <cell r="O98">
            <v>176196768.20981443</v>
          </cell>
          <cell r="P98">
            <v>40486439.190049708</v>
          </cell>
          <cell r="R98">
            <v>401615.23692231107</v>
          </cell>
          <cell r="S98">
            <v>3071.1421720930234</v>
          </cell>
          <cell r="T98">
            <v>197333.97976875002</v>
          </cell>
          <cell r="U98">
            <v>207352.39932565429</v>
          </cell>
          <cell r="V98">
            <v>339448.44438247912</v>
          </cell>
          <cell r="W98">
            <v>12274.331808302251</v>
          </cell>
          <cell r="X98">
            <v>43879.053260115492</v>
          </cell>
          <cell r="Y98">
            <v>-197333.97976875002</v>
          </cell>
          <cell r="Z98">
            <v>185993.51787384483</v>
          </cell>
          <cell r="AA98">
            <v>21358.881451809451</v>
          </cell>
        </row>
        <row r="99">
          <cell r="C99" t="str">
            <v>Saldo libros</v>
          </cell>
          <cell r="G99" t="e">
            <v>#REF!</v>
          </cell>
          <cell r="J99" t="e">
            <v>#REF!</v>
          </cell>
          <cell r="K99" t="e">
            <v>#REF!</v>
          </cell>
          <cell r="L99">
            <v>360515.35</v>
          </cell>
          <cell r="M99" t="e">
            <v>#REF!</v>
          </cell>
          <cell r="O99" t="e">
            <v>#REF!</v>
          </cell>
          <cell r="P99">
            <v>0</v>
          </cell>
          <cell r="R99" t="e">
            <v>#REF!</v>
          </cell>
          <cell r="U99" t="e">
            <v>#REF!</v>
          </cell>
          <cell r="V99" t="e">
            <v>#REF!</v>
          </cell>
          <cell r="X99" t="e">
            <v>#REF!</v>
          </cell>
          <cell r="Z99" t="e">
            <v>#REF!</v>
          </cell>
          <cell r="AA99">
            <v>55507.814308803077</v>
          </cell>
        </row>
        <row r="100">
          <cell r="C100" t="str">
            <v>Diferencia</v>
          </cell>
          <cell r="G100" t="e">
            <v>#REF!</v>
          </cell>
          <cell r="J100" t="e">
            <v>#REF!</v>
          </cell>
          <cell r="K100" t="e">
            <v>#REF!</v>
          </cell>
          <cell r="M100" t="e">
            <v>#REF!</v>
          </cell>
          <cell r="N100">
            <v>315734367.63</v>
          </cell>
          <cell r="O100" t="e">
            <v>#REF!</v>
          </cell>
          <cell r="P100">
            <v>-40486439.190049708</v>
          </cell>
          <cell r="Q100">
            <v>0</v>
          </cell>
          <cell r="R100" t="e">
            <v>#REF!</v>
          </cell>
          <cell r="U100" t="e">
            <v>#REF!</v>
          </cell>
          <cell r="V100" t="e">
            <v>#REF!</v>
          </cell>
          <cell r="X100" t="e">
            <v>#REF!</v>
          </cell>
          <cell r="Y100">
            <v>197333.97976875002</v>
          </cell>
          <cell r="Z100" t="e">
            <v>#REF!</v>
          </cell>
          <cell r="AA100">
            <v>34148.932856993626</v>
          </cell>
        </row>
        <row r="103">
          <cell r="D103">
            <v>2001</v>
          </cell>
          <cell r="G103">
            <v>63614862.879814424</v>
          </cell>
          <cell r="H103">
            <v>0</v>
          </cell>
          <cell r="I103">
            <v>0</v>
          </cell>
          <cell r="J103">
            <v>63614862.879814424</v>
          </cell>
          <cell r="K103">
            <v>52657938.558812089</v>
          </cell>
          <cell r="L103">
            <v>1158361.54</v>
          </cell>
          <cell r="M103">
            <v>10956924.321002338</v>
          </cell>
          <cell r="N103">
            <v>0</v>
          </cell>
          <cell r="O103">
            <v>63614862.879814424</v>
          </cell>
          <cell r="P103">
            <v>0</v>
          </cell>
          <cell r="R103">
            <v>85442.802094900428</v>
          </cell>
          <cell r="S103">
            <v>0</v>
          </cell>
          <cell r="T103">
            <v>0</v>
          </cell>
          <cell r="U103">
            <v>85442.802094900428</v>
          </cell>
          <cell r="V103">
            <v>70706.436594762316</v>
          </cell>
          <cell r="W103">
            <v>1554.7242419078616</v>
          </cell>
          <cell r="X103">
            <v>14736.365500138132</v>
          </cell>
          <cell r="Y103">
            <v>0</v>
          </cell>
          <cell r="Z103">
            <v>85442.802094900428</v>
          </cell>
          <cell r="AA103">
            <v>0</v>
          </cell>
        </row>
        <row r="104">
          <cell r="D104">
            <v>2002</v>
          </cell>
          <cell r="G104">
            <v>76104985.096186191</v>
          </cell>
          <cell r="H104">
            <v>0</v>
          </cell>
          <cell r="I104">
            <v>0</v>
          </cell>
          <cell r="J104">
            <v>76104985.096186191</v>
          </cell>
          <cell r="K104">
            <v>57339980</v>
          </cell>
          <cell r="L104">
            <v>1358818.8099999998</v>
          </cell>
          <cell r="M104">
            <v>14726566.790000001</v>
          </cell>
          <cell r="N104">
            <v>0</v>
          </cell>
          <cell r="O104">
            <v>72066546.790000007</v>
          </cell>
          <cell r="P104">
            <v>4038438.3061861992</v>
          </cell>
          <cell r="R104">
            <v>85209.08991151501</v>
          </cell>
          <cell r="S104">
            <v>0</v>
          </cell>
          <cell r="T104">
            <v>0</v>
          </cell>
          <cell r="U104">
            <v>85209.08991151501</v>
          </cell>
          <cell r="V104">
            <v>64544.346814751923</v>
          </cell>
          <cell r="W104">
            <v>1517.1469601443928</v>
          </cell>
          <cell r="X104">
            <v>16570.55792393085</v>
          </cell>
          <cell r="Y104">
            <v>0</v>
          </cell>
          <cell r="Z104">
            <v>81114.904738682773</v>
          </cell>
          <cell r="AA104">
            <v>4094.1851728322376</v>
          </cell>
        </row>
        <row r="105">
          <cell r="D105">
            <v>2003</v>
          </cell>
          <cell r="G105">
            <v>321385949.63</v>
          </cell>
          <cell r="H105">
            <v>0</v>
          </cell>
          <cell r="I105">
            <v>315734367.63</v>
          </cell>
          <cell r="J105">
            <v>5651582</v>
          </cell>
          <cell r="K105">
            <v>318209160.5</v>
          </cell>
          <cell r="L105">
            <v>13249791.689999999</v>
          </cell>
          <cell r="M105">
            <v>1224509.52</v>
          </cell>
          <cell r="N105">
            <v>-315734367.63</v>
          </cell>
          <cell r="O105">
            <v>3699302.39</v>
          </cell>
          <cell r="P105">
            <v>1952279.6099999999</v>
          </cell>
          <cell r="R105">
            <v>200866.21851875001</v>
          </cell>
          <cell r="S105">
            <v>0</v>
          </cell>
          <cell r="T105">
            <v>197333.97976875002</v>
          </cell>
          <cell r="U105">
            <v>3532.23875</v>
          </cell>
          <cell r="V105">
            <v>198880.7253125</v>
          </cell>
          <cell r="W105">
            <v>8281.1198062499989</v>
          </cell>
          <cell r="X105">
            <v>765.31844999999998</v>
          </cell>
          <cell r="Y105">
            <v>-197333.97976875002</v>
          </cell>
          <cell r="Z105">
            <v>2312.06399375</v>
          </cell>
          <cell r="AA105">
            <v>1220.17475625</v>
          </cell>
        </row>
        <row r="106">
          <cell r="D106">
            <v>2004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</row>
        <row r="107">
          <cell r="D107">
            <v>2005</v>
          </cell>
          <cell r="G107">
            <v>64708821.753863513</v>
          </cell>
          <cell r="H107">
            <v>0</v>
          </cell>
          <cell r="I107">
            <v>0</v>
          </cell>
          <cell r="J107">
            <v>64708821.753863513</v>
          </cell>
          <cell r="K107">
            <v>11431411.67</v>
          </cell>
          <cell r="L107">
            <v>1797467.2799999998</v>
          </cell>
          <cell r="M107">
            <v>23367074.639999997</v>
          </cell>
          <cell r="N107">
            <v>0</v>
          </cell>
          <cell r="O107">
            <v>34798486.309999995</v>
          </cell>
          <cell r="P107">
            <v>29910335.443863515</v>
          </cell>
          <cell r="R107">
            <v>30097.126397145817</v>
          </cell>
          <cell r="S107">
            <v>0</v>
          </cell>
          <cell r="T107">
            <v>0</v>
          </cell>
          <cell r="U107">
            <v>30097.126397145817</v>
          </cell>
          <cell r="V107">
            <v>5316.9356604651166</v>
          </cell>
          <cell r="W107">
            <v>836.03129302325578</v>
          </cell>
          <cell r="X107">
            <v>10868.406809302323</v>
          </cell>
          <cell r="Y107">
            <v>0</v>
          </cell>
          <cell r="Z107">
            <v>16185.342469767438</v>
          </cell>
          <cell r="AA107">
            <v>13911.783927378379</v>
          </cell>
        </row>
        <row r="108">
          <cell r="D108">
            <v>2006</v>
          </cell>
          <cell r="G108">
            <v>0</v>
          </cell>
          <cell r="H108">
            <v>6602955.6699999999</v>
          </cell>
          <cell r="I108">
            <v>0</v>
          </cell>
          <cell r="J108">
            <v>6602955.6699999999</v>
          </cell>
          <cell r="K108">
            <v>0</v>
          </cell>
          <cell r="L108">
            <v>183415.44</v>
          </cell>
          <cell r="M108">
            <v>2017569.84</v>
          </cell>
          <cell r="N108">
            <v>0</v>
          </cell>
          <cell r="O108">
            <v>2017569.84</v>
          </cell>
          <cell r="P108">
            <v>4585385.83</v>
          </cell>
          <cell r="R108">
            <v>0</v>
          </cell>
          <cell r="S108">
            <v>3071.1421720930234</v>
          </cell>
          <cell r="T108">
            <v>0</v>
          </cell>
          <cell r="U108">
            <v>3071.1421720930234</v>
          </cell>
          <cell r="V108">
            <v>0</v>
          </cell>
          <cell r="W108">
            <v>85.309506976744188</v>
          </cell>
          <cell r="X108">
            <v>938.4045767441861</v>
          </cell>
          <cell r="Y108">
            <v>0</v>
          </cell>
          <cell r="Z108">
            <v>938.4045767441861</v>
          </cell>
          <cell r="AA108">
            <v>2132.7375953488372</v>
          </cell>
        </row>
        <row r="109">
          <cell r="G109">
            <v>525814619.35986412</v>
          </cell>
          <cell r="H109">
            <v>6602955.6699999999</v>
          </cell>
          <cell r="I109">
            <v>315734367.63</v>
          </cell>
          <cell r="J109">
            <v>216683207.39986411</v>
          </cell>
          <cell r="K109">
            <v>439638490.7288121</v>
          </cell>
          <cell r="L109">
            <v>17747854.760000002</v>
          </cell>
          <cell r="M109">
            <v>52292645.111002341</v>
          </cell>
          <cell r="N109">
            <v>-315734367.63</v>
          </cell>
          <cell r="O109">
            <v>176196768.20981443</v>
          </cell>
          <cell r="P109">
            <v>40486439.190049708</v>
          </cell>
          <cell r="R109">
            <v>401615.23692231125</v>
          </cell>
          <cell r="S109">
            <v>3071.1421720930234</v>
          </cell>
          <cell r="T109">
            <v>197333.97976875002</v>
          </cell>
          <cell r="U109">
            <v>207352.39932565429</v>
          </cell>
          <cell r="V109">
            <v>339448.44438247936</v>
          </cell>
          <cell r="W109">
            <v>12274.331808302253</v>
          </cell>
          <cell r="X109">
            <v>43879.053260115492</v>
          </cell>
          <cell r="Y109">
            <v>-197333.97976875002</v>
          </cell>
          <cell r="Z109">
            <v>185993.5178738448</v>
          </cell>
          <cell r="AA109">
            <v>21358.881451809455</v>
          </cell>
        </row>
        <row r="112">
          <cell r="C112" t="str">
            <v>Planta</v>
          </cell>
          <cell r="D112">
            <v>37346</v>
          </cell>
          <cell r="E112">
            <v>2002</v>
          </cell>
          <cell r="G112">
            <v>280000</v>
          </cell>
        </row>
        <row r="113">
          <cell r="C113" t="str">
            <v>Planta</v>
          </cell>
          <cell r="D113">
            <v>37376</v>
          </cell>
          <cell r="E113">
            <v>2002</v>
          </cell>
          <cell r="G113">
            <v>150000</v>
          </cell>
        </row>
        <row r="114">
          <cell r="C114" t="str">
            <v>Planta</v>
          </cell>
          <cell r="D114">
            <v>37407</v>
          </cell>
          <cell r="E114">
            <v>2002</v>
          </cell>
          <cell r="G114">
            <v>700000</v>
          </cell>
        </row>
        <row r="115">
          <cell r="C115" t="str">
            <v>Planta</v>
          </cell>
          <cell r="D115">
            <v>37437</v>
          </cell>
          <cell r="E115">
            <v>2002</v>
          </cell>
          <cell r="G115">
            <v>400000</v>
          </cell>
        </row>
        <row r="116">
          <cell r="C116" t="str">
            <v>Planta</v>
          </cell>
          <cell r="D116">
            <v>37468</v>
          </cell>
          <cell r="E116">
            <v>2002</v>
          </cell>
          <cell r="G116">
            <v>280000</v>
          </cell>
        </row>
        <row r="117">
          <cell r="C117" t="str">
            <v>Planta</v>
          </cell>
          <cell r="D117">
            <v>37529</v>
          </cell>
          <cell r="E117">
            <v>2002</v>
          </cell>
          <cell r="G117">
            <v>742200</v>
          </cell>
        </row>
        <row r="118">
          <cell r="C118" t="str">
            <v>Administracion</v>
          </cell>
          <cell r="D118">
            <v>37287</v>
          </cell>
          <cell r="E118">
            <v>2002</v>
          </cell>
          <cell r="G118">
            <v>19214</v>
          </cell>
        </row>
        <row r="119">
          <cell r="C119" t="str">
            <v>Administracion</v>
          </cell>
          <cell r="D119">
            <v>37287</v>
          </cell>
          <cell r="E119">
            <v>2002</v>
          </cell>
          <cell r="G119">
            <v>24454.14</v>
          </cell>
        </row>
        <row r="120">
          <cell r="C120" t="str">
            <v>Administracion</v>
          </cell>
          <cell r="D120">
            <v>37287</v>
          </cell>
          <cell r="E120">
            <v>2002</v>
          </cell>
          <cell r="G120">
            <v>371193.94</v>
          </cell>
        </row>
        <row r="121">
          <cell r="C121" t="str">
            <v>Administracion</v>
          </cell>
          <cell r="D121">
            <v>37287</v>
          </cell>
          <cell r="E121">
            <v>2002</v>
          </cell>
          <cell r="G121">
            <v>600000</v>
          </cell>
        </row>
        <row r="122">
          <cell r="C122" t="str">
            <v>Administracion</v>
          </cell>
          <cell r="D122">
            <v>37287</v>
          </cell>
          <cell r="E122">
            <v>2002</v>
          </cell>
          <cell r="G122">
            <v>350800</v>
          </cell>
        </row>
        <row r="123">
          <cell r="C123" t="str">
            <v>Administracion</v>
          </cell>
          <cell r="D123">
            <v>37315</v>
          </cell>
          <cell r="E123">
            <v>2002</v>
          </cell>
          <cell r="G123">
            <v>219995</v>
          </cell>
        </row>
        <row r="124">
          <cell r="C124" t="str">
            <v>Administracion</v>
          </cell>
          <cell r="D124">
            <v>37315</v>
          </cell>
          <cell r="E124">
            <v>2002</v>
          </cell>
          <cell r="G124">
            <v>301310.03999999998</v>
          </cell>
        </row>
        <row r="125">
          <cell r="C125" t="str">
            <v>Administracion</v>
          </cell>
          <cell r="D125">
            <v>37315</v>
          </cell>
          <cell r="E125">
            <v>2002</v>
          </cell>
          <cell r="G125">
            <v>219599.12</v>
          </cell>
        </row>
        <row r="126">
          <cell r="C126" t="str">
            <v>Administracion</v>
          </cell>
          <cell r="D126">
            <v>37315</v>
          </cell>
          <cell r="E126">
            <v>2002</v>
          </cell>
          <cell r="G126">
            <v>84900</v>
          </cell>
        </row>
        <row r="127">
          <cell r="C127" t="str">
            <v>Administracion</v>
          </cell>
          <cell r="D127">
            <v>37315</v>
          </cell>
          <cell r="E127">
            <v>2002</v>
          </cell>
          <cell r="G127">
            <v>156000</v>
          </cell>
        </row>
        <row r="128">
          <cell r="C128" t="str">
            <v>Administracion</v>
          </cell>
          <cell r="D128">
            <v>37376</v>
          </cell>
          <cell r="E128">
            <v>2002</v>
          </cell>
          <cell r="G128">
            <v>49345.05</v>
          </cell>
        </row>
        <row r="129">
          <cell r="C129" t="str">
            <v>Administracion</v>
          </cell>
          <cell r="D129">
            <v>37376</v>
          </cell>
          <cell r="E129">
            <v>2002</v>
          </cell>
          <cell r="G129">
            <v>526200</v>
          </cell>
        </row>
        <row r="130">
          <cell r="C130" t="str">
            <v>Administracion</v>
          </cell>
          <cell r="D130">
            <v>37376</v>
          </cell>
          <cell r="E130">
            <v>2002</v>
          </cell>
          <cell r="G130">
            <v>2183.41</v>
          </cell>
        </row>
        <row r="131">
          <cell r="C131" t="str">
            <v>Administracion</v>
          </cell>
          <cell r="D131">
            <v>37529</v>
          </cell>
          <cell r="E131">
            <v>2002</v>
          </cell>
          <cell r="G131">
            <v>136206.9</v>
          </cell>
        </row>
        <row r="132">
          <cell r="C132" t="str">
            <v>Administracion</v>
          </cell>
          <cell r="D132">
            <v>37590</v>
          </cell>
          <cell r="E132">
            <v>2002</v>
          </cell>
          <cell r="G132">
            <v>112922.41</v>
          </cell>
        </row>
        <row r="133">
          <cell r="C133" t="str">
            <v>Planta</v>
          </cell>
          <cell r="D133">
            <v>37680</v>
          </cell>
          <cell r="E133">
            <v>2003</v>
          </cell>
          <cell r="G133">
            <v>1215000</v>
          </cell>
        </row>
        <row r="134">
          <cell r="C134" t="str">
            <v>Planta</v>
          </cell>
          <cell r="D134">
            <v>37711</v>
          </cell>
          <cell r="E134">
            <v>2003</v>
          </cell>
          <cell r="G134">
            <v>840000</v>
          </cell>
        </row>
        <row r="135">
          <cell r="C135" t="str">
            <v>Planta</v>
          </cell>
          <cell r="D135">
            <v>37741</v>
          </cell>
          <cell r="E135">
            <v>2003</v>
          </cell>
          <cell r="G135">
            <v>549000</v>
          </cell>
        </row>
        <row r="136">
          <cell r="C136" t="str">
            <v>Planta</v>
          </cell>
          <cell r="D136">
            <v>37772</v>
          </cell>
          <cell r="E136">
            <v>2003</v>
          </cell>
          <cell r="G136">
            <v>840000</v>
          </cell>
        </row>
        <row r="137">
          <cell r="C137" t="str">
            <v>Planta</v>
          </cell>
          <cell r="D137">
            <v>37955</v>
          </cell>
          <cell r="E137">
            <v>2003</v>
          </cell>
          <cell r="G137">
            <v>364000</v>
          </cell>
        </row>
        <row r="138">
          <cell r="C138" t="str">
            <v>Administracion</v>
          </cell>
          <cell r="D138">
            <v>37741</v>
          </cell>
          <cell r="E138">
            <v>2003</v>
          </cell>
          <cell r="G138">
            <v>142241.38</v>
          </cell>
        </row>
        <row r="139">
          <cell r="C139" t="str">
            <v>Administracion</v>
          </cell>
          <cell r="D139">
            <v>38168</v>
          </cell>
          <cell r="E139">
            <v>2004</v>
          </cell>
          <cell r="G139">
            <v>965000</v>
          </cell>
        </row>
        <row r="140">
          <cell r="C140" t="str">
            <v>Administracion</v>
          </cell>
          <cell r="D140">
            <v>38168</v>
          </cell>
          <cell r="E140">
            <v>2004</v>
          </cell>
          <cell r="G140">
            <v>340000</v>
          </cell>
        </row>
        <row r="141">
          <cell r="C141" t="str">
            <v>Administracion</v>
          </cell>
          <cell r="D141">
            <v>38230</v>
          </cell>
          <cell r="E141">
            <v>2004</v>
          </cell>
          <cell r="G141">
            <v>340000</v>
          </cell>
        </row>
        <row r="142">
          <cell r="C142" t="str">
            <v>Administracion</v>
          </cell>
          <cell r="D142">
            <v>38383</v>
          </cell>
          <cell r="E142">
            <v>2005</v>
          </cell>
          <cell r="G142">
            <v>620600</v>
          </cell>
        </row>
        <row r="143">
          <cell r="C143" t="str">
            <v>Administracion</v>
          </cell>
          <cell r="D143">
            <v>38503</v>
          </cell>
          <cell r="E143">
            <v>2005</v>
          </cell>
          <cell r="G143">
            <v>817334.78</v>
          </cell>
        </row>
        <row r="144">
          <cell r="C144" t="str">
            <v>Administracion</v>
          </cell>
          <cell r="D144">
            <v>38717</v>
          </cell>
          <cell r="E144">
            <v>2005</v>
          </cell>
          <cell r="G144">
            <v>921052.63</v>
          </cell>
        </row>
        <row r="145">
          <cell r="C145" t="str">
            <v>Administracion</v>
          </cell>
          <cell r="D145">
            <v>38717</v>
          </cell>
          <cell r="E145">
            <v>2005</v>
          </cell>
          <cell r="G145">
            <v>1450000</v>
          </cell>
        </row>
        <row r="146">
          <cell r="C146" t="str">
            <v>6-Equipos de computación</v>
          </cell>
          <cell r="D146">
            <v>38748</v>
          </cell>
          <cell r="E146">
            <v>2006</v>
          </cell>
          <cell r="G146">
            <v>1888039.68</v>
          </cell>
        </row>
        <row r="147">
          <cell r="C147" t="str">
            <v>6-Equipos de computación</v>
          </cell>
          <cell r="D147">
            <v>38898</v>
          </cell>
          <cell r="E147">
            <v>2006</v>
          </cell>
          <cell r="G147">
            <v>2976800</v>
          </cell>
        </row>
        <row r="148">
          <cell r="G148">
            <v>19995592.480000004</v>
          </cell>
        </row>
        <row r="150">
          <cell r="E150">
            <v>2002</v>
          </cell>
          <cell r="G150">
            <v>5726524.0100000007</v>
          </cell>
        </row>
        <row r="151">
          <cell r="E151">
            <v>2003</v>
          </cell>
          <cell r="G151">
            <v>3950241.38</v>
          </cell>
        </row>
        <row r="152">
          <cell r="E152">
            <v>2004</v>
          </cell>
          <cell r="G152">
            <v>1645000</v>
          </cell>
        </row>
        <row r="153">
          <cell r="E153">
            <v>2005</v>
          </cell>
          <cell r="G153">
            <v>3808987.41</v>
          </cell>
        </row>
        <row r="154">
          <cell r="E154">
            <v>2006</v>
          </cell>
          <cell r="G154">
            <v>4864839.6799999997</v>
          </cell>
        </row>
        <row r="155">
          <cell r="G155">
            <v>19995592.48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Gr IPC-IPP Colombia"/>
      <sheetName val="Gr IPC-IPP CR"/>
      <sheetName val="Datos CR"/>
      <sheetName val="Datos Colombia"/>
      <sheetName val="DevAñoComCR"/>
      <sheetName val="DevAñoCom"/>
      <sheetName val="IPC MES"/>
      <sheetName val="IPP MES"/>
      <sheetName val="CAMBIO CR"/>
      <sheetName val="cambio "/>
      <sheetName val="TASA COL"/>
      <sheetName val="TASA CR"/>
      <sheetName val="Datos % COL"/>
      <sheetName val="Datos% CR"/>
      <sheetName val="ESTADISTICAS VS COL"/>
      <sheetName val="ANEXO ENERGIA-FLETES"/>
      <sheetName val="GTOS PERSONAL COL Y CR"/>
      <sheetName val="PT MOD - CIF"/>
      <sheetName val="INVENTARIO PP CR - COL"/>
      <sheetName val="INVENTARIO PT CR-COL"/>
      <sheetName val="GRAFICA COMPOSICION (1)"/>
      <sheetName val="COSTO PRODUCCION COL Y CR"/>
      <sheetName val="ConsolidadoCOL+CR"/>
      <sheetName val="ConsolidadoCOL"/>
      <sheetName val="Colombia "/>
      <sheetName val="usa (COL+CR) "/>
      <sheetName val="USA CR"/>
      <sheetName val="USAcol"/>
      <sheetName val="Europ"/>
      <sheetName val="Latinoamerica"/>
      <sheetName val="PARETO "/>
      <sheetName val="P&amp;L - U$ Propuesto CR"/>
      <sheetName val="P&amp;L - U$ Propuesto"/>
      <sheetName val="P&amp;L - Prop sin APIs $"/>
      <sheetName val="PYGACUM-HIST-PESOS"/>
      <sheetName val="PYGACUM-HIST CR"/>
      <sheetName val="INCREM.07 Vs. RENTAB. 06 CR"/>
      <sheetName val="RESUMEN PYG ACUM CONSOLID"/>
      <sheetName val="ACUMADMON CR"/>
      <sheetName val="ACUMADMON"/>
      <sheetName val="ACUMVTAS CR"/>
      <sheetName val="ACUMVTAS"/>
      <sheetName val="ACUMREALPROD CR"/>
      <sheetName val="ACUMREALPROD"/>
      <sheetName val="ACUMTOT CR"/>
      <sheetName val="ACUMTOT"/>
      <sheetName val="GASTCOSTADMON $CR"/>
      <sheetName val="GASTCOSTadmon"/>
      <sheetName val="GASTCOSTVTAS $CR"/>
      <sheetName val="GASTCOSTvtas"/>
      <sheetName val="GASTCOSTMOD+CIF $CR"/>
      <sheetName val="GASTCOSTCIF"/>
      <sheetName val="GASTCOSTMOD"/>
      <sheetName val="GASTCOSTtotal costo"/>
      <sheetName val="GASTCOSTOTAL $CR"/>
      <sheetName val="GASTCOSTtotal"/>
      <sheetName val="BCE RESUMIDO CR"/>
      <sheetName val="BCE GRAL CR"/>
      <sheetName val="INDIC. FINANCIEROS CR"/>
      <sheetName val="PYG NO OPERACIONAL CR"/>
      <sheetName val="INV. PT CR"/>
      <sheetName val="MP+EMPAQUE CR"/>
      <sheetName val="Otros Ingresos y Egresos"/>
      <sheetName val="VarTrm"/>
      <sheetName val="BALANCE PQN"/>
      <sheetName val="MP +EMPAQUE"/>
      <sheetName val="COSTO PRODUCCION"/>
      <sheetName val="INVENTARIOS (3)"/>
      <sheetName val="Cto Prod. "/>
      <sheetName val="compra af"/>
      <sheetName val="ACIF 2007-2006"/>
      <sheetName val="flete exp "/>
      <sheetName val="fletesnal"/>
      <sheetName val="CONCILIACIONES"/>
      <sheetName val="KWH COL-CR"/>
      <sheetName val="COMBUSTIBLE"/>
      <sheetName val="CTAORD"/>
      <sheetName val="temporales"/>
      <sheetName val="GTOSCOSTARICA  "/>
      <sheetName val="Alemania"/>
      <sheetName val="España"/>
      <sheetName val="USAcr"/>
      <sheetName val="CTAS BALANCE"/>
      <sheetName val="INV.PT Vs PRECIO VTA CR"/>
      <sheetName val="COMPOSICION INVENTARIO (1)"/>
    </sheetNames>
    <sheetDataSet>
      <sheetData sheetId="0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/>
      <sheetData sheetId="38" refreshError="1">
        <row r="5">
          <cell r="A5" t="str">
            <v>10 de 2006</v>
          </cell>
        </row>
        <row r="8">
          <cell r="A8" t="str">
            <v>10 de 2007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/>
      <sheetData sheetId="60"/>
      <sheetData sheetId="61" refreshError="1"/>
      <sheetData sheetId="62"/>
      <sheetData sheetId="63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S"/>
      <sheetName val="LMOVFISCAL AC"/>
      <sheetName val="LMOVFISCAL MES"/>
      <sheetName val="LSALDO PER"/>
      <sheetName val="Hoja3"/>
      <sheetName val="AVANCE"/>
      <sheetName val="REGISTROS"/>
      <sheetName val="LMOVTIPOFAC"/>
      <sheetName val="AREAS"/>
      <sheetName val="LISTA CHEQUEO"/>
      <sheetName val="lresdoc"/>
      <sheetName val="lresdoc (2)"/>
      <sheetName val="l_res_sec NOMINA"/>
      <sheetName val="Conciliacion lresec"/>
      <sheetName val="PAGO NOMINA"/>
      <sheetName val="lsaldo 26"/>
      <sheetName val="PROV. 2013"/>
      <sheetName val="PROV. 2012"/>
      <sheetName val="lagrgtoc 5"/>
      <sheetName val="lagrgtoc 4"/>
      <sheetName val="l_a_per_res (SENA)"/>
      <sheetName val="LCTATER 2610"/>
      <sheetName val="APORTE V."/>
      <sheetName val="SALUD"/>
      <sheetName val="PENSION"/>
      <sheetName val=" TIQ.CANASTA"/>
      <sheetName val="EMBARGOS"/>
      <sheetName val="ACTUALIZA"/>
      <sheetName val="MOVIMIENTO"/>
      <sheetName val="l_a_per_res"/>
      <sheetName val="Concialiación Mes"/>
      <sheetName val="lagrgtoc 5 Acum"/>
      <sheetName val="lagrgtoc 4 Acum"/>
      <sheetName val="l_a_per_res (SENA) Acum"/>
      <sheetName val="LCTATER 2610 Acum"/>
      <sheetName val="APORTE V. Acum"/>
      <sheetName val="SALUD Acum"/>
      <sheetName val="PENSION Acum"/>
      <sheetName val=" TIQ.CANASTA Acum"/>
      <sheetName val="EMBARGOS Acum"/>
      <sheetName val="l_a_per_res Acum"/>
      <sheetName val="lsaldo nomina (2)"/>
      <sheetName val="Concialiación Mes Acum"/>
      <sheetName val="lsaldo2380"/>
      <sheetName val="lsaldo2370"/>
      <sheetName val="LSALDO 25"/>
      <sheetName val="lctater 250505"/>
      <sheetName val="LSALDO 2335656"/>
      <sheetName val="lresdocNO"/>
      <sheetName val="lresdocDA"/>
      <sheetName val="lsaldo1330-80"/>
      <sheetName val="ANTICIPOS EMPLEADOS"/>
      <sheetName val="RECLASIFICACION NEGATIVOS"/>
      <sheetName val="cta 1895954"/>
      <sheetName val="LSALDO 1365"/>
      <sheetName val="COMPARATIVO INCAPACIDAD"/>
      <sheetName val="antiguedad incapacidades"/>
      <sheetName val="LSALDO 236505"/>
      <sheetName val="calculo"/>
      <sheetName val="l_a_per_res (Acum)"/>
      <sheetName val="Concialiación Acum"/>
      <sheetName val="Acum. a Ene 2012"/>
      <sheetName val="APORTES-2012"/>
      <sheetName val="ltottran"/>
      <sheetName val="lsaldo2605-11"/>
      <sheetName val="LAGRGTOC 4 2011"/>
      <sheetName val="PRUEBA DIAN"/>
      <sheetName val="IBC ACUM"/>
      <sheetName val="IBC MES"/>
      <sheetName val="LMOVFISCAL RENTA"/>
      <sheetName val="LAPERES RENTA"/>
      <sheetName val="SALUD "/>
      <sheetName val="AFP "/>
      <sheetName val="ARP "/>
      <sheetName val="CAJAS RESUMID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8">
          <cell r="C8">
            <v>-31451601</v>
          </cell>
          <cell r="D8">
            <v>-2.1627483528222708E-2</v>
          </cell>
        </row>
        <row r="9">
          <cell r="C9">
            <v>-8879041</v>
          </cell>
          <cell r="D9">
            <v>-0.8407390591511501</v>
          </cell>
        </row>
        <row r="10">
          <cell r="C10">
            <v>-5398126</v>
          </cell>
          <cell r="D10">
            <v>-0.58557905832450408</v>
          </cell>
        </row>
        <row r="11">
          <cell r="C11">
            <v>-4441248</v>
          </cell>
          <cell r="D11">
            <v>-6.7086591279707453E-2</v>
          </cell>
        </row>
        <row r="12">
          <cell r="C12">
            <v>-11915571</v>
          </cell>
          <cell r="D12">
            <v>-0.28705674383349028</v>
          </cell>
        </row>
        <row r="13">
          <cell r="C13">
            <v>-2146396</v>
          </cell>
          <cell r="D13">
            <v>0</v>
          </cell>
        </row>
        <row r="14">
          <cell r="C14">
            <v>-17185000</v>
          </cell>
          <cell r="D14">
            <v>-0.9042833087770995</v>
          </cell>
        </row>
        <row r="15">
          <cell r="C15">
            <v>-991118</v>
          </cell>
          <cell r="D15">
            <v>-0.15269887392210665</v>
          </cell>
        </row>
        <row r="16">
          <cell r="C16">
            <v>165276809</v>
          </cell>
          <cell r="D16">
            <v>1</v>
          </cell>
        </row>
        <row r="17">
          <cell r="C17">
            <v>0</v>
          </cell>
          <cell r="D17">
            <v>0</v>
          </cell>
        </row>
        <row r="18">
          <cell r="C18">
            <v>898744000</v>
          </cell>
          <cell r="D18">
            <v>1</v>
          </cell>
        </row>
        <row r="19">
          <cell r="C19">
            <v>1666667</v>
          </cell>
          <cell r="D19">
            <v>1</v>
          </cell>
        </row>
        <row r="20">
          <cell r="C20">
            <v>300676</v>
          </cell>
          <cell r="D20">
            <v>1.0389732452537126E-2</v>
          </cell>
        </row>
        <row r="21">
          <cell r="C21">
            <v>-122719854</v>
          </cell>
          <cell r="D21">
            <v>-0.88414966397841954</v>
          </cell>
        </row>
        <row r="22">
          <cell r="C22">
            <v>-2122895</v>
          </cell>
          <cell r="D22">
            <v>0</v>
          </cell>
        </row>
        <row r="23">
          <cell r="C23">
            <v>-54050</v>
          </cell>
          <cell r="D23">
            <v>-5.3019824804057172E-3</v>
          </cell>
        </row>
        <row r="24">
          <cell r="C24">
            <v>-3423748</v>
          </cell>
          <cell r="D24">
            <v>-0.15670252385609951</v>
          </cell>
        </row>
        <row r="25">
          <cell r="C25">
            <v>-320000</v>
          </cell>
          <cell r="D25">
            <v>-0.21052631578947367</v>
          </cell>
        </row>
        <row r="26">
          <cell r="C26">
            <v>-79043</v>
          </cell>
          <cell r="D26">
            <v>-6.8244354556717766E-3</v>
          </cell>
        </row>
        <row r="27">
          <cell r="C27">
            <v>5397846</v>
          </cell>
          <cell r="D27">
            <v>6.588483860927516</v>
          </cell>
        </row>
        <row r="29">
          <cell r="C29">
            <v>14814868</v>
          </cell>
          <cell r="D29">
            <v>0.3933379559030637</v>
          </cell>
        </row>
        <row r="30">
          <cell r="C30">
            <v>-17114328</v>
          </cell>
          <cell r="D30">
            <v>-0.94461965685253946</v>
          </cell>
        </row>
        <row r="31">
          <cell r="C31">
            <v>-754985726</v>
          </cell>
          <cell r="D31">
            <v>-0.99737614701895105</v>
          </cell>
        </row>
        <row r="32">
          <cell r="C32">
            <v>-17752909</v>
          </cell>
          <cell r="D32">
            <v>-0.39297634143238119</v>
          </cell>
        </row>
        <row r="33">
          <cell r="C33">
            <v>0</v>
          </cell>
          <cell r="D33">
            <v>0</v>
          </cell>
        </row>
        <row r="34">
          <cell r="C34">
            <v>9750320</v>
          </cell>
          <cell r="D34">
            <v>3.3325768347369573</v>
          </cell>
        </row>
        <row r="35">
          <cell r="C35">
            <v>-470960</v>
          </cell>
          <cell r="D35">
            <v>-0.22305209490228209</v>
          </cell>
        </row>
        <row r="37">
          <cell r="C37">
            <v>0</v>
          </cell>
          <cell r="D37">
            <v>0</v>
          </cell>
        </row>
        <row r="38">
          <cell r="C38">
            <v>300676</v>
          </cell>
          <cell r="D38">
            <v>1.0389732452537126E-2</v>
          </cell>
        </row>
        <row r="39">
          <cell r="C39">
            <v>-6737623</v>
          </cell>
          <cell r="D39">
            <v>-5.0085403438941148E-2</v>
          </cell>
        </row>
        <row r="40">
          <cell r="C40">
            <v>-1094666</v>
          </cell>
          <cell r="D40">
            <v>-0.99244964161183102</v>
          </cell>
        </row>
        <row r="41">
          <cell r="C41">
            <v>2237278</v>
          </cell>
          <cell r="D41">
            <v>0.19516058403074726</v>
          </cell>
        </row>
        <row r="42">
          <cell r="C42">
            <v>-65845</v>
          </cell>
          <cell r="D42">
            <v>-0.98747750449910021</v>
          </cell>
        </row>
        <row r="43">
          <cell r="C43">
            <v>-3961547</v>
          </cell>
          <cell r="D43">
            <v>-4.0940961890467593E-2</v>
          </cell>
        </row>
        <row r="44">
          <cell r="C44">
            <v>0</v>
          </cell>
          <cell r="D44">
            <v>0</v>
          </cell>
        </row>
        <row r="45">
          <cell r="C45">
            <v>8315737.3799999999</v>
          </cell>
          <cell r="D45">
            <v>-1.0022951306668317</v>
          </cell>
        </row>
        <row r="46">
          <cell r="C46">
            <v>0</v>
          </cell>
          <cell r="D46">
            <v>0</v>
          </cell>
        </row>
        <row r="47">
          <cell r="C47">
            <v>-1088241.26</v>
          </cell>
          <cell r="D47">
            <v>-1.5042440826992696</v>
          </cell>
        </row>
        <row r="48">
          <cell r="C48">
            <v>406362</v>
          </cell>
          <cell r="D48">
            <v>1.2399672342193389E-2</v>
          </cell>
        </row>
        <row r="49">
          <cell r="C49">
            <v>-8954438</v>
          </cell>
          <cell r="D49">
            <v>-6.7150076071075496E-2</v>
          </cell>
        </row>
        <row r="50">
          <cell r="C50">
            <v>889367</v>
          </cell>
          <cell r="D50">
            <v>-1.3906593758844399</v>
          </cell>
        </row>
        <row r="51">
          <cell r="C51">
            <v>335479</v>
          </cell>
          <cell r="D51">
            <v>1.1081036480989499E-2</v>
          </cell>
        </row>
        <row r="52">
          <cell r="C52">
            <v>729397</v>
          </cell>
          <cell r="D52">
            <v>-0.66058995073177795</v>
          </cell>
        </row>
        <row r="54">
          <cell r="C54">
            <v>1112500</v>
          </cell>
          <cell r="D54">
            <v>-1.5614035087719298</v>
          </cell>
        </row>
        <row r="55">
          <cell r="C55">
            <v>0</v>
          </cell>
          <cell r="D55">
            <v>0</v>
          </cell>
        </row>
        <row r="56">
          <cell r="C56">
            <v>-1702900</v>
          </cell>
          <cell r="D56">
            <v>-2.7947685687417224E-2</v>
          </cell>
        </row>
        <row r="57">
          <cell r="C57">
            <v>-2286200</v>
          </cell>
          <cell r="D57">
            <v>-3.7925274171100018E-2</v>
          </cell>
        </row>
        <row r="58">
          <cell r="C58">
            <v>-587400</v>
          </cell>
          <cell r="D58">
            <v>-5.4926456149537603E-2</v>
          </cell>
        </row>
        <row r="59">
          <cell r="C59">
            <v>-604000</v>
          </cell>
          <cell r="D59">
            <v>-0.37178382371045182</v>
          </cell>
        </row>
        <row r="60">
          <cell r="C60">
            <v>785638</v>
          </cell>
          <cell r="D60">
            <v>1.6927517231254081E-2</v>
          </cell>
        </row>
        <row r="61">
          <cell r="C61">
            <v>-13861000</v>
          </cell>
          <cell r="D61">
            <v>-0.52206998999626364</v>
          </cell>
        </row>
        <row r="62">
          <cell r="C62">
            <v>0</v>
          </cell>
          <cell r="D62">
            <v>0</v>
          </cell>
        </row>
        <row r="63">
          <cell r="C63">
            <v>21967142</v>
          </cell>
          <cell r="D63">
            <v>0.27740748888795524</v>
          </cell>
        </row>
        <row r="64">
          <cell r="C64">
            <v>0</v>
          </cell>
          <cell r="D64">
            <v>0</v>
          </cell>
        </row>
        <row r="65">
          <cell r="C65">
            <v>-1423473</v>
          </cell>
          <cell r="D65">
            <v>-0.19563253589516261</v>
          </cell>
        </row>
        <row r="66">
          <cell r="C66">
            <v>-61971000</v>
          </cell>
          <cell r="D66">
            <v>-0.52327996757523554</v>
          </cell>
        </row>
        <row r="67">
          <cell r="C67">
            <v>-43754000</v>
          </cell>
          <cell r="D67">
            <v>-0.46672924711454356</v>
          </cell>
        </row>
        <row r="68">
          <cell r="C68">
            <v>-63537000</v>
          </cell>
          <cell r="D68">
            <v>-0.57459507854255409</v>
          </cell>
        </row>
        <row r="69">
          <cell r="C69">
            <v>224887000</v>
          </cell>
          <cell r="D69">
            <v>1</v>
          </cell>
        </row>
        <row r="70">
          <cell r="C70">
            <v>-2133118</v>
          </cell>
          <cell r="D70">
            <v>-0.66055488495585091</v>
          </cell>
        </row>
        <row r="72">
          <cell r="C72">
            <v>-1317362</v>
          </cell>
          <cell r="D72">
            <v>-0.9294877086627451</v>
          </cell>
        </row>
        <row r="73">
          <cell r="C73">
            <v>-1839759</v>
          </cell>
          <cell r="D73">
            <v>-0.94847800892510992</v>
          </cell>
        </row>
        <row r="74">
          <cell r="C74">
            <v>-1775910</v>
          </cell>
          <cell r="D74">
            <v>0</v>
          </cell>
        </row>
        <row r="75">
          <cell r="C75">
            <v>-390424</v>
          </cell>
          <cell r="D75">
            <v>-7.7273889350632256E-3</v>
          </cell>
        </row>
        <row r="77">
          <cell r="C77">
            <v>-4568</v>
          </cell>
          <cell r="D77">
            <v>-3.0540475490064986E-2</v>
          </cell>
        </row>
        <row r="78">
          <cell r="C78">
            <v>225</v>
          </cell>
          <cell r="D78">
            <v>0.11034820990681707</v>
          </cell>
        </row>
        <row r="79">
          <cell r="C79">
            <v>-294</v>
          </cell>
          <cell r="D79">
            <v>-0.25903083700440527</v>
          </cell>
        </row>
        <row r="80">
          <cell r="C80">
            <v>-439</v>
          </cell>
          <cell r="D80">
            <v>-0.13998724489795919</v>
          </cell>
        </row>
        <row r="81">
          <cell r="C81">
            <v>-78</v>
          </cell>
          <cell r="D81">
            <v>-0.26351351351351349</v>
          </cell>
        </row>
        <row r="82">
          <cell r="C82">
            <v>-3</v>
          </cell>
          <cell r="D82">
            <v>-4.2857142857142858E-2</v>
          </cell>
        </row>
        <row r="83">
          <cell r="C83">
            <v>-1282</v>
          </cell>
          <cell r="D83">
            <v>-0.61962300628322864</v>
          </cell>
        </row>
        <row r="84">
          <cell r="C84">
            <v>-1907</v>
          </cell>
          <cell r="D84">
            <v>-0.81011045029736617</v>
          </cell>
        </row>
        <row r="85">
          <cell r="C85">
            <v>68</v>
          </cell>
          <cell r="D85">
            <v>3.5971223021582736E-3</v>
          </cell>
        </row>
        <row r="87">
          <cell r="C87">
            <v>-41923000</v>
          </cell>
          <cell r="D87">
            <v>-2.7521369877941744E-2</v>
          </cell>
        </row>
        <row r="88">
          <cell r="C88">
            <v>0</v>
          </cell>
          <cell r="D88">
            <v>0</v>
          </cell>
        </row>
        <row r="89">
          <cell r="C89">
            <v>0</v>
          </cell>
          <cell r="D89">
            <v>0</v>
          </cell>
        </row>
        <row r="90">
          <cell r="C90">
            <v>-122719854</v>
          </cell>
          <cell r="D90">
            <v>-0.88414966397841954</v>
          </cell>
        </row>
        <row r="91">
          <cell r="C91">
            <v>-180262930</v>
          </cell>
          <cell r="D91">
            <v>-0.10417776744917023</v>
          </cell>
        </row>
        <row r="92">
          <cell r="C92">
            <v>-70587000</v>
          </cell>
          <cell r="D92">
            <v>-4.7628301279520988E-2</v>
          </cell>
        </row>
        <row r="93">
          <cell r="C93">
            <v>0</v>
          </cell>
          <cell r="D93">
            <v>0</v>
          </cell>
        </row>
        <row r="94">
          <cell r="C94">
            <v>106925164</v>
          </cell>
          <cell r="D94">
            <v>4.1593682022867527E-2</v>
          </cell>
        </row>
        <row r="95">
          <cell r="C95">
            <v>-624503589</v>
          </cell>
          <cell r="D95">
            <v>-0.38967564924422771</v>
          </cell>
        </row>
        <row r="96">
          <cell r="C96">
            <v>0</v>
          </cell>
          <cell r="D96">
            <v>0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RM 97-2000"/>
      <sheetName val="TRM Bimestre"/>
      <sheetName val="Serie TRM"/>
      <sheetName val="Homologación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M 97-2000"/>
      <sheetName val="TRM Bimestre"/>
      <sheetName val="Serie TRM"/>
      <sheetName val="Homologación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M 97-2000"/>
      <sheetName val="TRM Bimestre"/>
      <sheetName val="Serie TRM"/>
      <sheetName val="Homologación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PYG "/>
      <sheetName val="BALANCE"/>
      <sheetName val="INDIC. FINANCIEROS"/>
      <sheetName val="INGR Y GAST"/>
      <sheetName val="Prepagados "/>
      <sheetName val="Diferidos "/>
      <sheetName val="Inventario $"/>
      <sheetName val="AF "/>
      <sheetName val="CxC-Clientes"/>
      <sheetName val="CxP-Nacional "/>
      <sheetName val="Intercompañía"/>
      <sheetName val="Patente ICA"/>
      <sheetName val="Ventas-ACUMULADAS "/>
      <sheetName val="PRESTAMO 1 "/>
      <sheetName val="DETALLE GTS"/>
      <sheetName val="BASE DE DATOS"/>
      <sheetName val="B.C."/>
      <sheetName val="200710"/>
      <sheetName val="BASE DE DATOS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C2003"/>
      <sheetName val="DIC2003 (2)"/>
    </sheetNames>
    <sheetDataSet>
      <sheetData sheetId="0">
        <row r="1">
          <cell r="A1" t="str">
            <v>GRUPO SIDERURGICO DIACO S.A.</v>
          </cell>
          <cell r="I1" t="str">
            <v>DTF (T.A)</v>
          </cell>
          <cell r="J1" t="str">
            <v>TRM</v>
          </cell>
          <cell r="L1" t="str">
            <v>DEV. 12 M.</v>
          </cell>
        </row>
        <row r="2">
          <cell r="A2" t="str">
            <v>OBLIGACIONES CON ENTIDADES FINANCIERAS</v>
          </cell>
          <cell r="I2">
            <v>7.5499999999999998E-2</v>
          </cell>
          <cell r="J2">
            <v>2778.21</v>
          </cell>
        </row>
        <row r="3">
          <cell r="I3" t="str">
            <v>PRIME %</v>
          </cell>
          <cell r="J3" t="str">
            <v>TCC</v>
          </cell>
          <cell r="L3" t="str">
            <v>LIBOR(6M) S.V.</v>
          </cell>
        </row>
        <row r="4">
          <cell r="A4" t="str">
            <v>FECHA DE CORTE:</v>
          </cell>
          <cell r="B4">
            <v>37986</v>
          </cell>
          <cell r="L4">
            <v>1.2200000000000001E-2</v>
          </cell>
        </row>
        <row r="5">
          <cell r="A5" t="str">
            <v xml:space="preserve">ENTIDAD </v>
          </cell>
          <cell r="B5" t="str">
            <v>No.</v>
          </cell>
          <cell r="C5" t="str">
            <v xml:space="preserve">MONTO </v>
          </cell>
          <cell r="D5" t="str">
            <v xml:space="preserve">SALDO A </v>
          </cell>
          <cell r="F5" t="str">
            <v xml:space="preserve"> PORCION </v>
          </cell>
          <cell r="G5" t="str">
            <v xml:space="preserve"> FECHA</v>
          </cell>
          <cell r="H5" t="str">
            <v xml:space="preserve">PORCION </v>
          </cell>
          <cell r="I5" t="str">
            <v xml:space="preserve"> FECHA</v>
          </cell>
          <cell r="J5" t="str">
            <v xml:space="preserve"> PLAZO</v>
          </cell>
          <cell r="K5" t="str">
            <v>TASA</v>
          </cell>
          <cell r="N5" t="str">
            <v>COMPOSICION</v>
          </cell>
        </row>
        <row r="6">
          <cell r="A6" t="str">
            <v>FINANCIERA</v>
          </cell>
          <cell r="B6" t="str">
            <v>OBLIG.</v>
          </cell>
          <cell r="C6" t="str">
            <v xml:space="preserve"> INICIAL</v>
          </cell>
          <cell r="D6">
            <v>37986</v>
          </cell>
          <cell r="F6" t="str">
            <v>CTE</v>
          </cell>
          <cell r="G6" t="str">
            <v>VCTO</v>
          </cell>
          <cell r="H6" t="str">
            <v>NO CTE</v>
          </cell>
          <cell r="I6" t="str">
            <v>VCTO</v>
          </cell>
          <cell r="J6" t="str">
            <v xml:space="preserve"> MESES</v>
          </cell>
          <cell r="K6" t="str">
            <v xml:space="preserve">             DE</v>
          </cell>
          <cell r="M6" t="str">
            <v>FORMA</v>
          </cell>
          <cell r="N6" t="str">
            <v>POR</v>
          </cell>
        </row>
        <row r="7">
          <cell r="C7" t="str">
            <v>($)</v>
          </cell>
          <cell r="D7" t="str">
            <v>(US$)</v>
          </cell>
          <cell r="E7" t="str">
            <v>($)</v>
          </cell>
          <cell r="F7" t="str">
            <v>($)</v>
          </cell>
          <cell r="G7" t="str">
            <v>INTERESES</v>
          </cell>
          <cell r="H7" t="str">
            <v>($)</v>
          </cell>
          <cell r="I7" t="str">
            <v>PAGARE</v>
          </cell>
          <cell r="K7" t="str">
            <v>CALCULO</v>
          </cell>
          <cell r="N7" t="str">
            <v>MONEDA</v>
          </cell>
          <cell r="O7" t="str">
            <v>TOTAL</v>
          </cell>
        </row>
        <row r="8">
          <cell r="A8" t="str">
            <v>PESOS $</v>
          </cell>
        </row>
        <row r="9">
          <cell r="A9" t="str">
            <v>BANCO DE BOGOTA</v>
          </cell>
          <cell r="B9" t="str">
            <v>0610006882-0</v>
          </cell>
          <cell r="C9">
            <v>3409736481</v>
          </cell>
          <cell r="E9">
            <v>3068762833</v>
          </cell>
          <cell r="F9">
            <v>511460474</v>
          </cell>
          <cell r="G9">
            <v>38036</v>
          </cell>
          <cell r="H9">
            <v>2557302359</v>
          </cell>
          <cell r="I9">
            <v>39405</v>
          </cell>
          <cell r="J9">
            <v>128</v>
          </cell>
          <cell r="K9" t="str">
            <v>DTF</v>
          </cell>
          <cell r="L9">
            <v>7.0000000000000007E-2</v>
          </cell>
          <cell r="M9" t="str">
            <v>T.A.</v>
          </cell>
          <cell r="N9">
            <v>5.0031229084789026E-2</v>
          </cell>
          <cell r="O9">
            <v>4.8840840603353537E-2</v>
          </cell>
        </row>
        <row r="10">
          <cell r="A10" t="str">
            <v>BANCO GANADERO</v>
          </cell>
          <cell r="B10">
            <v>29700002032</v>
          </cell>
          <cell r="C10">
            <v>4661654884</v>
          </cell>
          <cell r="E10">
            <v>4019780866</v>
          </cell>
          <cell r="F10">
            <v>613186911</v>
          </cell>
          <cell r="G10">
            <v>37987</v>
          </cell>
          <cell r="H10">
            <v>3406593955</v>
          </cell>
          <cell r="I10">
            <v>39083</v>
          </cell>
          <cell r="J10">
            <v>60</v>
          </cell>
          <cell r="K10" t="str">
            <v>DTF</v>
          </cell>
          <cell r="L10">
            <v>6.8699999999999997E-2</v>
          </cell>
          <cell r="M10" t="str">
            <v>T.V.</v>
          </cell>
          <cell r="N10">
            <v>6.5536044432892682E-2</v>
          </cell>
          <cell r="O10">
            <v>6.3976751290612505E-2</v>
          </cell>
        </row>
        <row r="11">
          <cell r="A11" t="str">
            <v>CORFICOLOMBIANA</v>
          </cell>
          <cell r="B11">
            <v>56247</v>
          </cell>
          <cell r="C11">
            <v>300000000</v>
          </cell>
          <cell r="E11">
            <v>60750000</v>
          </cell>
          <cell r="F11">
            <v>30375000</v>
          </cell>
          <cell r="G11">
            <v>38045</v>
          </cell>
          <cell r="H11">
            <v>30375000</v>
          </cell>
          <cell r="I11">
            <v>38623</v>
          </cell>
          <cell r="J11">
            <v>12</v>
          </cell>
          <cell r="K11" t="str">
            <v>DTF</v>
          </cell>
          <cell r="L11">
            <v>0.06</v>
          </cell>
          <cell r="M11" t="str">
            <v>T.V.</v>
          </cell>
          <cell r="N11">
            <v>9.9043078018826256E-4</v>
          </cell>
          <cell r="O11">
            <v>9.6686555075132044E-4</v>
          </cell>
        </row>
        <row r="12">
          <cell r="A12" t="str">
            <v>CORFICOLOMBIANA</v>
          </cell>
          <cell r="B12">
            <v>20119</v>
          </cell>
          <cell r="C12">
            <v>300000000</v>
          </cell>
          <cell r="E12">
            <v>135000000</v>
          </cell>
          <cell r="F12">
            <v>67500000</v>
          </cell>
          <cell r="G12">
            <v>38045</v>
          </cell>
          <cell r="H12">
            <v>67500000</v>
          </cell>
          <cell r="I12">
            <v>38684</v>
          </cell>
          <cell r="J12">
            <v>24</v>
          </cell>
          <cell r="K12" t="str">
            <v>DTF</v>
          </cell>
          <cell r="L12">
            <v>0.06</v>
          </cell>
          <cell r="M12" t="str">
            <v>T.V.</v>
          </cell>
          <cell r="N12">
            <v>2.2009572893072504E-3</v>
          </cell>
          <cell r="O12">
            <v>2.148590112780712E-3</v>
          </cell>
        </row>
        <row r="13">
          <cell r="A13" t="str">
            <v>CORFICOLOMBIANA</v>
          </cell>
          <cell r="B13">
            <v>56249</v>
          </cell>
          <cell r="C13">
            <v>700000000</v>
          </cell>
          <cell r="E13">
            <v>141750000</v>
          </cell>
          <cell r="F13">
            <v>70875000</v>
          </cell>
          <cell r="G13">
            <v>38045</v>
          </cell>
          <cell r="H13">
            <v>70875000</v>
          </cell>
          <cell r="I13">
            <v>38684</v>
          </cell>
          <cell r="J13">
            <v>12</v>
          </cell>
          <cell r="K13" t="str">
            <v>DTF</v>
          </cell>
          <cell r="L13">
            <v>0.06</v>
          </cell>
          <cell r="M13" t="str">
            <v>T.V.</v>
          </cell>
          <cell r="N13">
            <v>2.3110051537726128E-3</v>
          </cell>
          <cell r="O13">
            <v>2.2560196184197474E-3</v>
          </cell>
        </row>
        <row r="14">
          <cell r="A14" t="str">
            <v>CORFICOLOMBIANA</v>
          </cell>
          <cell r="B14">
            <v>20692</v>
          </cell>
          <cell r="C14">
            <v>682500000</v>
          </cell>
          <cell r="E14">
            <v>315000000</v>
          </cell>
          <cell r="F14">
            <v>157500000</v>
          </cell>
          <cell r="G14">
            <v>38045</v>
          </cell>
          <cell r="H14">
            <v>157500000</v>
          </cell>
          <cell r="I14">
            <v>38684</v>
          </cell>
          <cell r="J14">
            <v>14</v>
          </cell>
          <cell r="K14" t="str">
            <v>DTF</v>
          </cell>
          <cell r="L14">
            <v>0.06</v>
          </cell>
          <cell r="M14" t="str">
            <v>T.V.</v>
          </cell>
          <cell r="N14">
            <v>5.1355670083835844E-3</v>
          </cell>
          <cell r="O14">
            <v>5.0133769298216614E-3</v>
          </cell>
        </row>
        <row r="15">
          <cell r="A15" t="str">
            <v>CORFICOLOMBIANA</v>
          </cell>
          <cell r="B15">
            <v>56286</v>
          </cell>
          <cell r="C15">
            <v>1000000000</v>
          </cell>
          <cell r="E15">
            <v>101250000</v>
          </cell>
          <cell r="F15">
            <v>50625000</v>
          </cell>
          <cell r="G15">
            <v>38045</v>
          </cell>
          <cell r="H15">
            <v>50625000</v>
          </cell>
          <cell r="I15">
            <v>38684</v>
          </cell>
          <cell r="J15">
            <v>12</v>
          </cell>
          <cell r="K15" t="str">
            <v>DTF</v>
          </cell>
          <cell r="L15">
            <v>0.06</v>
          </cell>
          <cell r="M15" t="str">
            <v>T.V.</v>
          </cell>
          <cell r="N15">
            <v>1.6507179669804377E-3</v>
          </cell>
          <cell r="O15">
            <v>1.6114425845855339E-3</v>
          </cell>
        </row>
        <row r="16">
          <cell r="A16" t="str">
            <v>CORFICOLOMBIANA</v>
          </cell>
          <cell r="B16">
            <v>40258</v>
          </cell>
          <cell r="C16">
            <v>1000000000</v>
          </cell>
          <cell r="E16">
            <v>675000000</v>
          </cell>
          <cell r="F16">
            <v>337500000</v>
          </cell>
          <cell r="G16">
            <v>38045</v>
          </cell>
          <cell r="H16">
            <v>337500000</v>
          </cell>
          <cell r="I16">
            <v>38684</v>
          </cell>
          <cell r="J16">
            <v>24</v>
          </cell>
          <cell r="K16" t="str">
            <v>DTF</v>
          </cell>
          <cell r="L16">
            <v>0.06</v>
          </cell>
          <cell r="M16" t="str">
            <v>T.V.</v>
          </cell>
          <cell r="N16">
            <v>1.1004786446536251E-2</v>
          </cell>
          <cell r="O16">
            <v>1.074295056390356E-2</v>
          </cell>
        </row>
        <row r="17">
          <cell r="A17" t="str">
            <v>CORFICOLOMBIANA</v>
          </cell>
          <cell r="B17">
            <v>57962</v>
          </cell>
          <cell r="C17">
            <v>97269048</v>
          </cell>
          <cell r="E17">
            <v>16211508</v>
          </cell>
          <cell r="F17">
            <v>8105751</v>
          </cell>
          <cell r="G17">
            <v>38045</v>
          </cell>
          <cell r="H17">
            <v>8105757</v>
          </cell>
          <cell r="I17">
            <v>38684</v>
          </cell>
          <cell r="J17">
            <v>12</v>
          </cell>
          <cell r="K17" t="str">
            <v>DTF</v>
          </cell>
          <cell r="L17">
            <v>0.06</v>
          </cell>
          <cell r="M17" t="str">
            <v>T.V.</v>
          </cell>
          <cell r="N17">
            <v>2.6430249409824301E-4</v>
          </cell>
          <cell r="O17">
            <v>2.5801396890418824E-4</v>
          </cell>
        </row>
        <row r="18">
          <cell r="A18" t="str">
            <v>CORFICOLOMBIANA</v>
          </cell>
          <cell r="B18">
            <v>20021128</v>
          </cell>
          <cell r="C18">
            <v>61086582</v>
          </cell>
          <cell r="E18">
            <v>0</v>
          </cell>
          <cell r="F18">
            <v>0</v>
          </cell>
          <cell r="H18">
            <v>0</v>
          </cell>
          <cell r="I18">
            <v>37953</v>
          </cell>
          <cell r="J18">
            <v>14</v>
          </cell>
          <cell r="K18" t="str">
            <v>DTF</v>
          </cell>
          <cell r="L18">
            <v>0.06</v>
          </cell>
          <cell r="M18" t="str">
            <v>M.V.</v>
          </cell>
          <cell r="N18">
            <v>0</v>
          </cell>
          <cell r="O18">
            <v>0</v>
          </cell>
        </row>
        <row r="19">
          <cell r="A19" t="str">
            <v>DAVIVIENDA</v>
          </cell>
          <cell r="B19" t="str">
            <v>5700-17608001412</v>
          </cell>
          <cell r="C19">
            <v>2500000000</v>
          </cell>
          <cell r="E19">
            <v>2499032208</v>
          </cell>
          <cell r="F19">
            <v>2499032208</v>
          </cell>
          <cell r="G19">
            <v>37954</v>
          </cell>
          <cell r="H19">
            <v>0</v>
          </cell>
          <cell r="I19">
            <v>37954</v>
          </cell>
          <cell r="J19">
            <v>12</v>
          </cell>
          <cell r="K19" t="str">
            <v>DTF</v>
          </cell>
          <cell r="L19">
            <v>6.8599999999999994E-2</v>
          </cell>
          <cell r="M19" t="str">
            <v>TV.</v>
          </cell>
          <cell r="N19">
            <v>4.0742690032675499E-2</v>
          </cell>
          <cell r="O19">
            <v>3.9773302915772975E-2</v>
          </cell>
        </row>
        <row r="20">
          <cell r="A20" t="str">
            <v>DAVIVIENDA</v>
          </cell>
          <cell r="B20" t="str">
            <v>5700-176080014797</v>
          </cell>
          <cell r="C20">
            <v>1250000000</v>
          </cell>
          <cell r="E20">
            <v>1250000000</v>
          </cell>
          <cell r="F20">
            <v>1250000000</v>
          </cell>
          <cell r="G20">
            <v>37957</v>
          </cell>
          <cell r="H20">
            <v>0</v>
          </cell>
          <cell r="I20">
            <v>37957</v>
          </cell>
          <cell r="J20">
            <v>12</v>
          </cell>
          <cell r="K20" t="str">
            <v>DTF</v>
          </cell>
          <cell r="L20">
            <v>6.8500000000000005E-2</v>
          </cell>
          <cell r="M20" t="str">
            <v>TV.</v>
          </cell>
          <cell r="N20">
            <v>2.0379234160252318E-2</v>
          </cell>
          <cell r="O20">
            <v>1.9894352896117705E-2</v>
          </cell>
        </row>
        <row r="21">
          <cell r="A21" t="str">
            <v>BANCO COLPATRIA</v>
          </cell>
          <cell r="B21" t="str">
            <v>140000391-0</v>
          </cell>
          <cell r="C21">
            <v>648290000</v>
          </cell>
          <cell r="E21">
            <v>547959405.79999995</v>
          </cell>
          <cell r="F21">
            <v>92612856</v>
          </cell>
          <cell r="G21">
            <v>38013</v>
          </cell>
          <cell r="H21">
            <v>455346549.79999995</v>
          </cell>
          <cell r="I21">
            <v>40144</v>
          </cell>
          <cell r="J21">
            <v>84</v>
          </cell>
          <cell r="L21">
            <v>0.08</v>
          </cell>
          <cell r="M21" t="str">
            <v>M.V.</v>
          </cell>
          <cell r="N21">
            <v>8.9335944328887366E-3</v>
          </cell>
          <cell r="O21">
            <v>8.7210382333857313E-3</v>
          </cell>
        </row>
        <row r="22">
          <cell r="A22" t="str">
            <v>BANCO TEQUENDAMA</v>
          </cell>
          <cell r="B22" t="str">
            <v>725004000149</v>
          </cell>
          <cell r="C22">
            <v>4782410545</v>
          </cell>
          <cell r="E22">
            <v>3081997759</v>
          </cell>
          <cell r="F22">
            <v>637654793</v>
          </cell>
          <cell r="G22">
            <v>38016</v>
          </cell>
          <cell r="H22">
            <v>2444342966</v>
          </cell>
          <cell r="I22">
            <v>38716</v>
          </cell>
          <cell r="J22">
            <v>60</v>
          </cell>
          <cell r="K22" t="str">
            <v>DTF</v>
          </cell>
          <cell r="L22">
            <v>0.08</v>
          </cell>
          <cell r="M22" t="str">
            <v>M.V.</v>
          </cell>
          <cell r="N22">
            <v>5.0247003209627113E-2</v>
          </cell>
          <cell r="O22">
            <v>4.9051480834071938E-2</v>
          </cell>
        </row>
        <row r="23">
          <cell r="A23" t="str">
            <v>BANCO TEQUENDAMA</v>
          </cell>
          <cell r="B23">
            <v>301202</v>
          </cell>
          <cell r="C23">
            <v>148925181</v>
          </cell>
          <cell r="E23">
            <v>0</v>
          </cell>
          <cell r="F23">
            <v>0</v>
          </cell>
          <cell r="H23">
            <v>0</v>
          </cell>
          <cell r="I23">
            <v>37985</v>
          </cell>
          <cell r="J23">
            <v>60</v>
          </cell>
          <cell r="K23" t="str">
            <v>DTF</v>
          </cell>
          <cell r="L23">
            <v>0.08</v>
          </cell>
          <cell r="M23" t="str">
            <v>M.V.</v>
          </cell>
          <cell r="N23">
            <v>0</v>
          </cell>
          <cell r="O23">
            <v>0</v>
          </cell>
        </row>
        <row r="24">
          <cell r="A24" t="str">
            <v xml:space="preserve">BANCO UNION </v>
          </cell>
          <cell r="B24">
            <v>300699</v>
          </cell>
          <cell r="C24">
            <v>750000000</v>
          </cell>
          <cell r="E24">
            <v>562500000</v>
          </cell>
          <cell r="F24">
            <v>562500000</v>
          </cell>
          <cell r="G24">
            <v>38076</v>
          </cell>
          <cell r="H24">
            <v>0</v>
          </cell>
          <cell r="I24">
            <v>38701</v>
          </cell>
          <cell r="J24">
            <v>60</v>
          </cell>
          <cell r="K24" t="str">
            <v>DTF</v>
          </cell>
          <cell r="L24">
            <v>6.3500000000000001E-2</v>
          </cell>
          <cell r="M24" t="str">
            <v>TV.</v>
          </cell>
          <cell r="N24">
            <v>9.1706553721135429E-3</v>
          </cell>
          <cell r="O24">
            <v>8.9524588032529658E-3</v>
          </cell>
        </row>
        <row r="25">
          <cell r="A25" t="str">
            <v>BANCO UNION (Bancoldex)</v>
          </cell>
          <cell r="B25">
            <v>506</v>
          </cell>
          <cell r="C25">
            <v>1700000000</v>
          </cell>
          <cell r="E25">
            <v>1402500000</v>
          </cell>
          <cell r="F25">
            <v>765000000</v>
          </cell>
          <cell r="G25">
            <v>37993</v>
          </cell>
          <cell r="H25">
            <v>637500000</v>
          </cell>
          <cell r="I25">
            <v>38701</v>
          </cell>
          <cell r="J25">
            <v>60</v>
          </cell>
          <cell r="K25" t="str">
            <v>DTF</v>
          </cell>
          <cell r="L25">
            <v>6.3500000000000001E-2</v>
          </cell>
          <cell r="M25" t="str">
            <v>TV.</v>
          </cell>
          <cell r="N25">
            <v>2.2865500727803099E-2</v>
          </cell>
          <cell r="O25">
            <v>2.2321463949444065E-2</v>
          </cell>
        </row>
        <row r="26">
          <cell r="A26" t="str">
            <v>LLOYDS TSB BANK-SIMESA</v>
          </cell>
          <cell r="B26">
            <v>50257</v>
          </cell>
          <cell r="C26">
            <v>1788750000</v>
          </cell>
          <cell r="E26">
            <v>841171597</v>
          </cell>
          <cell r="F26">
            <v>308552028</v>
          </cell>
          <cell r="G26">
            <v>38016</v>
          </cell>
          <cell r="H26">
            <v>532619569</v>
          </cell>
          <cell r="I26">
            <v>38691</v>
          </cell>
          <cell r="J26">
            <v>6</v>
          </cell>
          <cell r="K26" t="str">
            <v>DTF</v>
          </cell>
          <cell r="L26">
            <v>0.05</v>
          </cell>
          <cell r="M26" t="str">
            <v>TV.</v>
          </cell>
          <cell r="N26">
            <v>1</v>
          </cell>
          <cell r="O26">
            <v>1.3387651677527123E-2</v>
          </cell>
        </row>
        <row r="27">
          <cell r="A27" t="str">
            <v>CITIBANK COLOMBIA</v>
          </cell>
          <cell r="B27">
            <v>8992104086</v>
          </cell>
          <cell r="C27">
            <v>4600000000</v>
          </cell>
          <cell r="E27">
            <v>3037500000</v>
          </cell>
          <cell r="F27">
            <v>1822500000</v>
          </cell>
          <cell r="G27">
            <v>38016</v>
          </cell>
          <cell r="H27">
            <v>1215000000</v>
          </cell>
          <cell r="I27">
            <v>38625</v>
          </cell>
          <cell r="J27">
            <v>60</v>
          </cell>
          <cell r="K27" t="str">
            <v>DTF</v>
          </cell>
          <cell r="L27">
            <v>7.7700000000000005E-2</v>
          </cell>
          <cell r="M27" t="str">
            <v>M.V.</v>
          </cell>
          <cell r="N27">
            <v>4.9521539009413133E-2</v>
          </cell>
          <cell r="O27">
            <v>4.8343277537566016E-2</v>
          </cell>
        </row>
        <row r="28">
          <cell r="A28" t="str">
            <v>BANCO DE OCCIDENTE</v>
          </cell>
          <cell r="B28" t="str">
            <v>29200019-4</v>
          </cell>
          <cell r="C28">
            <v>1200000000</v>
          </cell>
          <cell r="E28">
            <v>1092337852</v>
          </cell>
          <cell r="F28">
            <v>285972888</v>
          </cell>
          <cell r="G28">
            <v>37987</v>
          </cell>
          <cell r="H28">
            <v>806364964</v>
          </cell>
          <cell r="I28">
            <v>38638</v>
          </cell>
          <cell r="J28">
            <v>36</v>
          </cell>
          <cell r="K28" t="str">
            <v>DTF</v>
          </cell>
          <cell r="L28">
            <v>7.0000000000000007E-2</v>
          </cell>
          <cell r="M28" t="str">
            <v>T.V.</v>
          </cell>
          <cell r="N28">
            <v>1.7808807094412033E-2</v>
          </cell>
          <cell r="O28">
            <v>1.7385083767580155E-2</v>
          </cell>
        </row>
        <row r="29">
          <cell r="A29" t="str">
            <v>BANCO DE OCCIDENTE</v>
          </cell>
          <cell r="B29" t="str">
            <v>29200024-7</v>
          </cell>
          <cell r="C29">
            <v>650000000</v>
          </cell>
          <cell r="E29">
            <v>591683002</v>
          </cell>
          <cell r="F29">
            <v>154901988</v>
          </cell>
          <cell r="G29">
            <v>37987</v>
          </cell>
          <cell r="H29">
            <v>436781014</v>
          </cell>
          <cell r="I29">
            <v>38638</v>
          </cell>
          <cell r="J29">
            <v>36</v>
          </cell>
          <cell r="K29" t="str">
            <v>DTF</v>
          </cell>
          <cell r="L29">
            <v>7.0000000000000007E-2</v>
          </cell>
          <cell r="M29" t="str">
            <v>T.V.</v>
          </cell>
          <cell r="N29">
            <v>9.6464371571192333E-3</v>
          </cell>
          <cell r="O29">
            <v>9.4169203555378531E-3</v>
          </cell>
        </row>
        <row r="30">
          <cell r="A30" t="str">
            <v>BANCO DE OCCIDENTE</v>
          </cell>
          <cell r="B30" t="str">
            <v>29200034-5</v>
          </cell>
          <cell r="C30">
            <v>500000000</v>
          </cell>
          <cell r="E30">
            <v>455140770</v>
          </cell>
          <cell r="F30">
            <v>119155380</v>
          </cell>
          <cell r="G30">
            <v>37987</v>
          </cell>
          <cell r="H30">
            <v>335985390</v>
          </cell>
          <cell r="I30">
            <v>38638</v>
          </cell>
          <cell r="J30">
            <v>36</v>
          </cell>
          <cell r="K30" t="str">
            <v>DTF</v>
          </cell>
          <cell r="L30">
            <v>7.0000000000000007E-2</v>
          </cell>
          <cell r="M30" t="str">
            <v>T.V.</v>
          </cell>
          <cell r="N30">
            <v>7.420336262166035E-3</v>
          </cell>
          <cell r="O30">
            <v>7.2437848766325934E-3</v>
          </cell>
        </row>
        <row r="31">
          <cell r="A31" t="str">
            <v>BANCO DE OCCIDENTE</v>
          </cell>
          <cell r="B31">
            <v>292001173</v>
          </cell>
          <cell r="C31">
            <v>1000000000</v>
          </cell>
          <cell r="E31">
            <v>622824212</v>
          </cell>
          <cell r="F31">
            <v>163054728</v>
          </cell>
          <cell r="G31">
            <v>37987</v>
          </cell>
          <cell r="H31">
            <v>459769484</v>
          </cell>
          <cell r="I31">
            <v>38638</v>
          </cell>
          <cell r="J31">
            <v>36</v>
          </cell>
          <cell r="K31" t="str">
            <v>DTF</v>
          </cell>
          <cell r="L31">
            <v>0.06</v>
          </cell>
          <cell r="M31" t="str">
            <v>T.V.</v>
          </cell>
          <cell r="N31">
            <v>1.0154144365618106E-2</v>
          </cell>
          <cell r="O31">
            <v>9.9125477326195404E-3</v>
          </cell>
        </row>
        <row r="32">
          <cell r="A32" t="str">
            <v>BANCO DE OCCIDENTE-SIMESA</v>
          </cell>
          <cell r="B32" t="str">
            <v>40500382-3</v>
          </cell>
          <cell r="C32">
            <v>2700000000</v>
          </cell>
          <cell r="E32">
            <v>2099930629</v>
          </cell>
          <cell r="F32">
            <v>549759636</v>
          </cell>
          <cell r="G32">
            <v>37987</v>
          </cell>
          <cell r="H32">
            <v>1550170993</v>
          </cell>
          <cell r="I32">
            <v>38638</v>
          </cell>
          <cell r="J32">
            <v>36</v>
          </cell>
          <cell r="K32" t="str">
            <v>DTF</v>
          </cell>
          <cell r="L32">
            <v>0.06</v>
          </cell>
          <cell r="M32" t="str">
            <v>T.V.</v>
          </cell>
          <cell r="N32">
            <v>3.4235982406941548E-2</v>
          </cell>
          <cell r="O32">
            <v>3.3421408792553939E-2</v>
          </cell>
        </row>
        <row r="33">
          <cell r="A33" t="str">
            <v>BANCO DE OCCIDENTE-SIMESA</v>
          </cell>
          <cell r="B33" t="str">
            <v>40500660-0</v>
          </cell>
          <cell r="C33">
            <v>800000000</v>
          </cell>
          <cell r="E33">
            <v>455140770</v>
          </cell>
          <cell r="F33">
            <v>119155380</v>
          </cell>
          <cell r="G33">
            <v>37987</v>
          </cell>
          <cell r="H33">
            <v>335985390</v>
          </cell>
          <cell r="I33">
            <v>38638</v>
          </cell>
          <cell r="J33">
            <v>36</v>
          </cell>
          <cell r="K33" t="str">
            <v>DTF</v>
          </cell>
          <cell r="L33">
            <v>0.06</v>
          </cell>
          <cell r="M33" t="str">
            <v>T.V.</v>
          </cell>
          <cell r="N33">
            <v>7.420336262166035E-3</v>
          </cell>
          <cell r="O33">
            <v>7.2437848766325934E-3</v>
          </cell>
        </row>
        <row r="34">
          <cell r="A34" t="str">
            <v>CORFIVALLE</v>
          </cell>
          <cell r="B34">
            <v>4990240992</v>
          </cell>
          <cell r="C34">
            <v>3970717200</v>
          </cell>
          <cell r="E34">
            <v>3394963206</v>
          </cell>
          <cell r="F34">
            <v>714729096</v>
          </cell>
          <cell r="G34">
            <v>38016</v>
          </cell>
          <cell r="H34">
            <v>2680234110</v>
          </cell>
          <cell r="I34">
            <v>38655</v>
          </cell>
          <cell r="J34">
            <v>33</v>
          </cell>
          <cell r="K34" t="str">
            <v>DTF</v>
          </cell>
          <cell r="L34">
            <v>7.0000000000000007E-2</v>
          </cell>
          <cell r="M34" t="str">
            <v>M.V.</v>
          </cell>
          <cell r="N34">
            <v>5.5349400112411941E-2</v>
          </cell>
          <cell r="O34">
            <v>5.4032476871599316E-2</v>
          </cell>
        </row>
        <row r="35">
          <cell r="A35" t="str">
            <v>CORFIVALLE</v>
          </cell>
          <cell r="B35">
            <v>4990241001</v>
          </cell>
          <cell r="C35">
            <v>262287795</v>
          </cell>
          <cell r="E35">
            <v>249173406</v>
          </cell>
          <cell r="F35">
            <v>52457556</v>
          </cell>
          <cell r="G35">
            <v>38016</v>
          </cell>
          <cell r="H35">
            <v>196715850</v>
          </cell>
          <cell r="I35">
            <v>38655</v>
          </cell>
          <cell r="J35">
            <v>33</v>
          </cell>
          <cell r="K35" t="str">
            <v>DTF</v>
          </cell>
          <cell r="L35">
            <v>7.0000000000000007E-2</v>
          </cell>
          <cell r="M35" t="str">
            <v>M.V.</v>
          </cell>
          <cell r="N35">
            <v>4.0623705499052958E-3</v>
          </cell>
          <cell r="O35">
            <v>3.9657149370332899E-3</v>
          </cell>
        </row>
        <row r="36">
          <cell r="A36" t="str">
            <v>CORFIVALLE</v>
          </cell>
          <cell r="B36">
            <v>213101662500</v>
          </cell>
          <cell r="C36">
            <v>198000000</v>
          </cell>
          <cell r="E36">
            <v>0</v>
          </cell>
          <cell r="F36">
            <v>0</v>
          </cell>
          <cell r="H36">
            <v>0</v>
          </cell>
          <cell r="I36">
            <v>37985</v>
          </cell>
          <cell r="J36">
            <v>12</v>
          </cell>
          <cell r="K36" t="str">
            <v>DTF</v>
          </cell>
          <cell r="L36">
            <v>7.0000000000000007E-2</v>
          </cell>
          <cell r="M36" t="str">
            <v>M.V.</v>
          </cell>
          <cell r="N36">
            <v>0</v>
          </cell>
          <cell r="O36">
            <v>0</v>
          </cell>
        </row>
        <row r="37">
          <cell r="A37" t="str">
            <v>CORFINSURA</v>
          </cell>
          <cell r="B37" t="str">
            <v>TESORERIA</v>
          </cell>
          <cell r="C37">
            <v>5000000000</v>
          </cell>
          <cell r="E37">
            <v>5000000000</v>
          </cell>
          <cell r="F37">
            <v>5000000000</v>
          </cell>
          <cell r="G37">
            <v>38058</v>
          </cell>
          <cell r="H37">
            <v>0</v>
          </cell>
          <cell r="I37">
            <v>38058</v>
          </cell>
          <cell r="J37">
            <v>3</v>
          </cell>
          <cell r="K37" t="str">
            <v>DTF</v>
          </cell>
          <cell r="L37">
            <v>0.05</v>
          </cell>
          <cell r="M37" t="str">
            <v>T.V.</v>
          </cell>
        </row>
        <row r="38">
          <cell r="A38" t="str">
            <v>BANCO DE COLOMBIA</v>
          </cell>
          <cell r="B38">
            <v>1269998853</v>
          </cell>
          <cell r="C38">
            <v>800000000</v>
          </cell>
          <cell r="E38">
            <v>677647059</v>
          </cell>
          <cell r="F38">
            <v>169411764</v>
          </cell>
          <cell r="G38">
            <v>38013</v>
          </cell>
          <cell r="H38">
            <v>508235295</v>
          </cell>
          <cell r="I38">
            <v>39442</v>
          </cell>
          <cell r="J38">
            <v>60</v>
          </cell>
          <cell r="K38" t="str">
            <v>DTF</v>
          </cell>
          <cell r="L38">
            <v>0.06</v>
          </cell>
          <cell r="M38" t="str">
            <v>M.V.</v>
          </cell>
          <cell r="N38">
            <v>1.1047942474693855E-2</v>
          </cell>
          <cell r="O38">
            <v>1.0785079784609835E-2</v>
          </cell>
        </row>
        <row r="39">
          <cell r="A39" t="str">
            <v>BANCO DE COLOMBIA</v>
          </cell>
          <cell r="B39">
            <v>1269998852</v>
          </cell>
          <cell r="C39">
            <v>1000000000</v>
          </cell>
          <cell r="E39">
            <v>847058823</v>
          </cell>
          <cell r="F39">
            <v>211764708</v>
          </cell>
          <cell r="G39">
            <v>38013</v>
          </cell>
          <cell r="H39">
            <v>635294115</v>
          </cell>
          <cell r="I39">
            <v>39442</v>
          </cell>
          <cell r="J39">
            <v>60</v>
          </cell>
          <cell r="K39" t="str">
            <v>DTF</v>
          </cell>
          <cell r="L39">
            <v>0.06</v>
          </cell>
          <cell r="M39" t="str">
            <v>M.V.</v>
          </cell>
          <cell r="N39">
            <v>1.3809928081139778E-2</v>
          </cell>
          <cell r="O39">
            <v>1.3481349718825683E-2</v>
          </cell>
        </row>
        <row r="40">
          <cell r="A40" t="str">
            <v>BANCO DE COLOMBIA</v>
          </cell>
          <cell r="B40">
            <v>1269998851</v>
          </cell>
          <cell r="C40">
            <v>456123420</v>
          </cell>
          <cell r="E40">
            <v>386363367</v>
          </cell>
          <cell r="F40">
            <v>96590844</v>
          </cell>
          <cell r="G40">
            <v>38013</v>
          </cell>
          <cell r="H40">
            <v>289772523</v>
          </cell>
          <cell r="I40">
            <v>39442</v>
          </cell>
          <cell r="J40">
            <v>60</v>
          </cell>
          <cell r="K40" t="str">
            <v>DTF</v>
          </cell>
          <cell r="L40">
            <v>0.06</v>
          </cell>
          <cell r="M40" t="str">
            <v>M.V.</v>
          </cell>
          <cell r="N40">
            <v>6.2990316216292022E-3</v>
          </cell>
          <cell r="O40">
            <v>6.1491593353841896E-3</v>
          </cell>
        </row>
        <row r="41">
          <cell r="A41" t="str">
            <v>BANCO DE COLOMBIA</v>
          </cell>
          <cell r="B41">
            <v>1269998861</v>
          </cell>
          <cell r="C41">
            <v>19000000000</v>
          </cell>
          <cell r="E41">
            <v>16496204777</v>
          </cell>
          <cell r="F41">
            <v>4124051196</v>
          </cell>
          <cell r="G41">
            <v>38013</v>
          </cell>
          <cell r="H41">
            <v>12372153581</v>
          </cell>
          <cell r="I41">
            <v>39442</v>
          </cell>
          <cell r="J41">
            <v>60</v>
          </cell>
          <cell r="K41" t="str">
            <v>DTF</v>
          </cell>
          <cell r="L41">
            <v>4.4999999999999998E-2</v>
          </cell>
          <cell r="M41" t="str">
            <v>M.V.</v>
          </cell>
          <cell r="N41">
            <v>0.26894401592476469</v>
          </cell>
          <cell r="O41">
            <v>0.26254505542420853</v>
          </cell>
        </row>
        <row r="42">
          <cell r="A42" t="str">
            <v>BANCO DE COLOMBIA</v>
          </cell>
          <cell r="B42" t="str">
            <v>TESORERIA</v>
          </cell>
          <cell r="C42">
            <v>2600000000</v>
          </cell>
          <cell r="E42">
            <v>2600000000</v>
          </cell>
          <cell r="F42">
            <v>2600000000</v>
          </cell>
          <cell r="G42">
            <v>38061</v>
          </cell>
          <cell r="H42">
            <v>0</v>
          </cell>
          <cell r="I42">
            <v>38061</v>
          </cell>
          <cell r="J42">
            <v>3</v>
          </cell>
          <cell r="K42" t="str">
            <v>DTF</v>
          </cell>
          <cell r="L42">
            <v>4.3999999999999997E-2</v>
          </cell>
          <cell r="M42" t="str">
            <v>M.V.</v>
          </cell>
          <cell r="N42">
            <v>4.2388807053324824E-2</v>
          </cell>
          <cell r="O42">
            <v>4.1380254023924826E-2</v>
          </cell>
        </row>
        <row r="43">
          <cell r="A43" t="str">
            <v>FONADE</v>
          </cell>
          <cell r="B43">
            <v>141030</v>
          </cell>
          <cell r="C43">
            <v>3467000000</v>
          </cell>
          <cell r="E43">
            <v>2311333332</v>
          </cell>
          <cell r="F43">
            <v>1155666668</v>
          </cell>
          <cell r="G43">
            <v>38018</v>
          </cell>
          <cell r="H43">
            <v>1155666664</v>
          </cell>
          <cell r="I43">
            <v>38657</v>
          </cell>
          <cell r="J43">
            <v>48</v>
          </cell>
          <cell r="K43" t="str">
            <v>DTF</v>
          </cell>
          <cell r="L43">
            <v>0.06</v>
          </cell>
          <cell r="M43" t="str">
            <v>T.V.</v>
          </cell>
          <cell r="N43">
            <v>3.7682562556179369E-2</v>
          </cell>
          <cell r="O43">
            <v>3.6785984773894068E-2</v>
          </cell>
        </row>
        <row r="44">
          <cell r="A44" t="str">
            <v>VALORES SIMESA</v>
          </cell>
          <cell r="E44">
            <v>2300979344</v>
          </cell>
          <cell r="F44">
            <v>0</v>
          </cell>
          <cell r="H44">
            <v>2300979344</v>
          </cell>
          <cell r="N44">
            <v>3.7513757479423815E-2</v>
          </cell>
          <cell r="O44">
            <v>3.662119606097073E-2</v>
          </cell>
        </row>
        <row r="45">
          <cell r="A45" t="str">
            <v>TOTAL PAGARES</v>
          </cell>
          <cell r="C45">
            <v>73984751136</v>
          </cell>
          <cell r="E45">
            <v>61336946725.800003</v>
          </cell>
          <cell r="F45">
            <v>25301651853</v>
          </cell>
          <cell r="H45">
            <v>36035294872.800003</v>
          </cell>
          <cell r="N45">
            <v>0.41768604519115549</v>
          </cell>
          <cell r="O45">
            <v>0.40774807912181787</v>
          </cell>
        </row>
        <row r="47">
          <cell r="A47" t="str">
            <v>CARTAS DE CREDITO</v>
          </cell>
        </row>
        <row r="48">
          <cell r="A48" t="str">
            <v>BANCOLOMBIA</v>
          </cell>
          <cell r="B48">
            <v>250212949</v>
          </cell>
          <cell r="D48">
            <v>45998.6</v>
          </cell>
          <cell r="E48">
            <v>127793770.506</v>
          </cell>
          <cell r="F48">
            <v>127793770.506</v>
          </cell>
          <cell r="G48" t="str">
            <v>VARIOS</v>
          </cell>
          <cell r="H48">
            <v>0</v>
          </cell>
          <cell r="K48" t="str">
            <v>LIBOR</v>
          </cell>
          <cell r="L48">
            <v>1.7500000000000002E-2</v>
          </cell>
          <cell r="M48" t="str">
            <v>M.V.</v>
          </cell>
        </row>
        <row r="49">
          <cell r="A49" t="str">
            <v>BANCOLOMBIA</v>
          </cell>
          <cell r="B49">
            <v>250213120</v>
          </cell>
          <cell r="D49">
            <v>414601</v>
          </cell>
          <cell r="E49">
            <v>1151848644.21</v>
          </cell>
          <cell r="F49">
            <v>1151848644.21</v>
          </cell>
          <cell r="G49" t="str">
            <v>VARIOS</v>
          </cell>
          <cell r="H49">
            <v>0</v>
          </cell>
          <cell r="K49" t="str">
            <v>LIBOR</v>
          </cell>
          <cell r="L49">
            <v>1.7500000000000002E-2</v>
          </cell>
          <cell r="M49" t="str">
            <v>VCMTO</v>
          </cell>
        </row>
        <row r="50">
          <cell r="A50" t="str">
            <v>BANCO DE BOGOTA</v>
          </cell>
          <cell r="B50">
            <v>2001538326</v>
          </cell>
          <cell r="D50">
            <v>77500</v>
          </cell>
          <cell r="E50">
            <v>215311275</v>
          </cell>
          <cell r="F50">
            <v>215311275</v>
          </cell>
          <cell r="G50">
            <v>38084</v>
          </cell>
          <cell r="H50">
            <v>0</v>
          </cell>
          <cell r="K50" t="str">
            <v>LIBOR</v>
          </cell>
          <cell r="L50">
            <v>1.4999999999999999E-2</v>
          </cell>
          <cell r="M50" t="str">
            <v>M.V.</v>
          </cell>
        </row>
        <row r="51">
          <cell r="A51" t="str">
            <v>TOTAL L/C</v>
          </cell>
          <cell r="C51">
            <v>0</v>
          </cell>
          <cell r="D51">
            <v>538099.6</v>
          </cell>
          <cell r="E51">
            <v>1494953689.7160001</v>
          </cell>
          <cell r="F51">
            <v>1494953689.7160001</v>
          </cell>
          <cell r="H51">
            <v>0</v>
          </cell>
        </row>
        <row r="53">
          <cell r="A53" t="str">
            <v>LEASE BACK</v>
          </cell>
        </row>
        <row r="54">
          <cell r="A54" t="str">
            <v>LEASING OCCID. SIMESA</v>
          </cell>
          <cell r="F54">
            <v>0</v>
          </cell>
          <cell r="H54">
            <v>0</v>
          </cell>
          <cell r="I54">
            <v>37771</v>
          </cell>
          <cell r="K54" t="str">
            <v>DTF</v>
          </cell>
          <cell r="L54">
            <v>6.5000000000000002E-2</v>
          </cell>
          <cell r="M54" t="str">
            <v>T.V.</v>
          </cell>
        </row>
        <row r="55">
          <cell r="A55" t="str">
            <v>TOTAL LEASE BACK FINANCIERO</v>
          </cell>
          <cell r="C55">
            <v>0</v>
          </cell>
          <cell r="E55">
            <v>0</v>
          </cell>
          <cell r="F55">
            <v>0</v>
          </cell>
          <cell r="H55">
            <v>0</v>
          </cell>
          <cell r="N55" t="e">
            <v>#REF!</v>
          </cell>
          <cell r="O55" t="e">
            <v>#REF!</v>
          </cell>
        </row>
        <row r="57">
          <cell r="A57" t="str">
            <v>TOTAL $ + US$</v>
          </cell>
          <cell r="C57">
            <v>73984751136</v>
          </cell>
          <cell r="D57">
            <v>538099.6</v>
          </cell>
          <cell r="E57">
            <v>62831900415.516006</v>
          </cell>
          <cell r="F57">
            <v>26796605542.716</v>
          </cell>
          <cell r="H57">
            <v>36035294872.800003</v>
          </cell>
          <cell r="O57" t="e">
            <v>#REF!</v>
          </cell>
        </row>
      </sheetData>
      <sheetData sheetId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uidacion"/>
      <sheetName val="Datos"/>
      <sheetName val="Derechos imp."/>
      <sheetName val="Códigos"/>
    </sheetNames>
    <sheetDataSet>
      <sheetData sheetId="0"/>
      <sheetData sheetId="1">
        <row r="1">
          <cell r="B1">
            <v>1</v>
          </cell>
          <cell r="C1">
            <v>2</v>
          </cell>
          <cell r="D1">
            <v>3</v>
          </cell>
          <cell r="E1">
            <v>4</v>
          </cell>
          <cell r="F1">
            <v>5</v>
          </cell>
          <cell r="G1">
            <v>6</v>
          </cell>
          <cell r="H1">
            <v>7</v>
          </cell>
          <cell r="I1">
            <v>8</v>
          </cell>
          <cell r="J1">
            <v>9</v>
          </cell>
          <cell r="K1">
            <v>10</v>
          </cell>
          <cell r="L1">
            <v>11</v>
          </cell>
          <cell r="M1">
            <v>12</v>
          </cell>
          <cell r="N1">
            <v>13</v>
          </cell>
          <cell r="O1">
            <v>14</v>
          </cell>
          <cell r="P1">
            <v>15</v>
          </cell>
          <cell r="Q1">
            <v>16</v>
          </cell>
          <cell r="R1">
            <v>17</v>
          </cell>
          <cell r="S1">
            <v>18</v>
          </cell>
          <cell r="T1">
            <v>19</v>
          </cell>
          <cell r="U1">
            <v>20</v>
          </cell>
          <cell r="V1">
            <v>21</v>
          </cell>
          <cell r="W1">
            <v>22</v>
          </cell>
          <cell r="X1">
            <v>23</v>
          </cell>
          <cell r="Y1">
            <v>24</v>
          </cell>
          <cell r="Z1">
            <v>25</v>
          </cell>
          <cell r="AA1">
            <v>26</v>
          </cell>
          <cell r="AB1">
            <v>27</v>
          </cell>
          <cell r="AC1">
            <v>28</v>
          </cell>
          <cell r="AD1">
            <v>29</v>
          </cell>
          <cell r="AE1">
            <v>30</v>
          </cell>
        </row>
        <row r="2">
          <cell r="V2" t="str">
            <v>Datos factura</v>
          </cell>
          <cell r="AB2" t="str">
            <v>Datos declaración andina de valor</v>
          </cell>
        </row>
        <row r="3">
          <cell r="B3" t="str">
            <v>Nº Liquidación</v>
          </cell>
          <cell r="C3" t="str">
            <v>ODC</v>
          </cell>
          <cell r="D3" t="str">
            <v>Fecha de liquidación</v>
          </cell>
          <cell r="E3" t="str">
            <v>Agente</v>
          </cell>
          <cell r="F3" t="str">
            <v>Factura Agente</v>
          </cell>
          <cell r="G3" t="str">
            <v>Flete</v>
          </cell>
          <cell r="H3" t="str">
            <v>Factura Flete</v>
          </cell>
          <cell r="I3" t="str">
            <v>Factura proveedor</v>
          </cell>
          <cell r="J3" t="str">
            <v>Proveedor</v>
          </cell>
          <cell r="K3" t="str">
            <v>Fecha de factura</v>
          </cell>
          <cell r="L3" t="str">
            <v>Tasa de Cambio</v>
          </cell>
          <cell r="M3" t="str">
            <v>Monto US$</v>
          </cell>
          <cell r="N3" t="str">
            <v>Item</v>
          </cell>
          <cell r="O3" t="str">
            <v>Código de producto</v>
          </cell>
          <cell r="P3" t="str">
            <v>Material</v>
          </cell>
          <cell r="Q3" t="str">
            <v>Nombre</v>
          </cell>
          <cell r="R3" t="str">
            <v>Cantidad</v>
          </cell>
          <cell r="S3" t="str">
            <v>Costo unitario US$</v>
          </cell>
          <cell r="T3" t="str">
            <v>Código arancel</v>
          </cell>
          <cell r="U3" t="str">
            <v>Tasa</v>
          </cell>
          <cell r="V3" t="str">
            <v>Flete terrestre</v>
          </cell>
          <cell r="W3" t="str">
            <v>Documentos y manejo</v>
          </cell>
          <cell r="X3" t="str">
            <v>Flete marítimo</v>
          </cell>
          <cell r="Y3" t="str">
            <v>Seguro</v>
          </cell>
          <cell r="Z3" t="str">
            <v>NC / ND</v>
          </cell>
          <cell r="AA3" t="str">
            <v>Total</v>
          </cell>
          <cell r="AB3" t="str">
            <v>(70) Precio neto s/factura(s)</v>
          </cell>
          <cell r="AC3" t="str">
            <v>(81) Transporte</v>
          </cell>
          <cell r="AD3" t="str">
            <v>(82) Transporte</v>
          </cell>
          <cell r="AE3" t="str">
            <v>(84) Seguro</v>
          </cell>
        </row>
        <row r="4">
          <cell r="B4" t="str">
            <v>200707</v>
          </cell>
          <cell r="D4">
            <v>39294</v>
          </cell>
          <cell r="G4" t="str">
            <v>0</v>
          </cell>
          <cell r="H4" t="str">
            <v>0</v>
          </cell>
          <cell r="I4" t="str">
            <v>0033</v>
          </cell>
          <cell r="J4" t="str">
            <v>Comercializadorra Prodinter, c.a.</v>
          </cell>
          <cell r="K4">
            <v>39262</v>
          </cell>
          <cell r="L4">
            <v>2150</v>
          </cell>
          <cell r="M4">
            <v>45951.645818604651</v>
          </cell>
          <cell r="N4" t="str">
            <v>200707-1</v>
          </cell>
          <cell r="O4" t="str">
            <v>78251-1</v>
          </cell>
          <cell r="P4" t="str">
            <v>PT</v>
          </cell>
          <cell r="Q4" t="str">
            <v>PISO RAGAZZO 40-RF AZUL</v>
          </cell>
          <cell r="R4">
            <v>7294.4</v>
          </cell>
          <cell r="S4">
            <v>2.1013395348837212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268506212.06</v>
          </cell>
          <cell r="AC4">
            <v>0</v>
          </cell>
          <cell r="AD4">
            <v>0</v>
          </cell>
          <cell r="AE4">
            <v>0</v>
          </cell>
        </row>
        <row r="5">
          <cell r="B5" t="str">
            <v>200707</v>
          </cell>
          <cell r="D5">
            <v>39294</v>
          </cell>
          <cell r="G5" t="str">
            <v>0</v>
          </cell>
          <cell r="H5" t="str">
            <v>0</v>
          </cell>
          <cell r="I5" t="str">
            <v>0033</v>
          </cell>
          <cell r="J5" t="str">
            <v>Comercializadorra Prodinter, c.a.</v>
          </cell>
          <cell r="K5">
            <v>39262</v>
          </cell>
          <cell r="L5">
            <v>2150</v>
          </cell>
          <cell r="M5">
            <v>0</v>
          </cell>
          <cell r="N5" t="str">
            <v>200707-2</v>
          </cell>
          <cell r="O5" t="str">
            <v>78251-2</v>
          </cell>
          <cell r="P5" t="str">
            <v>PT</v>
          </cell>
          <cell r="Q5" t="str">
            <v>PISO RAGAZZO 60-RF AZUL</v>
          </cell>
          <cell r="R5">
            <v>889.7</v>
          </cell>
          <cell r="S5">
            <v>3.0402325581395351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268506212.06</v>
          </cell>
          <cell r="AC5">
            <v>0</v>
          </cell>
          <cell r="AD5">
            <v>0</v>
          </cell>
          <cell r="AE5">
            <v>0</v>
          </cell>
        </row>
        <row r="6">
          <cell r="B6" t="str">
            <v>200707</v>
          </cell>
          <cell r="D6">
            <v>39294</v>
          </cell>
          <cell r="G6" t="str">
            <v>0</v>
          </cell>
          <cell r="H6" t="str">
            <v>0</v>
          </cell>
          <cell r="I6" t="str">
            <v>0033</v>
          </cell>
          <cell r="J6" t="str">
            <v>Comercializadorra Prodinter, c.a.</v>
          </cell>
          <cell r="K6">
            <v>39262</v>
          </cell>
          <cell r="L6">
            <v>2150</v>
          </cell>
          <cell r="M6">
            <v>0</v>
          </cell>
          <cell r="N6" t="str">
            <v>200707-3</v>
          </cell>
          <cell r="O6">
            <v>75554</v>
          </cell>
          <cell r="P6" t="str">
            <v>PT</v>
          </cell>
          <cell r="Q6" t="str">
            <v>TAPIZ  AZUL</v>
          </cell>
          <cell r="R6">
            <v>202.5</v>
          </cell>
          <cell r="S6">
            <v>3.4761441860465117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268506212.06</v>
          </cell>
          <cell r="AC6">
            <v>0</v>
          </cell>
          <cell r="AD6">
            <v>0</v>
          </cell>
          <cell r="AE6">
            <v>0</v>
          </cell>
        </row>
        <row r="7">
          <cell r="B7" t="str">
            <v>200707</v>
          </cell>
          <cell r="D7">
            <v>39294</v>
          </cell>
          <cell r="G7" t="str">
            <v>0</v>
          </cell>
          <cell r="H7" t="str">
            <v>0</v>
          </cell>
          <cell r="I7" t="str">
            <v>0033</v>
          </cell>
          <cell r="J7" t="str">
            <v>Comercializadorra Prodinter, c.a.</v>
          </cell>
          <cell r="K7">
            <v>39262</v>
          </cell>
          <cell r="L7">
            <v>2150</v>
          </cell>
          <cell r="M7">
            <v>0</v>
          </cell>
          <cell r="N7" t="str">
            <v>200707-4</v>
          </cell>
          <cell r="O7">
            <v>75555</v>
          </cell>
          <cell r="P7" t="str">
            <v>PT</v>
          </cell>
          <cell r="Q7" t="str">
            <v>TAPIZ  AZUL REY</v>
          </cell>
          <cell r="R7">
            <v>150</v>
          </cell>
          <cell r="S7">
            <v>3.4761441860465117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268506212.06</v>
          </cell>
          <cell r="AC7">
            <v>0</v>
          </cell>
          <cell r="AD7">
            <v>0</v>
          </cell>
          <cell r="AE7">
            <v>0</v>
          </cell>
        </row>
        <row r="8">
          <cell r="B8" t="str">
            <v>200707</v>
          </cell>
          <cell r="D8">
            <v>39294</v>
          </cell>
          <cell r="G8" t="str">
            <v>0</v>
          </cell>
          <cell r="H8" t="str">
            <v>0</v>
          </cell>
          <cell r="I8" t="str">
            <v>0033</v>
          </cell>
          <cell r="J8" t="str">
            <v>Comercializadorra Prodinter, c.a.</v>
          </cell>
          <cell r="K8">
            <v>39262</v>
          </cell>
          <cell r="L8">
            <v>2150</v>
          </cell>
          <cell r="M8">
            <v>0</v>
          </cell>
          <cell r="N8" t="str">
            <v>200707-5</v>
          </cell>
          <cell r="O8">
            <v>75558</v>
          </cell>
          <cell r="P8" t="str">
            <v>PT</v>
          </cell>
          <cell r="Q8" t="str">
            <v>TAPIZ  MANGO</v>
          </cell>
          <cell r="R8">
            <v>100</v>
          </cell>
          <cell r="S8">
            <v>3.4761441860465117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268506212.06</v>
          </cell>
          <cell r="AC8">
            <v>0</v>
          </cell>
          <cell r="AD8">
            <v>0</v>
          </cell>
          <cell r="AE8">
            <v>0</v>
          </cell>
        </row>
        <row r="9">
          <cell r="B9" t="str">
            <v>200707</v>
          </cell>
          <cell r="D9">
            <v>39294</v>
          </cell>
          <cell r="G9" t="str">
            <v>0</v>
          </cell>
          <cell r="H9" t="str">
            <v>0</v>
          </cell>
          <cell r="I9" t="str">
            <v>0033</v>
          </cell>
          <cell r="J9" t="str">
            <v>Comercializadorra Prodinter, c.a.</v>
          </cell>
          <cell r="K9">
            <v>39262</v>
          </cell>
          <cell r="L9">
            <v>2150</v>
          </cell>
          <cell r="M9">
            <v>0</v>
          </cell>
          <cell r="N9" t="str">
            <v>200707-6</v>
          </cell>
          <cell r="O9">
            <v>75556</v>
          </cell>
          <cell r="P9" t="str">
            <v>PT</v>
          </cell>
          <cell r="Q9" t="str">
            <v>TAPIZ  GRIS RATON</v>
          </cell>
          <cell r="R9">
            <v>100</v>
          </cell>
          <cell r="S9">
            <v>3.4761441860465117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268506212.06</v>
          </cell>
          <cell r="AC9">
            <v>0</v>
          </cell>
          <cell r="AD9">
            <v>0</v>
          </cell>
          <cell r="AE9">
            <v>0</v>
          </cell>
        </row>
        <row r="10">
          <cell r="B10" t="str">
            <v>200707</v>
          </cell>
          <cell r="D10">
            <v>39294</v>
          </cell>
          <cell r="G10" t="str">
            <v>0</v>
          </cell>
          <cell r="H10" t="str">
            <v>0</v>
          </cell>
          <cell r="I10" t="str">
            <v>0033</v>
          </cell>
          <cell r="J10" t="str">
            <v>Comercializadorra Prodinter, c.a.</v>
          </cell>
          <cell r="K10">
            <v>39262</v>
          </cell>
          <cell r="L10">
            <v>2150</v>
          </cell>
          <cell r="M10">
            <v>0</v>
          </cell>
          <cell r="N10" t="str">
            <v>200707-7</v>
          </cell>
          <cell r="O10">
            <v>79468</v>
          </cell>
          <cell r="P10" t="str">
            <v>PT</v>
          </cell>
          <cell r="Q10" t="str">
            <v>HIGHLANDS.  GRIS CLARO</v>
          </cell>
          <cell r="R10">
            <v>50</v>
          </cell>
          <cell r="S10">
            <v>3.4761441860465117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268506212.06</v>
          </cell>
          <cell r="AC10">
            <v>0</v>
          </cell>
          <cell r="AD10">
            <v>0</v>
          </cell>
          <cell r="AE10">
            <v>0</v>
          </cell>
        </row>
        <row r="11">
          <cell r="B11" t="str">
            <v>200707</v>
          </cell>
          <cell r="D11">
            <v>39294</v>
          </cell>
          <cell r="G11" t="str">
            <v>0</v>
          </cell>
          <cell r="H11" t="str">
            <v>0</v>
          </cell>
          <cell r="I11" t="str">
            <v>0033</v>
          </cell>
          <cell r="J11" t="str">
            <v>Comercializadorra Prodinter, c.a.</v>
          </cell>
          <cell r="K11">
            <v>39262</v>
          </cell>
          <cell r="L11">
            <v>2150</v>
          </cell>
          <cell r="M11">
            <v>0</v>
          </cell>
          <cell r="N11" t="str">
            <v>200707-8</v>
          </cell>
          <cell r="O11" t="str">
            <v>78251-3</v>
          </cell>
          <cell r="P11" t="str">
            <v>PT</v>
          </cell>
          <cell r="Q11" t="str">
            <v>PISO RAGAZZO 120-RF  AZUL</v>
          </cell>
          <cell r="R11">
            <v>454.2</v>
          </cell>
          <cell r="S11">
            <v>6.0581116279069773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268506212.06</v>
          </cell>
          <cell r="AC11">
            <v>0</v>
          </cell>
          <cell r="AD11">
            <v>0</v>
          </cell>
          <cell r="AE11">
            <v>0</v>
          </cell>
        </row>
        <row r="12">
          <cell r="B12" t="str">
            <v>200707</v>
          </cell>
          <cell r="D12">
            <v>39294</v>
          </cell>
          <cell r="G12" t="str">
            <v>0</v>
          </cell>
          <cell r="H12" t="str">
            <v>0</v>
          </cell>
          <cell r="I12" t="str">
            <v>0033</v>
          </cell>
          <cell r="J12" t="str">
            <v>Comercializadorra Prodinter, c.a.</v>
          </cell>
          <cell r="K12">
            <v>39262</v>
          </cell>
          <cell r="L12">
            <v>2150</v>
          </cell>
          <cell r="M12">
            <v>0</v>
          </cell>
          <cell r="N12" t="str">
            <v>200707-9</v>
          </cell>
          <cell r="O12" t="str">
            <v>78251-4</v>
          </cell>
          <cell r="P12" t="str">
            <v>PT</v>
          </cell>
          <cell r="Q12" t="str">
            <v>PISO RAGAZZO 140-RF  AZUL</v>
          </cell>
          <cell r="R12">
            <v>3486.9</v>
          </cell>
          <cell r="S12">
            <v>6.6169860465116281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268506212.06</v>
          </cell>
          <cell r="AC12">
            <v>0</v>
          </cell>
          <cell r="AD12">
            <v>0</v>
          </cell>
          <cell r="AE12">
            <v>0</v>
          </cell>
        </row>
        <row r="13">
          <cell r="B13" t="str">
            <v>200707</v>
          </cell>
          <cell r="D13">
            <v>39294</v>
          </cell>
          <cell r="G13" t="str">
            <v>0</v>
          </cell>
          <cell r="H13" t="str">
            <v>0</v>
          </cell>
          <cell r="I13" t="str">
            <v>0034</v>
          </cell>
          <cell r="J13" t="str">
            <v>Comercializadorra Prodinter, c.a.</v>
          </cell>
          <cell r="K13">
            <v>39262</v>
          </cell>
          <cell r="L13">
            <v>2150</v>
          </cell>
          <cell r="M13">
            <v>73142.815130232557</v>
          </cell>
          <cell r="N13" t="str">
            <v>200707-10</v>
          </cell>
          <cell r="O13">
            <v>77405</v>
          </cell>
          <cell r="P13" t="str">
            <v>PT</v>
          </cell>
          <cell r="Q13" t="str">
            <v>PISO TOYOTA LEVANT-RF#1  GRIS</v>
          </cell>
          <cell r="R13">
            <v>753.5</v>
          </cell>
          <cell r="S13">
            <v>11.040548837209302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268506212.06</v>
          </cell>
          <cell r="AC13">
            <v>0</v>
          </cell>
          <cell r="AD13">
            <v>0</v>
          </cell>
          <cell r="AE13">
            <v>0</v>
          </cell>
        </row>
        <row r="14">
          <cell r="B14" t="str">
            <v>200707</v>
          </cell>
          <cell r="D14">
            <v>39294</v>
          </cell>
          <cell r="G14" t="str">
            <v>0</v>
          </cell>
          <cell r="H14" t="str">
            <v>0</v>
          </cell>
          <cell r="I14" t="str">
            <v>0034</v>
          </cell>
          <cell r="J14" t="str">
            <v>Comercializadorra Prodinter, c.a.</v>
          </cell>
          <cell r="K14">
            <v>39262</v>
          </cell>
          <cell r="L14">
            <v>2150</v>
          </cell>
          <cell r="M14">
            <v>0</v>
          </cell>
          <cell r="N14" t="str">
            <v>200707-11</v>
          </cell>
          <cell r="O14">
            <v>65458</v>
          </cell>
          <cell r="P14" t="str">
            <v>PT</v>
          </cell>
          <cell r="Q14" t="str">
            <v>ASSIA SUPRA RF GRIS AZUL</v>
          </cell>
          <cell r="R14">
            <v>3974.9</v>
          </cell>
          <cell r="S14">
            <v>2.466013953488372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268506212.06</v>
          </cell>
          <cell r="AC14">
            <v>0</v>
          </cell>
          <cell r="AD14">
            <v>0</v>
          </cell>
          <cell r="AE14">
            <v>0</v>
          </cell>
        </row>
        <row r="15">
          <cell r="B15" t="str">
            <v>200707</v>
          </cell>
          <cell r="D15">
            <v>39294</v>
          </cell>
          <cell r="G15" t="str">
            <v>0</v>
          </cell>
          <cell r="H15" t="str">
            <v>0</v>
          </cell>
          <cell r="I15" t="str">
            <v>0034</v>
          </cell>
          <cell r="J15" t="str">
            <v>Comercializadorra Prodinter, c.a.</v>
          </cell>
          <cell r="K15">
            <v>39262</v>
          </cell>
          <cell r="L15">
            <v>2150</v>
          </cell>
          <cell r="M15">
            <v>0</v>
          </cell>
          <cell r="N15" t="str">
            <v>200707-12</v>
          </cell>
          <cell r="O15">
            <v>76503</v>
          </cell>
          <cell r="P15" t="str">
            <v>PT</v>
          </cell>
          <cell r="Q15" t="str">
            <v>EXPRES NILO  AZUL</v>
          </cell>
          <cell r="R15">
            <v>1014.5</v>
          </cell>
          <cell r="S15">
            <v>4.1099348837209302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268506212.06</v>
          </cell>
          <cell r="AC15">
            <v>0</v>
          </cell>
          <cell r="AD15">
            <v>0</v>
          </cell>
          <cell r="AE15">
            <v>0</v>
          </cell>
        </row>
        <row r="16">
          <cell r="B16" t="str">
            <v>200707</v>
          </cell>
          <cell r="D16">
            <v>39294</v>
          </cell>
          <cell r="G16" t="str">
            <v>0</v>
          </cell>
          <cell r="H16" t="str">
            <v>0</v>
          </cell>
          <cell r="I16" t="str">
            <v>0034</v>
          </cell>
          <cell r="J16" t="str">
            <v>Comercializadorra Prodinter, c.a.</v>
          </cell>
          <cell r="K16">
            <v>39262</v>
          </cell>
          <cell r="L16">
            <v>2150</v>
          </cell>
          <cell r="M16">
            <v>0</v>
          </cell>
          <cell r="N16" t="str">
            <v>200707-13</v>
          </cell>
          <cell r="O16">
            <v>78089</v>
          </cell>
          <cell r="P16" t="str">
            <v>PT</v>
          </cell>
          <cell r="Q16" t="str">
            <v>EXPRES NIAGARA  GRIS</v>
          </cell>
          <cell r="R16">
            <v>2923.4</v>
          </cell>
          <cell r="S16">
            <v>4.1099348837209302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268506212.06</v>
          </cell>
          <cell r="AC16">
            <v>0</v>
          </cell>
          <cell r="AD16">
            <v>0</v>
          </cell>
          <cell r="AE16">
            <v>0</v>
          </cell>
        </row>
        <row r="17">
          <cell r="B17" t="str">
            <v>200707</v>
          </cell>
          <cell r="D17">
            <v>39294</v>
          </cell>
          <cell r="G17" t="str">
            <v>0</v>
          </cell>
          <cell r="H17" t="str">
            <v>0</v>
          </cell>
          <cell r="I17" t="str">
            <v>0034</v>
          </cell>
          <cell r="J17" t="str">
            <v>Comercializadorra Prodinter, c.a.</v>
          </cell>
          <cell r="K17">
            <v>39262</v>
          </cell>
          <cell r="L17">
            <v>2150</v>
          </cell>
          <cell r="M17">
            <v>0</v>
          </cell>
          <cell r="N17" t="str">
            <v>200707-14</v>
          </cell>
          <cell r="O17">
            <v>78090</v>
          </cell>
          <cell r="P17" t="str">
            <v>PT</v>
          </cell>
          <cell r="Q17" t="str">
            <v>EXPRES NIAGARA  AZUL</v>
          </cell>
          <cell r="R17">
            <v>7952.6</v>
          </cell>
          <cell r="S17">
            <v>4.1099348837209302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268506212.06</v>
          </cell>
          <cell r="AC17">
            <v>0</v>
          </cell>
          <cell r="AD17">
            <v>0</v>
          </cell>
          <cell r="AE17">
            <v>0</v>
          </cell>
        </row>
        <row r="18">
          <cell r="B18" t="str">
            <v>200707</v>
          </cell>
          <cell r="D18">
            <v>39294</v>
          </cell>
          <cell r="G18" t="str">
            <v>0</v>
          </cell>
          <cell r="H18" t="str">
            <v>0</v>
          </cell>
          <cell r="I18" t="str">
            <v>0034</v>
          </cell>
          <cell r="J18" t="str">
            <v>Comercializadorra Prodinter, c.a.</v>
          </cell>
          <cell r="K18">
            <v>39262</v>
          </cell>
          <cell r="L18">
            <v>2150</v>
          </cell>
          <cell r="M18">
            <v>0</v>
          </cell>
          <cell r="N18" t="str">
            <v>200707-15</v>
          </cell>
          <cell r="O18">
            <v>68910</v>
          </cell>
          <cell r="P18" t="str">
            <v>PT</v>
          </cell>
          <cell r="Q18" t="str">
            <v>LEXHUS COW  NEGRO #1</v>
          </cell>
          <cell r="R18">
            <v>480.9</v>
          </cell>
          <cell r="S18">
            <v>5.1984976744186051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268506212.06</v>
          </cell>
          <cell r="AC18">
            <v>0</v>
          </cell>
          <cell r="AD18">
            <v>0</v>
          </cell>
          <cell r="AE18">
            <v>0</v>
          </cell>
        </row>
        <row r="19">
          <cell r="B19" t="str">
            <v>200707</v>
          </cell>
          <cell r="D19">
            <v>39294</v>
          </cell>
          <cell r="G19" t="str">
            <v>0</v>
          </cell>
          <cell r="H19" t="str">
            <v>0</v>
          </cell>
          <cell r="I19" t="str">
            <v>0034</v>
          </cell>
          <cell r="J19" t="str">
            <v>Comercializadorra Prodinter, c.a.</v>
          </cell>
          <cell r="K19">
            <v>39262</v>
          </cell>
          <cell r="L19">
            <v>2150</v>
          </cell>
          <cell r="M19">
            <v>0</v>
          </cell>
          <cell r="N19" t="str">
            <v>200707-16</v>
          </cell>
          <cell r="O19">
            <v>79061</v>
          </cell>
          <cell r="P19" t="str">
            <v>PT</v>
          </cell>
          <cell r="Q19" t="str">
            <v>VENUS BIC  MOSTAZA</v>
          </cell>
          <cell r="R19">
            <v>246.1</v>
          </cell>
          <cell r="S19">
            <v>5.1984976744186051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268506212.06</v>
          </cell>
          <cell r="AC19">
            <v>0</v>
          </cell>
          <cell r="AD19">
            <v>0</v>
          </cell>
          <cell r="AE19">
            <v>0</v>
          </cell>
        </row>
        <row r="20">
          <cell r="B20" t="str">
            <v>200707</v>
          </cell>
          <cell r="D20">
            <v>39294</v>
          </cell>
          <cell r="G20" t="str">
            <v>0</v>
          </cell>
          <cell r="H20" t="str">
            <v>0</v>
          </cell>
          <cell r="I20" t="str">
            <v>0034</v>
          </cell>
          <cell r="J20" t="str">
            <v>Comercializadorra Prodinter, c.a.</v>
          </cell>
          <cell r="K20">
            <v>39262</v>
          </cell>
          <cell r="L20">
            <v>2150</v>
          </cell>
          <cell r="M20">
            <v>0</v>
          </cell>
          <cell r="N20" t="str">
            <v>200707-17</v>
          </cell>
          <cell r="O20">
            <v>79062</v>
          </cell>
          <cell r="P20" t="str">
            <v>PT</v>
          </cell>
          <cell r="Q20" t="str">
            <v>VENUS BIC  CAFE</v>
          </cell>
          <cell r="R20">
            <v>456.5</v>
          </cell>
          <cell r="S20">
            <v>5.1984976744186051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268506212.06</v>
          </cell>
          <cell r="AC20">
            <v>0</v>
          </cell>
          <cell r="AD20">
            <v>0</v>
          </cell>
          <cell r="AE20">
            <v>0</v>
          </cell>
        </row>
        <row r="21">
          <cell r="B21" t="str">
            <v>200707</v>
          </cell>
          <cell r="D21">
            <v>39294</v>
          </cell>
          <cell r="G21" t="str">
            <v>0</v>
          </cell>
          <cell r="H21" t="str">
            <v>0</v>
          </cell>
          <cell r="I21" t="str">
            <v>0036</v>
          </cell>
          <cell r="J21" t="str">
            <v>Comercializadorra Prodinter, c.a.</v>
          </cell>
          <cell r="K21">
            <v>39275</v>
          </cell>
          <cell r="L21">
            <v>2150</v>
          </cell>
          <cell r="M21">
            <v>5792.1493116279071</v>
          </cell>
          <cell r="N21" t="str">
            <v>200707-18</v>
          </cell>
          <cell r="O21">
            <v>78515</v>
          </cell>
          <cell r="P21" t="str">
            <v>PT</v>
          </cell>
          <cell r="Q21" t="str">
            <v>SOLDADURA PISO DE SEGURIDAD  GRIS CLARO</v>
          </cell>
          <cell r="R21">
            <v>6600</v>
          </cell>
          <cell r="S21">
            <v>0.21702790697674421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268506212.06</v>
          </cell>
          <cell r="AC21">
            <v>0</v>
          </cell>
          <cell r="AD21">
            <v>0</v>
          </cell>
          <cell r="AE21">
            <v>993472.98</v>
          </cell>
        </row>
        <row r="22">
          <cell r="B22" t="str">
            <v>200707</v>
          </cell>
          <cell r="D22">
            <v>39294</v>
          </cell>
          <cell r="G22" t="str">
            <v>0</v>
          </cell>
          <cell r="H22" t="str">
            <v>0</v>
          </cell>
          <cell r="I22" t="str">
            <v>0036</v>
          </cell>
          <cell r="J22" t="str">
            <v>Comercializadorra Prodinter, c.a.</v>
          </cell>
          <cell r="K22">
            <v>39275</v>
          </cell>
          <cell r="L22">
            <v>2150</v>
          </cell>
          <cell r="M22">
            <v>0</v>
          </cell>
          <cell r="N22" t="str">
            <v>200707-19</v>
          </cell>
          <cell r="O22">
            <v>78517</v>
          </cell>
          <cell r="P22" t="str">
            <v>PT</v>
          </cell>
          <cell r="Q22" t="str">
            <v>SOLDADURA PISO DE SEGURIDAD  AZUL</v>
          </cell>
          <cell r="R22">
            <v>3000</v>
          </cell>
          <cell r="S22">
            <v>0.21702790697674421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268506212.06</v>
          </cell>
          <cell r="AC22">
            <v>0</v>
          </cell>
          <cell r="AD22">
            <v>0</v>
          </cell>
          <cell r="AE22">
            <v>993472.98</v>
          </cell>
        </row>
        <row r="23">
          <cell r="B23" t="str">
            <v>200707</v>
          </cell>
          <cell r="D23">
            <v>39294</v>
          </cell>
          <cell r="G23" t="str">
            <v>0</v>
          </cell>
          <cell r="H23" t="str">
            <v>0</v>
          </cell>
          <cell r="I23" t="str">
            <v>0036</v>
          </cell>
          <cell r="J23" t="str">
            <v>Comercializadorra Prodinter, c.a.</v>
          </cell>
          <cell r="K23">
            <v>39275</v>
          </cell>
          <cell r="L23">
            <v>2150</v>
          </cell>
          <cell r="M23">
            <v>0</v>
          </cell>
          <cell r="N23" t="str">
            <v>200707-20</v>
          </cell>
          <cell r="O23">
            <v>113325</v>
          </cell>
          <cell r="P23" t="str">
            <v>PT</v>
          </cell>
          <cell r="Q23" t="str">
            <v>AFILADOR DE CUCHILLAS</v>
          </cell>
          <cell r="R23">
            <v>2</v>
          </cell>
          <cell r="S23">
            <v>9.2780093023255823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268506212.06</v>
          </cell>
          <cell r="AC23">
            <v>0</v>
          </cell>
          <cell r="AD23">
            <v>0</v>
          </cell>
          <cell r="AE23">
            <v>993472.98</v>
          </cell>
        </row>
        <row r="24">
          <cell r="B24" t="str">
            <v>200707</v>
          </cell>
          <cell r="D24">
            <v>39294</v>
          </cell>
          <cell r="G24" t="str">
            <v>0</v>
          </cell>
          <cell r="H24" t="str">
            <v>0</v>
          </cell>
          <cell r="I24" t="str">
            <v>0036</v>
          </cell>
          <cell r="J24" t="str">
            <v>Comercializadorra Prodinter, c.a.</v>
          </cell>
          <cell r="K24">
            <v>39275</v>
          </cell>
          <cell r="L24">
            <v>2150</v>
          </cell>
          <cell r="M24">
            <v>0</v>
          </cell>
          <cell r="N24" t="str">
            <v>200707-21</v>
          </cell>
          <cell r="O24">
            <v>113313</v>
          </cell>
          <cell r="P24" t="str">
            <v>PT</v>
          </cell>
          <cell r="Q24" t="str">
            <v>SET DE CUCHILLAS DE ACABADO</v>
          </cell>
          <cell r="R24">
            <v>2</v>
          </cell>
          <cell r="S24">
            <v>18.379683720930231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268506212.06</v>
          </cell>
          <cell r="AC24">
            <v>0</v>
          </cell>
          <cell r="AD24">
            <v>0</v>
          </cell>
          <cell r="AE24">
            <v>993472.98</v>
          </cell>
        </row>
        <row r="25">
          <cell r="B25" t="str">
            <v>200707</v>
          </cell>
          <cell r="D25">
            <v>39294</v>
          </cell>
          <cell r="G25" t="str">
            <v>0</v>
          </cell>
          <cell r="H25" t="str">
            <v>0</v>
          </cell>
          <cell r="I25" t="str">
            <v>0036</v>
          </cell>
          <cell r="J25" t="str">
            <v>Comercializadorra Prodinter, c.a.</v>
          </cell>
          <cell r="K25">
            <v>39275</v>
          </cell>
          <cell r="L25">
            <v>2150</v>
          </cell>
          <cell r="M25">
            <v>0</v>
          </cell>
          <cell r="N25" t="str">
            <v>200707-22</v>
          </cell>
          <cell r="O25">
            <v>113314</v>
          </cell>
          <cell r="P25" t="str">
            <v>PT</v>
          </cell>
          <cell r="Q25" t="str">
            <v>CUCHILLA DE ACABADO PARA PISOS CON GRABADO</v>
          </cell>
          <cell r="R25">
            <v>2</v>
          </cell>
          <cell r="S25">
            <v>26.24700465116279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268506212.06</v>
          </cell>
          <cell r="AC25">
            <v>0</v>
          </cell>
          <cell r="AD25">
            <v>0</v>
          </cell>
          <cell r="AE25">
            <v>993472.98</v>
          </cell>
        </row>
        <row r="26">
          <cell r="B26" t="str">
            <v>200707</v>
          </cell>
          <cell r="D26">
            <v>39294</v>
          </cell>
          <cell r="G26" t="str">
            <v>0</v>
          </cell>
          <cell r="H26" t="str">
            <v>0</v>
          </cell>
          <cell r="I26" t="str">
            <v>0036</v>
          </cell>
          <cell r="J26" t="str">
            <v>Comercializadorra Prodinter, c.a.</v>
          </cell>
          <cell r="K26">
            <v>39275</v>
          </cell>
          <cell r="L26">
            <v>2150</v>
          </cell>
          <cell r="M26">
            <v>0</v>
          </cell>
          <cell r="N26" t="str">
            <v>200707-23</v>
          </cell>
          <cell r="O26">
            <v>113315</v>
          </cell>
          <cell r="P26" t="str">
            <v>PT</v>
          </cell>
          <cell r="Q26" t="str">
            <v>CUCHILLA TIPO ESPATULA PARA ACABADO</v>
          </cell>
          <cell r="R26">
            <v>2</v>
          </cell>
          <cell r="S26">
            <v>55.640939534883721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268506212.06</v>
          </cell>
          <cell r="AC26">
            <v>0</v>
          </cell>
          <cell r="AD26">
            <v>0</v>
          </cell>
          <cell r="AE26">
            <v>993472.98</v>
          </cell>
        </row>
        <row r="27">
          <cell r="B27" t="str">
            <v>200707</v>
          </cell>
          <cell r="D27">
            <v>39294</v>
          </cell>
          <cell r="G27" t="str">
            <v>0</v>
          </cell>
          <cell r="H27" t="str">
            <v>0</v>
          </cell>
          <cell r="I27" t="str">
            <v>0036</v>
          </cell>
          <cell r="J27" t="str">
            <v>Comercializadorra Prodinter, c.a.</v>
          </cell>
          <cell r="K27">
            <v>39275</v>
          </cell>
          <cell r="L27">
            <v>2150</v>
          </cell>
          <cell r="M27">
            <v>0</v>
          </cell>
          <cell r="N27" t="str">
            <v>200707-24</v>
          </cell>
          <cell r="O27">
            <v>113319</v>
          </cell>
          <cell r="P27" t="str">
            <v>PT</v>
          </cell>
          <cell r="Q27" t="str">
            <v>PAQUETE DE 10 CUCHILLAS PARA RANURADOR</v>
          </cell>
          <cell r="R27">
            <v>8</v>
          </cell>
          <cell r="S27">
            <v>30.886009302325579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268506212.06</v>
          </cell>
          <cell r="AC27">
            <v>0</v>
          </cell>
          <cell r="AD27">
            <v>0</v>
          </cell>
          <cell r="AE27">
            <v>993472.98</v>
          </cell>
        </row>
        <row r="28">
          <cell r="B28" t="str">
            <v>200707</v>
          </cell>
          <cell r="D28">
            <v>39294</v>
          </cell>
          <cell r="G28" t="str">
            <v>0</v>
          </cell>
          <cell r="H28" t="str">
            <v>0</v>
          </cell>
          <cell r="I28" t="str">
            <v>0036</v>
          </cell>
          <cell r="J28" t="str">
            <v>Comercializadorra Prodinter, c.a.</v>
          </cell>
          <cell r="K28">
            <v>39275</v>
          </cell>
          <cell r="L28">
            <v>2150</v>
          </cell>
          <cell r="M28">
            <v>0</v>
          </cell>
          <cell r="N28" t="str">
            <v>200707-25</v>
          </cell>
          <cell r="O28">
            <v>113323</v>
          </cell>
          <cell r="P28" t="str">
            <v>PT</v>
          </cell>
          <cell r="Q28" t="str">
            <v>PAQUETE DE 100 CUCHILLAS RECTAS</v>
          </cell>
          <cell r="R28">
            <v>2</v>
          </cell>
          <cell r="S28">
            <v>61.690613953488374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268506212.06</v>
          </cell>
          <cell r="AC28">
            <v>0</v>
          </cell>
          <cell r="AD28">
            <v>0</v>
          </cell>
          <cell r="AE28">
            <v>993472.98</v>
          </cell>
        </row>
        <row r="29">
          <cell r="B29" t="str">
            <v>200707</v>
          </cell>
          <cell r="D29">
            <v>39294</v>
          </cell>
          <cell r="G29" t="str">
            <v>0</v>
          </cell>
          <cell r="H29" t="str">
            <v>0</v>
          </cell>
          <cell r="I29" t="str">
            <v>0036</v>
          </cell>
          <cell r="J29" t="str">
            <v>Comercializadorra Prodinter, c.a.</v>
          </cell>
          <cell r="K29">
            <v>39275</v>
          </cell>
          <cell r="L29">
            <v>2150</v>
          </cell>
          <cell r="M29">
            <v>0</v>
          </cell>
          <cell r="N29" t="str">
            <v>200707-26</v>
          </cell>
          <cell r="O29">
            <v>113324</v>
          </cell>
          <cell r="P29" t="str">
            <v>PT</v>
          </cell>
          <cell r="Q29" t="str">
            <v>PAQUETE DE 10 CUCHILLAS CON PUNTA DE GANCHO</v>
          </cell>
          <cell r="R29">
            <v>8</v>
          </cell>
          <cell r="S29">
            <v>23.181465116279071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268506212.06</v>
          </cell>
          <cell r="AC29">
            <v>0</v>
          </cell>
          <cell r="AD29">
            <v>0</v>
          </cell>
          <cell r="AE29">
            <v>993472.98</v>
          </cell>
        </row>
        <row r="30">
          <cell r="B30" t="str">
            <v>200707</v>
          </cell>
          <cell r="D30">
            <v>39294</v>
          </cell>
          <cell r="G30" t="str">
            <v>0</v>
          </cell>
          <cell r="H30" t="str">
            <v>0</v>
          </cell>
          <cell r="I30" t="str">
            <v>0036</v>
          </cell>
          <cell r="J30" t="str">
            <v>Comercializadorra Prodinter, c.a.</v>
          </cell>
          <cell r="K30">
            <v>39275</v>
          </cell>
          <cell r="L30">
            <v>2150</v>
          </cell>
          <cell r="M30">
            <v>0</v>
          </cell>
          <cell r="N30" t="str">
            <v>200707-27</v>
          </cell>
          <cell r="O30">
            <v>113327</v>
          </cell>
          <cell r="P30" t="str">
            <v>PT</v>
          </cell>
          <cell r="Q30" t="str">
            <v>LAMINA DE METAL PARA ACABADO</v>
          </cell>
          <cell r="R30">
            <v>2</v>
          </cell>
          <cell r="S30">
            <v>20.115920930232559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268506212.06</v>
          </cell>
          <cell r="AC30">
            <v>0</v>
          </cell>
          <cell r="AD30">
            <v>0</v>
          </cell>
          <cell r="AE30">
            <v>993472.98</v>
          </cell>
        </row>
        <row r="31">
          <cell r="B31" t="str">
            <v>200707</v>
          </cell>
          <cell r="D31">
            <v>39294</v>
          </cell>
          <cell r="G31" t="str">
            <v>0</v>
          </cell>
          <cell r="H31" t="str">
            <v>0</v>
          </cell>
          <cell r="I31" t="str">
            <v>0036</v>
          </cell>
          <cell r="J31" t="str">
            <v>Comercializadorra Prodinter, c.a.</v>
          </cell>
          <cell r="K31">
            <v>39275</v>
          </cell>
          <cell r="L31">
            <v>2150</v>
          </cell>
          <cell r="M31">
            <v>0</v>
          </cell>
          <cell r="N31" t="str">
            <v>200707-28</v>
          </cell>
          <cell r="O31">
            <v>113312</v>
          </cell>
          <cell r="P31" t="str">
            <v>PT</v>
          </cell>
          <cell r="Q31" t="str">
            <v>PORTA CUCHILLAS DE ACABADO</v>
          </cell>
          <cell r="R31">
            <v>2</v>
          </cell>
          <cell r="S31">
            <v>10.851474418604651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268506212.06</v>
          </cell>
          <cell r="AC31">
            <v>0</v>
          </cell>
          <cell r="AD31">
            <v>0</v>
          </cell>
          <cell r="AE31">
            <v>993472.98</v>
          </cell>
        </row>
        <row r="32">
          <cell r="B32" t="str">
            <v>200707</v>
          </cell>
          <cell r="D32">
            <v>39294</v>
          </cell>
          <cell r="G32" t="str">
            <v>0</v>
          </cell>
          <cell r="H32" t="str">
            <v>0</v>
          </cell>
          <cell r="I32" t="str">
            <v>0036</v>
          </cell>
          <cell r="J32" t="str">
            <v>Comercializadorra Prodinter, c.a.</v>
          </cell>
          <cell r="K32">
            <v>39275</v>
          </cell>
          <cell r="L32">
            <v>2150</v>
          </cell>
          <cell r="M32">
            <v>0</v>
          </cell>
          <cell r="N32" t="str">
            <v>200707-29</v>
          </cell>
          <cell r="O32">
            <v>113322</v>
          </cell>
          <cell r="P32" t="str">
            <v>PT</v>
          </cell>
          <cell r="Q32" t="str">
            <v>PORTA CUCHILLAS</v>
          </cell>
          <cell r="R32">
            <v>2</v>
          </cell>
          <cell r="S32">
            <v>43.215999999999994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268506212.06</v>
          </cell>
          <cell r="AC32">
            <v>0</v>
          </cell>
          <cell r="AD32">
            <v>0</v>
          </cell>
          <cell r="AE32">
            <v>993472.98</v>
          </cell>
        </row>
        <row r="33">
          <cell r="B33" t="str">
            <v>200707</v>
          </cell>
          <cell r="D33">
            <v>39294</v>
          </cell>
          <cell r="G33" t="str">
            <v>0</v>
          </cell>
          <cell r="H33" t="str">
            <v>0</v>
          </cell>
          <cell r="I33" t="str">
            <v>0036</v>
          </cell>
          <cell r="J33" t="str">
            <v>Comercializadorra Prodinter, c.a.</v>
          </cell>
          <cell r="K33">
            <v>39275</v>
          </cell>
          <cell r="L33">
            <v>2150</v>
          </cell>
          <cell r="M33">
            <v>0</v>
          </cell>
          <cell r="N33" t="str">
            <v>200707-30</v>
          </cell>
          <cell r="O33">
            <v>113311</v>
          </cell>
          <cell r="P33" t="str">
            <v>PT</v>
          </cell>
          <cell r="Q33" t="str">
            <v>BOQUILLA PARA CORDON DE PVC DE 5</v>
          </cell>
          <cell r="R33">
            <v>2</v>
          </cell>
          <cell r="S33">
            <v>92.72585116279069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268506212.06</v>
          </cell>
          <cell r="AC33">
            <v>0</v>
          </cell>
          <cell r="AD33">
            <v>0</v>
          </cell>
          <cell r="AE33">
            <v>993472.98</v>
          </cell>
        </row>
        <row r="34">
          <cell r="B34" t="str">
            <v>200707</v>
          </cell>
          <cell r="D34">
            <v>39294</v>
          </cell>
          <cell r="G34" t="str">
            <v>0</v>
          </cell>
          <cell r="H34" t="str">
            <v>0</v>
          </cell>
          <cell r="I34" t="str">
            <v>0036</v>
          </cell>
          <cell r="J34" t="str">
            <v>Comercializadorra Prodinter, c.a.</v>
          </cell>
          <cell r="K34">
            <v>39275</v>
          </cell>
          <cell r="L34">
            <v>2150</v>
          </cell>
          <cell r="M34">
            <v>0</v>
          </cell>
          <cell r="N34" t="str">
            <v>200707-31</v>
          </cell>
          <cell r="O34">
            <v>113320</v>
          </cell>
          <cell r="P34" t="str">
            <v>PT</v>
          </cell>
          <cell r="Q34" t="str">
            <v>BOQUILLA PARA TERMINADO DE 1/4IN</v>
          </cell>
          <cell r="R34">
            <v>2</v>
          </cell>
          <cell r="S34">
            <v>23.181465116279071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268506212.06</v>
          </cell>
          <cell r="AC34">
            <v>0</v>
          </cell>
          <cell r="AD34">
            <v>0</v>
          </cell>
          <cell r="AE34">
            <v>993472.98</v>
          </cell>
        </row>
        <row r="35">
          <cell r="B35" t="str">
            <v>200707</v>
          </cell>
          <cell r="D35">
            <v>39294</v>
          </cell>
          <cell r="G35" t="str">
            <v>0</v>
          </cell>
          <cell r="H35" t="str">
            <v>0</v>
          </cell>
          <cell r="I35" t="str">
            <v>0036</v>
          </cell>
          <cell r="J35" t="str">
            <v>Comercializadorra Prodinter, c.a.</v>
          </cell>
          <cell r="K35">
            <v>39275</v>
          </cell>
          <cell r="L35">
            <v>2150</v>
          </cell>
          <cell r="M35">
            <v>0</v>
          </cell>
          <cell r="N35" t="str">
            <v>200707-32</v>
          </cell>
          <cell r="O35">
            <v>113321</v>
          </cell>
          <cell r="P35" t="str">
            <v>PT</v>
          </cell>
          <cell r="Q35" t="str">
            <v>BOQUILLA PARA TERMINADO DE 3/8IN</v>
          </cell>
          <cell r="R35">
            <v>2</v>
          </cell>
          <cell r="S35">
            <v>23.181465116279071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268506212.06</v>
          </cell>
          <cell r="AC35">
            <v>0</v>
          </cell>
          <cell r="AD35">
            <v>0</v>
          </cell>
          <cell r="AE35">
            <v>993472.98</v>
          </cell>
        </row>
        <row r="36">
          <cell r="B36" t="str">
            <v>200707</v>
          </cell>
          <cell r="D36">
            <v>39294</v>
          </cell>
          <cell r="G36" t="str">
            <v>0</v>
          </cell>
          <cell r="H36" t="str">
            <v>0</v>
          </cell>
          <cell r="I36" t="str">
            <v>0036</v>
          </cell>
          <cell r="J36" t="str">
            <v>Comercializadorra Prodinter, c.a.</v>
          </cell>
          <cell r="K36">
            <v>39275</v>
          </cell>
          <cell r="L36">
            <v>2150</v>
          </cell>
          <cell r="M36">
            <v>0</v>
          </cell>
          <cell r="N36" t="str">
            <v>200707-33</v>
          </cell>
          <cell r="O36">
            <v>113316</v>
          </cell>
          <cell r="P36" t="str">
            <v>PT</v>
          </cell>
          <cell r="Q36" t="str">
            <v>RANURADOR MANUAL PARA PISO ANTIDESLIZANTE</v>
          </cell>
          <cell r="R36">
            <v>2</v>
          </cell>
          <cell r="S36">
            <v>55.640939534883721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268506212.06</v>
          </cell>
          <cell r="AC36">
            <v>0</v>
          </cell>
          <cell r="AD36">
            <v>0</v>
          </cell>
          <cell r="AE36">
            <v>993472.98</v>
          </cell>
        </row>
        <row r="37">
          <cell r="B37" t="str">
            <v>200707</v>
          </cell>
          <cell r="D37">
            <v>39294</v>
          </cell>
          <cell r="G37" t="str">
            <v>0</v>
          </cell>
          <cell r="H37" t="str">
            <v>0</v>
          </cell>
          <cell r="I37" t="str">
            <v>0036</v>
          </cell>
          <cell r="J37" t="str">
            <v>Comercializadorra Prodinter, c.a.</v>
          </cell>
          <cell r="K37">
            <v>39275</v>
          </cell>
          <cell r="L37">
            <v>2150</v>
          </cell>
          <cell r="M37">
            <v>0</v>
          </cell>
          <cell r="N37" t="str">
            <v>200707-34</v>
          </cell>
          <cell r="O37">
            <v>113317</v>
          </cell>
          <cell r="P37" t="str">
            <v>PT</v>
          </cell>
          <cell r="Q37" t="str">
            <v>RANURADOR MANUAL CON MANGO CURVO</v>
          </cell>
          <cell r="R37">
            <v>2</v>
          </cell>
          <cell r="S37">
            <v>37.084916279069773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268506212.06</v>
          </cell>
          <cell r="AC37">
            <v>0</v>
          </cell>
          <cell r="AD37">
            <v>0</v>
          </cell>
          <cell r="AE37">
            <v>993472.98</v>
          </cell>
        </row>
        <row r="38">
          <cell r="B38" t="str">
            <v>200707</v>
          </cell>
          <cell r="D38">
            <v>39294</v>
          </cell>
          <cell r="G38" t="str">
            <v>0</v>
          </cell>
          <cell r="H38" t="str">
            <v>0</v>
          </cell>
          <cell r="I38" t="str">
            <v>0036</v>
          </cell>
          <cell r="J38" t="str">
            <v>Comercializadorra Prodinter, c.a.</v>
          </cell>
          <cell r="K38">
            <v>39275</v>
          </cell>
          <cell r="L38">
            <v>2150</v>
          </cell>
          <cell r="M38">
            <v>0</v>
          </cell>
          <cell r="N38" t="str">
            <v>200707-35</v>
          </cell>
          <cell r="O38">
            <v>113318</v>
          </cell>
          <cell r="P38" t="str">
            <v>PT</v>
          </cell>
          <cell r="Q38" t="str">
            <v>RANURADOR MANUAL CON MANGO RECTO</v>
          </cell>
          <cell r="R38">
            <v>2</v>
          </cell>
          <cell r="S38">
            <v>37.084916279069773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268506212.06</v>
          </cell>
          <cell r="AC38">
            <v>0</v>
          </cell>
          <cell r="AD38">
            <v>0</v>
          </cell>
          <cell r="AE38">
            <v>993472.98</v>
          </cell>
        </row>
        <row r="39">
          <cell r="B39" t="str">
            <v>200707</v>
          </cell>
          <cell r="D39">
            <v>39294</v>
          </cell>
          <cell r="G39" t="str">
            <v>0</v>
          </cell>
          <cell r="H39" t="str">
            <v>0</v>
          </cell>
          <cell r="I39" t="str">
            <v>0036</v>
          </cell>
          <cell r="J39" t="str">
            <v>Comercializadorra Prodinter, c.a.</v>
          </cell>
          <cell r="K39">
            <v>39275</v>
          </cell>
          <cell r="L39">
            <v>2150</v>
          </cell>
          <cell r="M39">
            <v>0</v>
          </cell>
          <cell r="N39" t="str">
            <v>200707-36</v>
          </cell>
          <cell r="O39">
            <v>113326</v>
          </cell>
          <cell r="P39" t="str">
            <v>PT</v>
          </cell>
          <cell r="Q39" t="str">
            <v>RANURADOR CON RUEDAS</v>
          </cell>
          <cell r="R39">
            <v>2</v>
          </cell>
          <cell r="S39">
            <v>332.42136744186041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268506212.06</v>
          </cell>
          <cell r="AC39">
            <v>0</v>
          </cell>
          <cell r="AD39">
            <v>0</v>
          </cell>
          <cell r="AE39">
            <v>993472.98</v>
          </cell>
        </row>
        <row r="40">
          <cell r="B40" t="str">
            <v>200707</v>
          </cell>
          <cell r="D40">
            <v>39294</v>
          </cell>
          <cell r="G40" t="str">
            <v>0</v>
          </cell>
          <cell r="H40" t="str">
            <v>0</v>
          </cell>
          <cell r="I40" t="str">
            <v>0036</v>
          </cell>
          <cell r="J40" t="str">
            <v>Comercializadorra Prodinter, c.a.</v>
          </cell>
          <cell r="K40">
            <v>39275</v>
          </cell>
          <cell r="L40">
            <v>2150</v>
          </cell>
          <cell r="M40">
            <v>0</v>
          </cell>
          <cell r="N40" t="str">
            <v>200707-37</v>
          </cell>
          <cell r="O40">
            <v>78781</v>
          </cell>
          <cell r="P40" t="str">
            <v>PT</v>
          </cell>
          <cell r="Q40" t="str">
            <v>CAJA DE HERRAMIENTA KIT</v>
          </cell>
          <cell r="R40">
            <v>2</v>
          </cell>
          <cell r="S40">
            <v>122.11978604651162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268506212.06</v>
          </cell>
          <cell r="AC40">
            <v>0</v>
          </cell>
          <cell r="AD40">
            <v>0</v>
          </cell>
          <cell r="AE40">
            <v>993472.98</v>
          </cell>
        </row>
        <row r="41">
          <cell r="B41" t="str">
            <v>200707</v>
          </cell>
          <cell r="D41">
            <v>39294</v>
          </cell>
          <cell r="G41" t="str">
            <v>0</v>
          </cell>
          <cell r="H41" t="str">
            <v>0</v>
          </cell>
          <cell r="I41" t="str">
            <v>0036</v>
          </cell>
          <cell r="J41" t="str">
            <v>Comercializadorra Prodinter, c.a.</v>
          </cell>
          <cell r="K41">
            <v>39275</v>
          </cell>
          <cell r="L41">
            <v>2150</v>
          </cell>
          <cell r="M41">
            <v>0</v>
          </cell>
          <cell r="N41" t="str">
            <v>200707-38</v>
          </cell>
          <cell r="O41">
            <v>113310</v>
          </cell>
          <cell r="P41" t="str">
            <v>PT</v>
          </cell>
          <cell r="Q41" t="str">
            <v>SOLDADOR DE AIRE CALIENTE CON BOQUILLA</v>
          </cell>
          <cell r="R41">
            <v>2</v>
          </cell>
          <cell r="S41">
            <v>669.21045116279072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268506212.06</v>
          </cell>
          <cell r="AC41">
            <v>0</v>
          </cell>
          <cell r="AD41">
            <v>0</v>
          </cell>
          <cell r="AE41">
            <v>993472.98</v>
          </cell>
        </row>
        <row r="42">
          <cell r="G42" t="str">
            <v>0</v>
          </cell>
          <cell r="H42" t="str">
            <v>0</v>
          </cell>
          <cell r="M42">
            <v>0</v>
          </cell>
          <cell r="P42">
            <v>0</v>
          </cell>
          <cell r="Q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</row>
        <row r="43">
          <cell r="G43" t="str">
            <v>0</v>
          </cell>
          <cell r="H43" t="str">
            <v>0</v>
          </cell>
          <cell r="M43">
            <v>0</v>
          </cell>
          <cell r="P43">
            <v>0</v>
          </cell>
          <cell r="Q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</row>
        <row r="44">
          <cell r="G44" t="str">
            <v>0</v>
          </cell>
          <cell r="H44" t="str">
            <v>0</v>
          </cell>
          <cell r="M44">
            <v>0</v>
          </cell>
          <cell r="P44">
            <v>0</v>
          </cell>
          <cell r="Q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</row>
        <row r="45">
          <cell r="G45" t="str">
            <v>0</v>
          </cell>
          <cell r="H45" t="str">
            <v>0</v>
          </cell>
          <cell r="M45">
            <v>0</v>
          </cell>
          <cell r="P45">
            <v>0</v>
          </cell>
          <cell r="Q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</row>
        <row r="46">
          <cell r="G46" t="str">
            <v>0</v>
          </cell>
          <cell r="H46" t="str">
            <v>0</v>
          </cell>
          <cell r="M46">
            <v>0</v>
          </cell>
          <cell r="P46">
            <v>0</v>
          </cell>
          <cell r="Q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</row>
        <row r="47">
          <cell r="G47" t="str">
            <v>0</v>
          </cell>
          <cell r="H47" t="str">
            <v>0</v>
          </cell>
          <cell r="M47">
            <v>0</v>
          </cell>
          <cell r="P47">
            <v>0</v>
          </cell>
          <cell r="Q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</row>
        <row r="48">
          <cell r="G48" t="str">
            <v>0</v>
          </cell>
          <cell r="H48" t="str">
            <v>0</v>
          </cell>
          <cell r="M48">
            <v>0</v>
          </cell>
          <cell r="P48">
            <v>0</v>
          </cell>
          <cell r="Q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</row>
        <row r="49">
          <cell r="G49" t="str">
            <v>0</v>
          </cell>
          <cell r="H49" t="str">
            <v>0</v>
          </cell>
          <cell r="M49">
            <v>0</v>
          </cell>
          <cell r="P49">
            <v>0</v>
          </cell>
          <cell r="Q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</row>
        <row r="50">
          <cell r="G50" t="str">
            <v>0</v>
          </cell>
          <cell r="H50" t="str">
            <v>0</v>
          </cell>
          <cell r="M50">
            <v>0</v>
          </cell>
          <cell r="P50">
            <v>0</v>
          </cell>
          <cell r="Q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</row>
        <row r="51">
          <cell r="G51" t="str">
            <v>0</v>
          </cell>
          <cell r="H51" t="str">
            <v>0</v>
          </cell>
          <cell r="M51">
            <v>0</v>
          </cell>
          <cell r="P51">
            <v>0</v>
          </cell>
          <cell r="Q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</row>
        <row r="52">
          <cell r="G52" t="str">
            <v>0</v>
          </cell>
          <cell r="H52" t="str">
            <v>0</v>
          </cell>
          <cell r="M52">
            <v>0</v>
          </cell>
          <cell r="P52">
            <v>0</v>
          </cell>
          <cell r="Q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</row>
        <row r="53">
          <cell r="G53" t="str">
            <v>0</v>
          </cell>
          <cell r="H53" t="str">
            <v>0</v>
          </cell>
          <cell r="M53">
            <v>0</v>
          </cell>
          <cell r="P53">
            <v>0</v>
          </cell>
          <cell r="Q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</row>
        <row r="54">
          <cell r="G54" t="str">
            <v>0</v>
          </cell>
          <cell r="H54" t="str">
            <v>0</v>
          </cell>
          <cell r="M54">
            <v>0</v>
          </cell>
          <cell r="P54">
            <v>0</v>
          </cell>
          <cell r="Q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</row>
        <row r="55">
          <cell r="G55" t="str">
            <v>0</v>
          </cell>
          <cell r="H55" t="str">
            <v>0</v>
          </cell>
          <cell r="M55">
            <v>0</v>
          </cell>
          <cell r="P55">
            <v>0</v>
          </cell>
          <cell r="Q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</row>
        <row r="56">
          <cell r="G56" t="str">
            <v>0</v>
          </cell>
          <cell r="H56" t="str">
            <v>0</v>
          </cell>
          <cell r="M56">
            <v>0</v>
          </cell>
          <cell r="P56">
            <v>0</v>
          </cell>
          <cell r="Q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</row>
        <row r="57">
          <cell r="G57" t="str">
            <v>0</v>
          </cell>
          <cell r="H57" t="str">
            <v>0</v>
          </cell>
          <cell r="M57">
            <v>0</v>
          </cell>
          <cell r="P57">
            <v>0</v>
          </cell>
          <cell r="Q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</row>
        <row r="58">
          <cell r="G58" t="str">
            <v>0</v>
          </cell>
          <cell r="H58" t="str">
            <v>0</v>
          </cell>
          <cell r="M58">
            <v>0</v>
          </cell>
          <cell r="P58">
            <v>0</v>
          </cell>
          <cell r="Q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</row>
        <row r="59">
          <cell r="G59" t="str">
            <v>0</v>
          </cell>
          <cell r="H59" t="str">
            <v>0</v>
          </cell>
          <cell r="M59">
            <v>0</v>
          </cell>
          <cell r="P59">
            <v>0</v>
          </cell>
          <cell r="Q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</row>
        <row r="60">
          <cell r="G60" t="str">
            <v>0</v>
          </cell>
          <cell r="H60" t="str">
            <v>0</v>
          </cell>
          <cell r="M60">
            <v>0</v>
          </cell>
          <cell r="P60">
            <v>0</v>
          </cell>
          <cell r="Q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</row>
        <row r="61">
          <cell r="G61" t="str">
            <v>0</v>
          </cell>
          <cell r="H61" t="str">
            <v>0</v>
          </cell>
          <cell r="M61">
            <v>0</v>
          </cell>
          <cell r="P61">
            <v>0</v>
          </cell>
          <cell r="Q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</row>
        <row r="62">
          <cell r="G62" t="str">
            <v>0</v>
          </cell>
          <cell r="H62" t="str">
            <v>0</v>
          </cell>
          <cell r="M62">
            <v>0</v>
          </cell>
          <cell r="P62">
            <v>0</v>
          </cell>
          <cell r="Q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</row>
        <row r="63">
          <cell r="G63" t="str">
            <v>0</v>
          </cell>
          <cell r="H63" t="str">
            <v>0</v>
          </cell>
          <cell r="M63">
            <v>0</v>
          </cell>
          <cell r="P63">
            <v>0</v>
          </cell>
          <cell r="Q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</row>
        <row r="64">
          <cell r="G64" t="str">
            <v>0</v>
          </cell>
          <cell r="H64" t="str">
            <v>0</v>
          </cell>
          <cell r="M64">
            <v>0</v>
          </cell>
          <cell r="P64">
            <v>0</v>
          </cell>
          <cell r="Q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</row>
        <row r="65">
          <cell r="G65" t="str">
            <v>0</v>
          </cell>
          <cell r="H65" t="str">
            <v>0</v>
          </cell>
          <cell r="M65">
            <v>0</v>
          </cell>
          <cell r="P65">
            <v>0</v>
          </cell>
          <cell r="Q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</row>
        <row r="66">
          <cell r="G66" t="str">
            <v>0</v>
          </cell>
          <cell r="H66" t="str">
            <v>0</v>
          </cell>
          <cell r="M66">
            <v>0</v>
          </cell>
          <cell r="P66">
            <v>0</v>
          </cell>
          <cell r="Q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</row>
        <row r="67">
          <cell r="G67" t="str">
            <v>0</v>
          </cell>
          <cell r="H67" t="str">
            <v>0</v>
          </cell>
          <cell r="M67">
            <v>0</v>
          </cell>
          <cell r="P67">
            <v>0</v>
          </cell>
          <cell r="Q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</row>
        <row r="68">
          <cell r="G68" t="str">
            <v>0</v>
          </cell>
          <cell r="H68" t="str">
            <v>0</v>
          </cell>
          <cell r="M68">
            <v>0</v>
          </cell>
          <cell r="P68">
            <v>0</v>
          </cell>
          <cell r="Q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</row>
        <row r="69">
          <cell r="G69" t="str">
            <v>0</v>
          </cell>
          <cell r="H69" t="str">
            <v>0</v>
          </cell>
          <cell r="M69">
            <v>0</v>
          </cell>
          <cell r="P69">
            <v>0</v>
          </cell>
          <cell r="Q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</row>
        <row r="70">
          <cell r="G70" t="str">
            <v>0</v>
          </cell>
          <cell r="H70" t="str">
            <v>0</v>
          </cell>
          <cell r="M70">
            <v>0</v>
          </cell>
          <cell r="P70">
            <v>0</v>
          </cell>
          <cell r="Q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</row>
        <row r="71">
          <cell r="G71" t="str">
            <v>0</v>
          </cell>
          <cell r="H71" t="str">
            <v>0</v>
          </cell>
          <cell r="M71">
            <v>0</v>
          </cell>
          <cell r="P71">
            <v>0</v>
          </cell>
          <cell r="Q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</row>
        <row r="72">
          <cell r="G72" t="str">
            <v>0</v>
          </cell>
          <cell r="H72" t="str">
            <v>0</v>
          </cell>
          <cell r="M72">
            <v>0</v>
          </cell>
          <cell r="P72">
            <v>0</v>
          </cell>
          <cell r="Q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</row>
        <row r="73">
          <cell r="G73" t="str">
            <v>0</v>
          </cell>
          <cell r="H73" t="str">
            <v>0</v>
          </cell>
          <cell r="M73">
            <v>0</v>
          </cell>
          <cell r="P73">
            <v>0</v>
          </cell>
          <cell r="Q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</row>
        <row r="74">
          <cell r="G74" t="str">
            <v>0</v>
          </cell>
          <cell r="H74" t="str">
            <v>0</v>
          </cell>
          <cell r="M74">
            <v>0</v>
          </cell>
          <cell r="P74">
            <v>0</v>
          </cell>
          <cell r="Q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</row>
        <row r="75">
          <cell r="G75" t="str">
            <v>0</v>
          </cell>
          <cell r="H75" t="str">
            <v>0</v>
          </cell>
          <cell r="M75">
            <v>0</v>
          </cell>
          <cell r="P75">
            <v>0</v>
          </cell>
          <cell r="Q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</row>
        <row r="76">
          <cell r="G76" t="str">
            <v>0</v>
          </cell>
          <cell r="H76" t="str">
            <v>0</v>
          </cell>
          <cell r="M76">
            <v>0</v>
          </cell>
          <cell r="P76">
            <v>0</v>
          </cell>
          <cell r="Q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</row>
        <row r="77">
          <cell r="G77" t="str">
            <v>0</v>
          </cell>
          <cell r="H77" t="str">
            <v>0</v>
          </cell>
          <cell r="M77">
            <v>0</v>
          </cell>
          <cell r="P77">
            <v>0</v>
          </cell>
          <cell r="Q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</row>
        <row r="78">
          <cell r="G78" t="str">
            <v>0</v>
          </cell>
          <cell r="H78" t="str">
            <v>0</v>
          </cell>
          <cell r="M78">
            <v>0</v>
          </cell>
          <cell r="P78">
            <v>0</v>
          </cell>
          <cell r="Q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</row>
        <row r="79">
          <cell r="G79" t="str">
            <v>0</v>
          </cell>
          <cell r="H79" t="str">
            <v>0</v>
          </cell>
          <cell r="M79">
            <v>0</v>
          </cell>
          <cell r="P79">
            <v>0</v>
          </cell>
          <cell r="Q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</row>
        <row r="80">
          <cell r="G80" t="str">
            <v>0</v>
          </cell>
          <cell r="H80" t="str">
            <v>0</v>
          </cell>
          <cell r="M80">
            <v>0</v>
          </cell>
          <cell r="P80">
            <v>0</v>
          </cell>
          <cell r="Q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</row>
        <row r="81">
          <cell r="G81" t="str">
            <v>0</v>
          </cell>
          <cell r="H81" t="str">
            <v>0</v>
          </cell>
          <cell r="M81">
            <v>0</v>
          </cell>
          <cell r="P81">
            <v>0</v>
          </cell>
          <cell r="Q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</row>
        <row r="82">
          <cell r="G82" t="str">
            <v>0</v>
          </cell>
          <cell r="H82" t="str">
            <v>0</v>
          </cell>
          <cell r="M82">
            <v>0</v>
          </cell>
          <cell r="P82">
            <v>0</v>
          </cell>
          <cell r="Q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</row>
        <row r="83">
          <cell r="G83" t="str">
            <v>0</v>
          </cell>
          <cell r="H83" t="str">
            <v>0</v>
          </cell>
          <cell r="M83">
            <v>0</v>
          </cell>
          <cell r="P83">
            <v>0</v>
          </cell>
          <cell r="Q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</row>
        <row r="84">
          <cell r="G84" t="str">
            <v>0</v>
          </cell>
          <cell r="H84" t="str">
            <v>0</v>
          </cell>
          <cell r="M84">
            <v>0</v>
          </cell>
          <cell r="P84">
            <v>0</v>
          </cell>
          <cell r="Q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</row>
        <row r="85">
          <cell r="G85" t="str">
            <v>0</v>
          </cell>
          <cell r="H85" t="str">
            <v>0</v>
          </cell>
          <cell r="M85">
            <v>0</v>
          </cell>
          <cell r="P85">
            <v>0</v>
          </cell>
          <cell r="Q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</row>
        <row r="86">
          <cell r="G86" t="str">
            <v>0</v>
          </cell>
          <cell r="H86" t="str">
            <v>0</v>
          </cell>
          <cell r="M86">
            <v>0</v>
          </cell>
          <cell r="P86">
            <v>0</v>
          </cell>
          <cell r="Q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</row>
        <row r="87">
          <cell r="G87" t="str">
            <v>0</v>
          </cell>
          <cell r="H87" t="str">
            <v>0</v>
          </cell>
          <cell r="M87">
            <v>0</v>
          </cell>
          <cell r="P87">
            <v>0</v>
          </cell>
          <cell r="Q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</row>
        <row r="88">
          <cell r="G88" t="str">
            <v>0</v>
          </cell>
          <cell r="H88" t="str">
            <v>0</v>
          </cell>
          <cell r="M88">
            <v>0</v>
          </cell>
          <cell r="P88">
            <v>0</v>
          </cell>
          <cell r="Q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</row>
        <row r="89">
          <cell r="G89" t="str">
            <v>0</v>
          </cell>
          <cell r="H89" t="str">
            <v>0</v>
          </cell>
          <cell r="M89">
            <v>0</v>
          </cell>
          <cell r="P89">
            <v>0</v>
          </cell>
          <cell r="Q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</row>
        <row r="90">
          <cell r="G90" t="str">
            <v>0</v>
          </cell>
          <cell r="H90" t="str">
            <v>0</v>
          </cell>
          <cell r="M90">
            <v>0</v>
          </cell>
          <cell r="P90">
            <v>0</v>
          </cell>
          <cell r="Q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</row>
        <row r="91">
          <cell r="G91" t="str">
            <v>0</v>
          </cell>
          <cell r="H91" t="str">
            <v>0</v>
          </cell>
          <cell r="M91">
            <v>0</v>
          </cell>
          <cell r="P91">
            <v>0</v>
          </cell>
          <cell r="Q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</row>
        <row r="92">
          <cell r="G92" t="str">
            <v>0</v>
          </cell>
          <cell r="H92" t="str">
            <v>0</v>
          </cell>
          <cell r="M92">
            <v>0</v>
          </cell>
          <cell r="P92">
            <v>0</v>
          </cell>
          <cell r="Q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</row>
        <row r="93">
          <cell r="G93" t="str">
            <v>0</v>
          </cell>
          <cell r="H93" t="str">
            <v>0</v>
          </cell>
          <cell r="M93">
            <v>0</v>
          </cell>
          <cell r="P93">
            <v>0</v>
          </cell>
          <cell r="Q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</row>
        <row r="94">
          <cell r="G94" t="str">
            <v>0</v>
          </cell>
          <cell r="H94" t="str">
            <v>0</v>
          </cell>
          <cell r="M94">
            <v>0</v>
          </cell>
          <cell r="P94">
            <v>0</v>
          </cell>
          <cell r="Q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</row>
        <row r="95">
          <cell r="G95" t="str">
            <v>0</v>
          </cell>
          <cell r="H95" t="str">
            <v>0</v>
          </cell>
          <cell r="M95">
            <v>0</v>
          </cell>
          <cell r="P95">
            <v>0</v>
          </cell>
          <cell r="Q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</row>
        <row r="96">
          <cell r="G96" t="str">
            <v>0</v>
          </cell>
          <cell r="H96" t="str">
            <v>0</v>
          </cell>
          <cell r="M96">
            <v>0</v>
          </cell>
          <cell r="P96">
            <v>0</v>
          </cell>
          <cell r="Q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</row>
        <row r="97">
          <cell r="G97" t="str">
            <v>0</v>
          </cell>
          <cell r="H97" t="str">
            <v>0</v>
          </cell>
          <cell r="M97">
            <v>0</v>
          </cell>
          <cell r="P97">
            <v>0</v>
          </cell>
          <cell r="Q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</row>
        <row r="98">
          <cell r="G98" t="str">
            <v>0</v>
          </cell>
          <cell r="H98" t="str">
            <v>0</v>
          </cell>
          <cell r="M98">
            <v>0</v>
          </cell>
          <cell r="P98">
            <v>0</v>
          </cell>
          <cell r="Q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</row>
        <row r="99">
          <cell r="G99" t="str">
            <v>0</v>
          </cell>
          <cell r="H99" t="str">
            <v>0</v>
          </cell>
          <cell r="M99">
            <v>0</v>
          </cell>
          <cell r="P99">
            <v>0</v>
          </cell>
          <cell r="Q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</row>
        <row r="100">
          <cell r="G100" t="str">
            <v>0</v>
          </cell>
          <cell r="H100" t="str">
            <v>0</v>
          </cell>
          <cell r="M100">
            <v>0</v>
          </cell>
          <cell r="P100">
            <v>0</v>
          </cell>
          <cell r="Q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</row>
        <row r="101">
          <cell r="G101" t="str">
            <v>0</v>
          </cell>
          <cell r="H101" t="str">
            <v>0</v>
          </cell>
          <cell r="M101">
            <v>0</v>
          </cell>
          <cell r="P101">
            <v>0</v>
          </cell>
          <cell r="Q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</row>
        <row r="102">
          <cell r="G102" t="str">
            <v>0</v>
          </cell>
          <cell r="H102" t="str">
            <v>0</v>
          </cell>
          <cell r="M102">
            <v>0</v>
          </cell>
          <cell r="P102">
            <v>0</v>
          </cell>
          <cell r="Q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</row>
        <row r="103">
          <cell r="G103" t="str">
            <v>0</v>
          </cell>
          <cell r="H103" t="str">
            <v>0</v>
          </cell>
          <cell r="M103">
            <v>0</v>
          </cell>
          <cell r="P103">
            <v>0</v>
          </cell>
          <cell r="Q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</row>
        <row r="104">
          <cell r="G104" t="str">
            <v>0</v>
          </cell>
          <cell r="H104" t="str">
            <v>0</v>
          </cell>
          <cell r="M104">
            <v>0</v>
          </cell>
          <cell r="P104">
            <v>0</v>
          </cell>
          <cell r="Q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</row>
        <row r="105">
          <cell r="G105" t="str">
            <v>0</v>
          </cell>
          <cell r="H105" t="str">
            <v>0</v>
          </cell>
          <cell r="M105">
            <v>0</v>
          </cell>
          <cell r="P105">
            <v>0</v>
          </cell>
          <cell r="Q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</row>
        <row r="106">
          <cell r="G106" t="str">
            <v>0</v>
          </cell>
          <cell r="H106" t="str">
            <v>0</v>
          </cell>
          <cell r="M106">
            <v>0</v>
          </cell>
          <cell r="P106">
            <v>0</v>
          </cell>
          <cell r="Q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</row>
        <row r="107">
          <cell r="G107" t="str">
            <v>0</v>
          </cell>
          <cell r="H107" t="str">
            <v>0</v>
          </cell>
          <cell r="M107">
            <v>0</v>
          </cell>
          <cell r="P107">
            <v>0</v>
          </cell>
          <cell r="Q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</row>
        <row r="108">
          <cell r="G108" t="str">
            <v>0</v>
          </cell>
          <cell r="H108" t="str">
            <v>0</v>
          </cell>
          <cell r="M108">
            <v>0</v>
          </cell>
          <cell r="P108">
            <v>0</v>
          </cell>
          <cell r="Q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</row>
        <row r="109">
          <cell r="G109" t="str">
            <v>0</v>
          </cell>
          <cell r="H109" t="str">
            <v>0</v>
          </cell>
          <cell r="M109">
            <v>0</v>
          </cell>
          <cell r="P109">
            <v>0</v>
          </cell>
          <cell r="Q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</row>
        <row r="110">
          <cell r="G110" t="str">
            <v>0</v>
          </cell>
          <cell r="H110" t="str">
            <v>0</v>
          </cell>
          <cell r="M110">
            <v>0</v>
          </cell>
          <cell r="P110">
            <v>0</v>
          </cell>
          <cell r="Q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</row>
        <row r="111">
          <cell r="G111" t="str">
            <v>0</v>
          </cell>
          <cell r="H111" t="str">
            <v>0</v>
          </cell>
          <cell r="M111">
            <v>0</v>
          </cell>
          <cell r="P111">
            <v>0</v>
          </cell>
          <cell r="Q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</row>
        <row r="112">
          <cell r="G112" t="str">
            <v>0</v>
          </cell>
          <cell r="H112" t="str">
            <v>0</v>
          </cell>
          <cell r="M112">
            <v>0</v>
          </cell>
          <cell r="P112">
            <v>0</v>
          </cell>
          <cell r="Q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</row>
        <row r="113">
          <cell r="G113" t="str">
            <v>0</v>
          </cell>
          <cell r="H113" t="str">
            <v>0</v>
          </cell>
          <cell r="M113">
            <v>0</v>
          </cell>
          <cell r="P113">
            <v>0</v>
          </cell>
          <cell r="Q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</row>
        <row r="114">
          <cell r="G114" t="str">
            <v>0</v>
          </cell>
          <cell r="H114" t="str">
            <v>0</v>
          </cell>
          <cell r="M114">
            <v>0</v>
          </cell>
          <cell r="P114">
            <v>0</v>
          </cell>
          <cell r="Q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</row>
        <row r="115">
          <cell r="G115" t="str">
            <v>0</v>
          </cell>
          <cell r="H115" t="str">
            <v>0</v>
          </cell>
          <cell r="M115">
            <v>0</v>
          </cell>
          <cell r="P115">
            <v>0</v>
          </cell>
          <cell r="Q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</row>
        <row r="116">
          <cell r="G116" t="str">
            <v>0</v>
          </cell>
          <cell r="H116" t="str">
            <v>0</v>
          </cell>
          <cell r="M116">
            <v>0</v>
          </cell>
          <cell r="P116">
            <v>0</v>
          </cell>
          <cell r="Q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</row>
        <row r="117">
          <cell r="G117" t="str">
            <v>0</v>
          </cell>
          <cell r="H117" t="str">
            <v>0</v>
          </cell>
          <cell r="M117">
            <v>0</v>
          </cell>
          <cell r="P117">
            <v>0</v>
          </cell>
          <cell r="Q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</row>
        <row r="118">
          <cell r="G118" t="str">
            <v>0</v>
          </cell>
          <cell r="H118" t="str">
            <v>0</v>
          </cell>
          <cell r="M118">
            <v>0</v>
          </cell>
          <cell r="P118">
            <v>0</v>
          </cell>
          <cell r="Q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</row>
        <row r="119">
          <cell r="G119" t="str">
            <v>0</v>
          </cell>
          <cell r="H119" t="str">
            <v>0</v>
          </cell>
          <cell r="M119">
            <v>0</v>
          </cell>
          <cell r="P119">
            <v>0</v>
          </cell>
          <cell r="Q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</row>
        <row r="120">
          <cell r="G120" t="str">
            <v>0</v>
          </cell>
          <cell r="H120" t="str">
            <v>0</v>
          </cell>
          <cell r="M120">
            <v>0</v>
          </cell>
          <cell r="P120">
            <v>0</v>
          </cell>
          <cell r="Q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</row>
        <row r="121">
          <cell r="G121" t="str">
            <v>0</v>
          </cell>
          <cell r="H121" t="str">
            <v>0</v>
          </cell>
          <cell r="M121">
            <v>0</v>
          </cell>
          <cell r="P121">
            <v>0</v>
          </cell>
          <cell r="Q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</row>
        <row r="122">
          <cell r="G122" t="str">
            <v>0</v>
          </cell>
          <cell r="H122" t="str">
            <v>0</v>
          </cell>
          <cell r="M122">
            <v>0</v>
          </cell>
          <cell r="P122">
            <v>0</v>
          </cell>
          <cell r="Q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</row>
        <row r="123">
          <cell r="G123" t="str">
            <v>0</v>
          </cell>
          <cell r="H123" t="str">
            <v>0</v>
          </cell>
          <cell r="M123">
            <v>0</v>
          </cell>
          <cell r="P123">
            <v>0</v>
          </cell>
          <cell r="Q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</row>
        <row r="124">
          <cell r="G124" t="str">
            <v>0</v>
          </cell>
          <cell r="H124" t="str">
            <v>0</v>
          </cell>
          <cell r="M124">
            <v>0</v>
          </cell>
          <cell r="P124">
            <v>0</v>
          </cell>
          <cell r="Q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</row>
        <row r="125">
          <cell r="G125" t="str">
            <v>0</v>
          </cell>
          <cell r="H125" t="str">
            <v>0</v>
          </cell>
          <cell r="M125">
            <v>0</v>
          </cell>
          <cell r="P125">
            <v>0</v>
          </cell>
          <cell r="Q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</row>
        <row r="126">
          <cell r="G126" t="str">
            <v>0</v>
          </cell>
          <cell r="H126" t="str">
            <v>0</v>
          </cell>
          <cell r="M126">
            <v>0</v>
          </cell>
          <cell r="P126">
            <v>0</v>
          </cell>
          <cell r="Q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</row>
        <row r="127">
          <cell r="G127" t="str">
            <v>0</v>
          </cell>
          <cell r="H127" t="str">
            <v>0</v>
          </cell>
          <cell r="M127">
            <v>0</v>
          </cell>
          <cell r="P127">
            <v>0</v>
          </cell>
          <cell r="Q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</row>
        <row r="128">
          <cell r="G128" t="str">
            <v>0</v>
          </cell>
          <cell r="H128" t="str">
            <v>0</v>
          </cell>
          <cell r="M128">
            <v>0</v>
          </cell>
          <cell r="P128">
            <v>0</v>
          </cell>
          <cell r="Q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</row>
        <row r="129">
          <cell r="G129" t="str">
            <v>0</v>
          </cell>
          <cell r="H129" t="str">
            <v>0</v>
          </cell>
          <cell r="M129">
            <v>0</v>
          </cell>
          <cell r="P129">
            <v>0</v>
          </cell>
          <cell r="Q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</row>
        <row r="130">
          <cell r="G130" t="str">
            <v>0</v>
          </cell>
          <cell r="H130" t="str">
            <v>0</v>
          </cell>
          <cell r="M130">
            <v>0</v>
          </cell>
          <cell r="P130">
            <v>0</v>
          </cell>
          <cell r="Q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</row>
        <row r="131">
          <cell r="G131" t="str">
            <v>0</v>
          </cell>
          <cell r="H131" t="str">
            <v>0</v>
          </cell>
          <cell r="M131">
            <v>0</v>
          </cell>
          <cell r="P131">
            <v>0</v>
          </cell>
          <cell r="Q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</row>
        <row r="132">
          <cell r="G132" t="str">
            <v>0</v>
          </cell>
          <cell r="H132" t="str">
            <v>0</v>
          </cell>
          <cell r="M132">
            <v>0</v>
          </cell>
          <cell r="P132">
            <v>0</v>
          </cell>
          <cell r="Q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</row>
        <row r="133">
          <cell r="G133" t="str">
            <v>0</v>
          </cell>
          <cell r="H133" t="str">
            <v>0</v>
          </cell>
          <cell r="M133">
            <v>0</v>
          </cell>
          <cell r="P133">
            <v>0</v>
          </cell>
          <cell r="Q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</row>
        <row r="134">
          <cell r="G134" t="str">
            <v>0</v>
          </cell>
          <cell r="H134" t="str">
            <v>0</v>
          </cell>
          <cell r="M134">
            <v>0</v>
          </cell>
          <cell r="P134">
            <v>0</v>
          </cell>
          <cell r="Q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</row>
        <row r="135">
          <cell r="G135" t="str">
            <v>0</v>
          </cell>
          <cell r="H135" t="str">
            <v>0</v>
          </cell>
          <cell r="M135">
            <v>0</v>
          </cell>
          <cell r="P135">
            <v>0</v>
          </cell>
          <cell r="Q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</row>
        <row r="136">
          <cell r="G136" t="str">
            <v>0</v>
          </cell>
          <cell r="H136" t="str">
            <v>0</v>
          </cell>
          <cell r="M136">
            <v>0</v>
          </cell>
          <cell r="P136">
            <v>0</v>
          </cell>
          <cell r="Q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</row>
        <row r="137">
          <cell r="G137" t="str">
            <v>0</v>
          </cell>
          <cell r="H137" t="str">
            <v>0</v>
          </cell>
          <cell r="M137">
            <v>0</v>
          </cell>
          <cell r="P137">
            <v>0</v>
          </cell>
          <cell r="Q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</row>
        <row r="138">
          <cell r="G138" t="str">
            <v>0</v>
          </cell>
          <cell r="H138" t="str">
            <v>0</v>
          </cell>
          <cell r="M138">
            <v>0</v>
          </cell>
          <cell r="P138">
            <v>0</v>
          </cell>
          <cell r="Q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</row>
        <row r="139">
          <cell r="G139" t="str">
            <v>0</v>
          </cell>
          <cell r="H139" t="str">
            <v>0</v>
          </cell>
          <cell r="M139">
            <v>0</v>
          </cell>
          <cell r="P139">
            <v>0</v>
          </cell>
          <cell r="Q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</row>
        <row r="140">
          <cell r="G140" t="str">
            <v>0</v>
          </cell>
          <cell r="H140" t="str">
            <v>0</v>
          </cell>
          <cell r="M140">
            <v>0</v>
          </cell>
          <cell r="P140">
            <v>0</v>
          </cell>
          <cell r="Q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</row>
        <row r="141">
          <cell r="G141" t="str">
            <v>0</v>
          </cell>
          <cell r="H141" t="str">
            <v>0</v>
          </cell>
          <cell r="M141">
            <v>0</v>
          </cell>
          <cell r="P141">
            <v>0</v>
          </cell>
          <cell r="Q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</row>
        <row r="142">
          <cell r="G142" t="str">
            <v>0</v>
          </cell>
          <cell r="H142" t="str">
            <v>0</v>
          </cell>
          <cell r="M142">
            <v>0</v>
          </cell>
          <cell r="P142">
            <v>0</v>
          </cell>
          <cell r="Q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</row>
        <row r="143">
          <cell r="S143">
            <v>0</v>
          </cell>
        </row>
        <row r="144">
          <cell r="S144">
            <v>0</v>
          </cell>
        </row>
        <row r="145">
          <cell r="S145">
            <v>0</v>
          </cell>
        </row>
      </sheetData>
      <sheetData sheetId="2">
        <row r="1">
          <cell r="A1">
            <v>0</v>
          </cell>
          <cell r="B1">
            <v>0</v>
          </cell>
        </row>
        <row r="2">
          <cell r="A2">
            <v>1</v>
          </cell>
          <cell r="B2">
            <v>0</v>
          </cell>
        </row>
        <row r="3">
          <cell r="A3">
            <v>2</v>
          </cell>
          <cell r="B3" t="str">
            <v>Derechos de importación</v>
          </cell>
        </row>
        <row r="4">
          <cell r="A4">
            <v>3</v>
          </cell>
          <cell r="B4" t="str">
            <v>Tasa aduanera</v>
          </cell>
        </row>
        <row r="5">
          <cell r="A5">
            <v>4</v>
          </cell>
          <cell r="B5" t="str">
            <v>Timbres</v>
          </cell>
        </row>
        <row r="6">
          <cell r="A6">
            <v>5</v>
          </cell>
          <cell r="B6" t="str">
            <v>Multa</v>
          </cell>
        </row>
        <row r="7">
          <cell r="A7">
            <v>6</v>
          </cell>
          <cell r="B7" t="str">
            <v>Otros derechos de importación</v>
          </cell>
        </row>
        <row r="8">
          <cell r="A8">
            <v>7</v>
          </cell>
          <cell r="B8" t="str">
            <v>Almacenaje - manejo</v>
          </cell>
        </row>
        <row r="9">
          <cell r="A9">
            <v>8</v>
          </cell>
          <cell r="B9" t="str">
            <v>IVA importación</v>
          </cell>
        </row>
        <row r="10">
          <cell r="A10">
            <v>9</v>
          </cell>
          <cell r="B10" t="str">
            <v>Flete marítimo - aéreo</v>
          </cell>
        </row>
        <row r="11">
          <cell r="A11">
            <v>10</v>
          </cell>
          <cell r="B11" t="str">
            <v>Flete terrestre</v>
          </cell>
        </row>
        <row r="12">
          <cell r="A12">
            <v>11</v>
          </cell>
          <cell r="B12" t="str">
            <v>Peajes</v>
          </cell>
        </row>
        <row r="13">
          <cell r="A13">
            <v>12</v>
          </cell>
          <cell r="B13" t="str">
            <v>Prima s/fianza y gastos</v>
          </cell>
        </row>
        <row r="14">
          <cell r="A14">
            <v>13</v>
          </cell>
          <cell r="B14" t="str">
            <v>Acopio, vaciado, acarreo, caleta</v>
          </cell>
        </row>
        <row r="15">
          <cell r="A15">
            <v>14</v>
          </cell>
          <cell r="B15" t="str">
            <v>Demora</v>
          </cell>
        </row>
        <row r="16">
          <cell r="A16">
            <v>15</v>
          </cell>
          <cell r="B16" t="str">
            <v>Impuesto municipal</v>
          </cell>
        </row>
        <row r="17">
          <cell r="A17">
            <v>16</v>
          </cell>
          <cell r="B17" t="str">
            <v>Manifiesto</v>
          </cell>
        </row>
        <row r="18">
          <cell r="A18">
            <v>17</v>
          </cell>
          <cell r="B18" t="str">
            <v>Manejo de carga</v>
          </cell>
        </row>
        <row r="19">
          <cell r="A19">
            <v>18</v>
          </cell>
          <cell r="B19" t="str">
            <v>Gastos operativos</v>
          </cell>
        </row>
        <row r="20">
          <cell r="A20">
            <v>19</v>
          </cell>
          <cell r="B20" t="str">
            <v>Reconocimiento</v>
          </cell>
        </row>
        <row r="21">
          <cell r="A21">
            <v>20</v>
          </cell>
          <cell r="B21" t="str">
            <v>Certificación de documentos</v>
          </cell>
        </row>
        <row r="22">
          <cell r="A22">
            <v>21</v>
          </cell>
          <cell r="B22" t="str">
            <v>Otros impuestos</v>
          </cell>
        </row>
        <row r="23">
          <cell r="A23">
            <v>22</v>
          </cell>
          <cell r="B23" t="str">
            <v>Trámites de embarque/habilitación</v>
          </cell>
        </row>
        <row r="24">
          <cell r="A24">
            <v>23</v>
          </cell>
          <cell r="B24" t="str">
            <v>Gastos varios</v>
          </cell>
        </row>
        <row r="25">
          <cell r="A25">
            <v>24</v>
          </cell>
          <cell r="B25" t="str">
            <v>Comisiones</v>
          </cell>
        </row>
        <row r="26">
          <cell r="A26">
            <v>25</v>
          </cell>
          <cell r="B26" t="str">
            <v>Depósitos en garantía</v>
          </cell>
        </row>
      </sheetData>
      <sheetData sheetId="3">
        <row r="3">
          <cell r="F3">
            <v>3</v>
          </cell>
          <cell r="G3">
            <v>4</v>
          </cell>
          <cell r="H3" t="str">
            <v>Tasa</v>
          </cell>
          <cell r="I3" t="str">
            <v>Tipo</v>
          </cell>
          <cell r="J3" t="str">
            <v>Código Colombia</v>
          </cell>
          <cell r="K3" t="str">
            <v>Conversión</v>
          </cell>
          <cell r="L3" t="str">
            <v>Present.</v>
          </cell>
        </row>
        <row r="4">
          <cell r="H4">
            <v>0</v>
          </cell>
          <cell r="I4" t="str">
            <v>PT</v>
          </cell>
          <cell r="J4">
            <v>76605</v>
          </cell>
          <cell r="L4" t="str">
            <v>Mts</v>
          </cell>
        </row>
        <row r="5">
          <cell r="H5">
            <v>0</v>
          </cell>
          <cell r="I5" t="str">
            <v>PT</v>
          </cell>
          <cell r="J5">
            <v>78230</v>
          </cell>
          <cell r="L5" t="str">
            <v>Mts</v>
          </cell>
        </row>
        <row r="6">
          <cell r="H6">
            <v>0</v>
          </cell>
          <cell r="I6" t="str">
            <v>PT</v>
          </cell>
          <cell r="J6">
            <v>78228</v>
          </cell>
          <cell r="L6" t="str">
            <v>Mts</v>
          </cell>
        </row>
        <row r="7">
          <cell r="H7">
            <v>0</v>
          </cell>
          <cell r="I7" t="str">
            <v>PT</v>
          </cell>
          <cell r="J7">
            <v>78229</v>
          </cell>
          <cell r="L7" t="str">
            <v>Mts</v>
          </cell>
        </row>
        <row r="8">
          <cell r="H8">
            <v>0</v>
          </cell>
          <cell r="I8" t="str">
            <v>PT</v>
          </cell>
          <cell r="J8">
            <v>77116</v>
          </cell>
          <cell r="L8" t="str">
            <v>Mts</v>
          </cell>
        </row>
        <row r="9">
          <cell r="H9">
            <v>0</v>
          </cell>
          <cell r="I9" t="str">
            <v>PT</v>
          </cell>
          <cell r="J9">
            <v>77117</v>
          </cell>
          <cell r="L9" t="str">
            <v>Mts</v>
          </cell>
        </row>
        <row r="10">
          <cell r="H10">
            <v>0</v>
          </cell>
          <cell r="I10" t="str">
            <v>PT</v>
          </cell>
          <cell r="J10">
            <v>77118</v>
          </cell>
          <cell r="L10" t="str">
            <v>Mts</v>
          </cell>
        </row>
        <row r="11">
          <cell r="H11">
            <v>0</v>
          </cell>
          <cell r="I11" t="str">
            <v>PT</v>
          </cell>
          <cell r="J11">
            <v>77214</v>
          </cell>
          <cell r="L11" t="str">
            <v>Mts</v>
          </cell>
        </row>
        <row r="12">
          <cell r="H12">
            <v>0</v>
          </cell>
          <cell r="I12" t="str">
            <v>PT</v>
          </cell>
          <cell r="J12">
            <v>77119</v>
          </cell>
          <cell r="L12" t="str">
            <v>Mts</v>
          </cell>
        </row>
        <row r="13">
          <cell r="H13">
            <v>0</v>
          </cell>
          <cell r="I13" t="str">
            <v>PT</v>
          </cell>
          <cell r="J13">
            <v>77120</v>
          </cell>
          <cell r="L13" t="str">
            <v>Mts</v>
          </cell>
        </row>
        <row r="14">
          <cell r="H14">
            <v>0</v>
          </cell>
          <cell r="I14" t="str">
            <v>PT</v>
          </cell>
          <cell r="J14">
            <v>77121</v>
          </cell>
          <cell r="L14" t="str">
            <v>Mts</v>
          </cell>
        </row>
        <row r="15">
          <cell r="H15">
            <v>0</v>
          </cell>
          <cell r="I15" t="str">
            <v>PT</v>
          </cell>
          <cell r="J15">
            <v>77112</v>
          </cell>
          <cell r="L15" t="str">
            <v>Mts</v>
          </cell>
        </row>
        <row r="16">
          <cell r="H16">
            <v>0</v>
          </cell>
          <cell r="I16" t="str">
            <v>PT</v>
          </cell>
          <cell r="J16">
            <v>77113</v>
          </cell>
          <cell r="L16" t="str">
            <v>Mts</v>
          </cell>
        </row>
        <row r="17">
          <cell r="H17">
            <v>0</v>
          </cell>
          <cell r="I17" t="str">
            <v>PT</v>
          </cell>
          <cell r="J17">
            <v>77114</v>
          </cell>
          <cell r="L17" t="str">
            <v>Mts</v>
          </cell>
        </row>
        <row r="18">
          <cell r="H18">
            <v>0</v>
          </cell>
          <cell r="I18" t="str">
            <v>PT</v>
          </cell>
          <cell r="J18">
            <v>77115</v>
          </cell>
          <cell r="L18" t="str">
            <v>Mts</v>
          </cell>
        </row>
        <row r="19">
          <cell r="H19">
            <v>0</v>
          </cell>
          <cell r="I19" t="str">
            <v>PT</v>
          </cell>
          <cell r="J19">
            <v>68811</v>
          </cell>
          <cell r="L19" t="str">
            <v>Mts</v>
          </cell>
        </row>
        <row r="20">
          <cell r="H20">
            <v>0</v>
          </cell>
          <cell r="I20" t="str">
            <v>PT</v>
          </cell>
          <cell r="J20">
            <v>71165</v>
          </cell>
          <cell r="L20" t="str">
            <v>Mts</v>
          </cell>
        </row>
        <row r="21">
          <cell r="H21">
            <v>0</v>
          </cell>
          <cell r="I21" t="str">
            <v>PT</v>
          </cell>
          <cell r="J21">
            <v>69221</v>
          </cell>
          <cell r="L21" t="str">
            <v>Mts</v>
          </cell>
        </row>
        <row r="22">
          <cell r="H22">
            <v>0</v>
          </cell>
          <cell r="I22" t="str">
            <v>PT</v>
          </cell>
          <cell r="J22">
            <v>66819</v>
          </cell>
          <cell r="L22" t="str">
            <v>Mts</v>
          </cell>
        </row>
        <row r="23">
          <cell r="H23">
            <v>0</v>
          </cell>
          <cell r="I23" t="str">
            <v>PT</v>
          </cell>
          <cell r="J23">
            <v>64418</v>
          </cell>
          <cell r="L23" t="str">
            <v>Mts</v>
          </cell>
        </row>
        <row r="24">
          <cell r="H24">
            <v>0</v>
          </cell>
          <cell r="I24" t="str">
            <v>PT</v>
          </cell>
          <cell r="J24">
            <v>66609</v>
          </cell>
          <cell r="L24" t="str">
            <v>Mts</v>
          </cell>
        </row>
        <row r="25">
          <cell r="H25">
            <v>0</v>
          </cell>
          <cell r="I25" t="str">
            <v>PT</v>
          </cell>
          <cell r="J25">
            <v>71760</v>
          </cell>
          <cell r="L25" t="str">
            <v>Mts</v>
          </cell>
        </row>
        <row r="26">
          <cell r="H26">
            <v>0</v>
          </cell>
          <cell r="I26" t="str">
            <v>PT</v>
          </cell>
          <cell r="J26">
            <v>72660</v>
          </cell>
          <cell r="L26" t="str">
            <v>Mts</v>
          </cell>
        </row>
        <row r="27">
          <cell r="H27">
            <v>0</v>
          </cell>
          <cell r="I27" t="str">
            <v>PT</v>
          </cell>
          <cell r="J27">
            <v>74141</v>
          </cell>
          <cell r="L27" t="str">
            <v>Mts</v>
          </cell>
        </row>
        <row r="28">
          <cell r="H28">
            <v>0</v>
          </cell>
          <cell r="I28" t="str">
            <v>PT</v>
          </cell>
          <cell r="J28">
            <v>73904</v>
          </cell>
          <cell r="L28" t="str">
            <v>Mts</v>
          </cell>
        </row>
        <row r="29">
          <cell r="H29">
            <v>0</v>
          </cell>
          <cell r="I29" t="str">
            <v>PT</v>
          </cell>
          <cell r="J29">
            <v>69125</v>
          </cell>
          <cell r="L29" t="str">
            <v>Mts</v>
          </cell>
        </row>
        <row r="30">
          <cell r="H30">
            <v>0</v>
          </cell>
          <cell r="I30" t="str">
            <v>PT</v>
          </cell>
          <cell r="J30">
            <v>74140</v>
          </cell>
          <cell r="L30" t="str">
            <v>Mts</v>
          </cell>
        </row>
        <row r="31">
          <cell r="H31">
            <v>0</v>
          </cell>
          <cell r="I31" t="str">
            <v>PT</v>
          </cell>
          <cell r="J31">
            <v>73564</v>
          </cell>
          <cell r="L31" t="str">
            <v>Mts</v>
          </cell>
        </row>
        <row r="32">
          <cell r="H32">
            <v>0</v>
          </cell>
          <cell r="I32" t="str">
            <v>PT</v>
          </cell>
          <cell r="J32">
            <v>69204</v>
          </cell>
          <cell r="L32" t="str">
            <v>Mts</v>
          </cell>
        </row>
        <row r="33">
          <cell r="H33">
            <v>0</v>
          </cell>
          <cell r="I33" t="str">
            <v>PT</v>
          </cell>
          <cell r="J33">
            <v>67862</v>
          </cell>
          <cell r="L33" t="str">
            <v>Mts</v>
          </cell>
        </row>
        <row r="34">
          <cell r="H34">
            <v>0</v>
          </cell>
          <cell r="I34" t="str">
            <v>PT</v>
          </cell>
          <cell r="J34">
            <v>67851</v>
          </cell>
          <cell r="L34" t="str">
            <v>Mts</v>
          </cell>
        </row>
        <row r="35">
          <cell r="H35">
            <v>0</v>
          </cell>
          <cell r="I35" t="str">
            <v>PT</v>
          </cell>
          <cell r="J35">
            <v>65462</v>
          </cell>
          <cell r="L35" t="str">
            <v>Mts</v>
          </cell>
        </row>
        <row r="36">
          <cell r="H36">
            <v>0</v>
          </cell>
          <cell r="I36" t="str">
            <v>PT</v>
          </cell>
          <cell r="J36">
            <v>65458</v>
          </cell>
          <cell r="L36" t="str">
            <v>Mts</v>
          </cell>
        </row>
        <row r="37">
          <cell r="H37">
            <v>0</v>
          </cell>
          <cell r="I37" t="str">
            <v>PT</v>
          </cell>
          <cell r="J37">
            <v>65459</v>
          </cell>
          <cell r="L37" t="str">
            <v>Mts</v>
          </cell>
        </row>
        <row r="38">
          <cell r="H38">
            <v>0</v>
          </cell>
          <cell r="I38" t="str">
            <v>PT</v>
          </cell>
          <cell r="J38">
            <v>65467</v>
          </cell>
          <cell r="L38" t="str">
            <v>Mts</v>
          </cell>
        </row>
        <row r="39">
          <cell r="H39">
            <v>0</v>
          </cell>
          <cell r="I39" t="str">
            <v>PT</v>
          </cell>
          <cell r="J39">
            <v>65461</v>
          </cell>
          <cell r="L39" t="str">
            <v>Mts</v>
          </cell>
        </row>
        <row r="40">
          <cell r="H40">
            <v>0</v>
          </cell>
          <cell r="I40" t="str">
            <v>PT</v>
          </cell>
          <cell r="J40">
            <v>65457</v>
          </cell>
          <cell r="L40" t="str">
            <v>Mts</v>
          </cell>
        </row>
        <row r="41">
          <cell r="H41">
            <v>0</v>
          </cell>
          <cell r="I41" t="str">
            <v>PT</v>
          </cell>
          <cell r="J41">
            <v>65466</v>
          </cell>
          <cell r="L41" t="str">
            <v>Mts</v>
          </cell>
        </row>
        <row r="42">
          <cell r="H42">
            <v>0</v>
          </cell>
          <cell r="I42" t="str">
            <v>PT</v>
          </cell>
          <cell r="J42">
            <v>73146</v>
          </cell>
          <cell r="L42" t="str">
            <v>Mts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nov"/>
      <sheetName val="repdic"/>
      <sheetName val="irmsdic"/>
      <sheetName val="consumos"/>
      <sheetName val="ajustes"/>
      <sheetName val="movrep"/>
    </sheetNames>
    <sheetDataSet>
      <sheetData sheetId="0" refreshError="1"/>
      <sheetData sheetId="1" refreshError="1"/>
      <sheetData sheetId="2" refreshError="1"/>
      <sheetData sheetId="3">
        <row r="4">
          <cell r="A4">
            <v>104555</v>
          </cell>
          <cell r="B4" t="str">
            <v>SOPORTE DE PIE CHAPA EMBUTIDA</v>
          </cell>
          <cell r="C4">
            <v>1470000</v>
          </cell>
          <cell r="D4">
            <v>1470000</v>
          </cell>
          <cell r="E4">
            <v>-1470000</v>
          </cell>
        </row>
        <row r="5">
          <cell r="A5">
            <v>5174</v>
          </cell>
          <cell r="B5" t="str">
            <v>ABRASIVO FLEXIBLE 82001</v>
          </cell>
          <cell r="C5">
            <v>16400</v>
          </cell>
          <cell r="D5">
            <v>16400</v>
          </cell>
          <cell r="E5">
            <v>-16400</v>
          </cell>
        </row>
        <row r="6">
          <cell r="A6">
            <v>5168</v>
          </cell>
          <cell r="B6" t="str">
            <v>ABRAZADERA CREMALLERA 1"</v>
          </cell>
          <cell r="C6">
            <v>2960</v>
          </cell>
          <cell r="D6">
            <v>2960</v>
          </cell>
          <cell r="E6">
            <v>-2960</v>
          </cell>
        </row>
        <row r="7">
          <cell r="A7">
            <v>5169</v>
          </cell>
          <cell r="B7" t="str">
            <v>ABRAZADERA CREMALLERA 1.1/2"</v>
          </cell>
          <cell r="C7">
            <v>10920</v>
          </cell>
          <cell r="D7">
            <v>10920</v>
          </cell>
          <cell r="E7">
            <v>-10920</v>
          </cell>
        </row>
        <row r="8">
          <cell r="A8">
            <v>5170</v>
          </cell>
          <cell r="B8" t="str">
            <v>ABRAZADERA CREMALLERA 2"</v>
          </cell>
          <cell r="C8">
            <v>4920</v>
          </cell>
          <cell r="D8">
            <v>4920</v>
          </cell>
          <cell r="E8">
            <v>-4920</v>
          </cell>
        </row>
        <row r="9">
          <cell r="A9">
            <v>5171</v>
          </cell>
          <cell r="B9" t="str">
            <v>ABRAZADERA CREMALLERA 3"</v>
          </cell>
          <cell r="C9">
            <v>2640</v>
          </cell>
          <cell r="D9">
            <v>2640</v>
          </cell>
          <cell r="E9">
            <v>-2640</v>
          </cell>
        </row>
        <row r="10">
          <cell r="A10">
            <v>105181</v>
          </cell>
          <cell r="B10" t="str">
            <v>ACOPLE FLEXIBLE  XP TECNA 1/2"</v>
          </cell>
          <cell r="C10">
            <v>1490580</v>
          </cell>
          <cell r="D10">
            <v>1490580</v>
          </cell>
          <cell r="E10">
            <v>-1490580</v>
          </cell>
        </row>
        <row r="11">
          <cell r="A11">
            <v>105429</v>
          </cell>
          <cell r="B11" t="str">
            <v>ACOPLE FLEXIBLE XP 2 " X 40 "</v>
          </cell>
          <cell r="C11">
            <v>637000</v>
          </cell>
          <cell r="D11">
            <v>637000</v>
          </cell>
          <cell r="E11">
            <v>-637000</v>
          </cell>
        </row>
        <row r="12">
          <cell r="A12">
            <v>105182</v>
          </cell>
          <cell r="B12" t="str">
            <v>ACOPLE FLEXIBLE XP TECNA 1" X</v>
          </cell>
          <cell r="C12">
            <v>331560</v>
          </cell>
          <cell r="D12">
            <v>331560</v>
          </cell>
          <cell r="E12">
            <v>-331560</v>
          </cell>
        </row>
        <row r="13">
          <cell r="A13">
            <v>4237</v>
          </cell>
          <cell r="B13" t="str">
            <v>ADAPTADOR MACHO P.V.C 1"</v>
          </cell>
          <cell r="C13">
            <v>2400</v>
          </cell>
          <cell r="D13">
            <v>2400</v>
          </cell>
          <cell r="E13">
            <v>-2400</v>
          </cell>
        </row>
        <row r="14">
          <cell r="A14">
            <v>2179</v>
          </cell>
          <cell r="B14" t="str">
            <v>AGUJA 150 ADLER</v>
          </cell>
          <cell r="C14">
            <v>467.6</v>
          </cell>
          <cell r="D14">
            <v>467.6</v>
          </cell>
          <cell r="E14">
            <v>-467.6</v>
          </cell>
        </row>
        <row r="15">
          <cell r="A15">
            <v>2268</v>
          </cell>
          <cell r="B15" t="str">
            <v>AGUJA 85-D MERROW</v>
          </cell>
          <cell r="C15">
            <v>9515.39</v>
          </cell>
          <cell r="D15">
            <v>9515.39</v>
          </cell>
          <cell r="E15">
            <v>-9515.39</v>
          </cell>
        </row>
        <row r="16">
          <cell r="A16">
            <v>8499</v>
          </cell>
          <cell r="B16" t="str">
            <v>AGUJA FUKUHARA 74020 CH1</v>
          </cell>
          <cell r="C16">
            <v>119900</v>
          </cell>
          <cell r="D16">
            <v>119900</v>
          </cell>
          <cell r="E16">
            <v>-119900</v>
          </cell>
        </row>
        <row r="17">
          <cell r="A17">
            <v>53333</v>
          </cell>
          <cell r="B17" t="str">
            <v>AGUJA GROZ BECKERT VO 141.52 G</v>
          </cell>
          <cell r="C17">
            <v>50</v>
          </cell>
          <cell r="D17">
            <v>50</v>
          </cell>
          <cell r="E17">
            <v>-50</v>
          </cell>
        </row>
        <row r="18">
          <cell r="A18">
            <v>53377</v>
          </cell>
          <cell r="B18" t="str">
            <v>AGUJA GROZ BECKERT VO 141.52 G</v>
          </cell>
          <cell r="C18">
            <v>50</v>
          </cell>
          <cell r="D18">
            <v>50</v>
          </cell>
          <cell r="E18">
            <v>-50</v>
          </cell>
        </row>
        <row r="19">
          <cell r="A19">
            <v>1748</v>
          </cell>
          <cell r="B19" t="str">
            <v>AGUJAS GROZ-BECKERT V O 136-64</v>
          </cell>
          <cell r="C19">
            <v>140629.51</v>
          </cell>
          <cell r="D19">
            <v>140629.51</v>
          </cell>
          <cell r="E19">
            <v>-140629.51</v>
          </cell>
        </row>
        <row r="20">
          <cell r="A20">
            <v>40041</v>
          </cell>
          <cell r="B20" t="str">
            <v>AISLADOR DE 4 CM</v>
          </cell>
          <cell r="C20">
            <v>55800</v>
          </cell>
          <cell r="D20">
            <v>55800</v>
          </cell>
          <cell r="E20">
            <v>-55800</v>
          </cell>
        </row>
        <row r="21">
          <cell r="A21">
            <v>390</v>
          </cell>
          <cell r="B21" t="str">
            <v>ALICATE CRESENT 8"</v>
          </cell>
          <cell r="C21">
            <v>92000</v>
          </cell>
          <cell r="D21">
            <v>92000</v>
          </cell>
          <cell r="E21">
            <v>-92000</v>
          </cell>
        </row>
        <row r="22">
          <cell r="A22">
            <v>101359</v>
          </cell>
          <cell r="B22" t="str">
            <v>ANILLO BAQUELITA-BRONCE 45X123</v>
          </cell>
          <cell r="C22">
            <v>0</v>
          </cell>
          <cell r="D22">
            <v>0</v>
          </cell>
          <cell r="E22">
            <v>0</v>
          </cell>
        </row>
        <row r="23">
          <cell r="A23">
            <v>5104</v>
          </cell>
          <cell r="B23" t="str">
            <v>ARANDELA PLANA 1/2"</v>
          </cell>
          <cell r="C23">
            <v>2721.55</v>
          </cell>
          <cell r="D23">
            <v>1360.78</v>
          </cell>
          <cell r="E23">
            <v>-2721.55</v>
          </cell>
        </row>
        <row r="24">
          <cell r="B24" t="str">
            <v>ARANDELA PLANA 1/2"</v>
          </cell>
          <cell r="D24">
            <v>850.49</v>
          </cell>
          <cell r="E24">
            <v>0</v>
          </cell>
        </row>
        <row r="25">
          <cell r="B25" t="str">
            <v>ARANDELA PLANA 1/2"</v>
          </cell>
          <cell r="D25">
            <v>510.28</v>
          </cell>
          <cell r="E25">
            <v>0</v>
          </cell>
        </row>
        <row r="26">
          <cell r="A26">
            <v>5100</v>
          </cell>
          <cell r="B26" t="str">
            <v>ARANDELA PLANA 1/4"</v>
          </cell>
          <cell r="C26">
            <v>3514.2799999999997</v>
          </cell>
          <cell r="D26">
            <v>448.63</v>
          </cell>
          <cell r="E26">
            <v>-3514.2799999999997</v>
          </cell>
        </row>
        <row r="27">
          <cell r="B27" t="str">
            <v>ARANDELA PLANA 1/4"</v>
          </cell>
          <cell r="D27">
            <v>224.31</v>
          </cell>
          <cell r="E27">
            <v>0</v>
          </cell>
        </row>
        <row r="28">
          <cell r="B28" t="str">
            <v>ARANDELA PLANA 1/4"</v>
          </cell>
          <cell r="D28">
            <v>373.86</v>
          </cell>
          <cell r="E28">
            <v>0</v>
          </cell>
        </row>
        <row r="29">
          <cell r="B29" t="str">
            <v>ARANDELA PLANA 1/4"</v>
          </cell>
          <cell r="D29">
            <v>373.86</v>
          </cell>
          <cell r="E29">
            <v>0</v>
          </cell>
        </row>
        <row r="30">
          <cell r="B30" t="str">
            <v>ARANDELA PLANA 1/4"</v>
          </cell>
          <cell r="D30">
            <v>560.79</v>
          </cell>
          <cell r="E30">
            <v>0</v>
          </cell>
        </row>
        <row r="31">
          <cell r="B31" t="str">
            <v>ARANDELA PLANA 1/4"</v>
          </cell>
          <cell r="D31">
            <v>1158.97</v>
          </cell>
          <cell r="E31">
            <v>0</v>
          </cell>
        </row>
        <row r="32">
          <cell r="B32" t="str">
            <v>ARANDELA PLANA 1/4"</v>
          </cell>
          <cell r="D32">
            <v>186.93</v>
          </cell>
          <cell r="E32">
            <v>0</v>
          </cell>
        </row>
        <row r="33">
          <cell r="B33" t="str">
            <v>ARANDELA PLANA 1/4"</v>
          </cell>
          <cell r="D33">
            <v>186.93</v>
          </cell>
          <cell r="E33">
            <v>0</v>
          </cell>
        </row>
        <row r="34">
          <cell r="A34">
            <v>5099</v>
          </cell>
          <cell r="B34" t="str">
            <v>ARANDELA PLANA 3/16"</v>
          </cell>
          <cell r="C34">
            <v>423.42</v>
          </cell>
          <cell r="D34">
            <v>169.37</v>
          </cell>
          <cell r="E34">
            <v>-423.42</v>
          </cell>
        </row>
        <row r="35">
          <cell r="B35" t="str">
            <v>ARANDELA PLANA 3/16"</v>
          </cell>
          <cell r="D35">
            <v>254.05</v>
          </cell>
          <cell r="E35">
            <v>0</v>
          </cell>
        </row>
        <row r="36">
          <cell r="A36">
            <v>5102</v>
          </cell>
          <cell r="B36" t="str">
            <v>ARANDELA PLANA 3/8"</v>
          </cell>
          <cell r="C36">
            <v>3196</v>
          </cell>
          <cell r="D36">
            <v>136</v>
          </cell>
          <cell r="E36">
            <v>-3196</v>
          </cell>
        </row>
        <row r="37">
          <cell r="B37" t="str">
            <v>ARANDELA PLANA 3/8"</v>
          </cell>
          <cell r="D37">
            <v>136</v>
          </cell>
          <cell r="E37">
            <v>0</v>
          </cell>
        </row>
        <row r="38">
          <cell r="B38" t="str">
            <v>ARANDELA PLANA 3/8"</v>
          </cell>
          <cell r="D38">
            <v>340</v>
          </cell>
          <cell r="E38">
            <v>0</v>
          </cell>
        </row>
        <row r="39">
          <cell r="B39" t="str">
            <v>ARANDELA PLANA 3/8"</v>
          </cell>
          <cell r="D39">
            <v>1020</v>
          </cell>
          <cell r="E39">
            <v>0</v>
          </cell>
        </row>
        <row r="40">
          <cell r="B40" t="str">
            <v>ARANDELA PLANA 3/8"</v>
          </cell>
          <cell r="D40">
            <v>544</v>
          </cell>
          <cell r="E40">
            <v>0</v>
          </cell>
        </row>
        <row r="41">
          <cell r="B41" t="str">
            <v>ARANDELA PLANA 3/8"</v>
          </cell>
          <cell r="D41">
            <v>68</v>
          </cell>
          <cell r="E41">
            <v>0</v>
          </cell>
        </row>
        <row r="42">
          <cell r="B42" t="str">
            <v>ARANDELA PLANA 3/8"</v>
          </cell>
          <cell r="D42">
            <v>816</v>
          </cell>
          <cell r="E42">
            <v>0</v>
          </cell>
        </row>
        <row r="43">
          <cell r="B43" t="str">
            <v>ARANDELA PLANA 3/8"</v>
          </cell>
          <cell r="D43">
            <v>136</v>
          </cell>
          <cell r="E43">
            <v>0</v>
          </cell>
        </row>
        <row r="44">
          <cell r="A44">
            <v>5101</v>
          </cell>
          <cell r="B44" t="str">
            <v>ARANDELA PLANA 5/16"</v>
          </cell>
          <cell r="C44">
            <v>1851.04</v>
          </cell>
          <cell r="D44">
            <v>326.64999999999998</v>
          </cell>
          <cell r="E44">
            <v>-1851.04</v>
          </cell>
        </row>
        <row r="45">
          <cell r="B45" t="str">
            <v>ARANDELA PLANA 5/16"</v>
          </cell>
          <cell r="D45">
            <v>653.30999999999995</v>
          </cell>
          <cell r="E45">
            <v>0</v>
          </cell>
        </row>
        <row r="46">
          <cell r="B46" t="str">
            <v>ARANDELA PLANA 5/16"</v>
          </cell>
          <cell r="D46">
            <v>871.08</v>
          </cell>
          <cell r="E46">
            <v>0</v>
          </cell>
        </row>
        <row r="47">
          <cell r="A47">
            <v>5105</v>
          </cell>
          <cell r="B47" t="str">
            <v>ARANDELA PLANA 5/8"</v>
          </cell>
          <cell r="C47">
            <v>5084.76</v>
          </cell>
          <cell r="D47">
            <v>2179.1799999999998</v>
          </cell>
          <cell r="E47">
            <v>-5084.76</v>
          </cell>
        </row>
        <row r="48">
          <cell r="B48" t="str">
            <v>ARANDELA PLANA 5/8"</v>
          </cell>
          <cell r="D48">
            <v>2905.58</v>
          </cell>
          <cell r="E48">
            <v>0</v>
          </cell>
        </row>
        <row r="49">
          <cell r="A49">
            <v>60274</v>
          </cell>
          <cell r="B49" t="str">
            <v>ASPA INFERIOR OLLA CALIENTE PA</v>
          </cell>
          <cell r="C49">
            <v>24936445.510000002</v>
          </cell>
          <cell r="D49">
            <v>24936445.510000002</v>
          </cell>
          <cell r="E49">
            <v>-24936445.510000002</v>
          </cell>
        </row>
        <row r="50">
          <cell r="A50">
            <v>60273</v>
          </cell>
          <cell r="B50" t="str">
            <v>ASPA SUPERIOR OLLA CALIENTE PA</v>
          </cell>
          <cell r="C50">
            <v>19317067.190000001</v>
          </cell>
          <cell r="D50">
            <v>19317067.190000001</v>
          </cell>
          <cell r="E50">
            <v>-19317067.190000001</v>
          </cell>
        </row>
        <row r="51">
          <cell r="A51">
            <v>45864</v>
          </cell>
          <cell r="B51" t="str">
            <v>AUTOMATICO 1X30AMP ENCHUFABLE</v>
          </cell>
          <cell r="C51">
            <v>6500</v>
          </cell>
          <cell r="D51">
            <v>6500</v>
          </cell>
          <cell r="E51">
            <v>-6500</v>
          </cell>
        </row>
        <row r="52">
          <cell r="A52">
            <v>245</v>
          </cell>
          <cell r="B52" t="str">
            <v>BALASTO 1 TUBO 40W A 120V</v>
          </cell>
          <cell r="C52">
            <v>11000</v>
          </cell>
          <cell r="D52">
            <v>11000</v>
          </cell>
          <cell r="E52">
            <v>-11000</v>
          </cell>
        </row>
        <row r="53">
          <cell r="A53">
            <v>318</v>
          </cell>
          <cell r="B53" t="str">
            <v>BALASTO 39WX120VX48"</v>
          </cell>
          <cell r="C53">
            <v>27888.5</v>
          </cell>
          <cell r="D53">
            <v>27888.5</v>
          </cell>
          <cell r="E53">
            <v>-27888.5</v>
          </cell>
        </row>
        <row r="54">
          <cell r="A54">
            <v>319</v>
          </cell>
          <cell r="B54" t="str">
            <v>BALASTO 75WX120VX96"</v>
          </cell>
          <cell r="C54">
            <v>854634.16</v>
          </cell>
          <cell r="D54">
            <v>29836.3</v>
          </cell>
          <cell r="E54">
            <v>-854634.16</v>
          </cell>
        </row>
        <row r="55">
          <cell r="B55" t="str">
            <v>BALASTO 75WX120VX96"</v>
          </cell>
          <cell r="D55">
            <v>29836.3</v>
          </cell>
          <cell r="E55">
            <v>0</v>
          </cell>
        </row>
        <row r="56">
          <cell r="B56" t="str">
            <v>BALASTO 75WX120VX96"</v>
          </cell>
          <cell r="D56">
            <v>59672.6</v>
          </cell>
          <cell r="E56">
            <v>0</v>
          </cell>
        </row>
        <row r="57">
          <cell r="B57" t="str">
            <v>BALASTO 75WX120VX96"</v>
          </cell>
          <cell r="D57">
            <v>382790.64</v>
          </cell>
          <cell r="E57">
            <v>0</v>
          </cell>
        </row>
        <row r="58">
          <cell r="B58" t="str">
            <v>BALASTO 75WX120VX96"</v>
          </cell>
          <cell r="D58">
            <v>352498.32</v>
          </cell>
          <cell r="E58">
            <v>0</v>
          </cell>
        </row>
        <row r="59">
          <cell r="A59">
            <v>56475</v>
          </cell>
          <cell r="B59" t="str">
            <v>BANDA DE ARRASTRE DENTADA 6200</v>
          </cell>
          <cell r="C59">
            <v>129651.95</v>
          </cell>
          <cell r="D59">
            <v>129651.95</v>
          </cell>
          <cell r="E59">
            <v>-129651.95</v>
          </cell>
        </row>
        <row r="60">
          <cell r="A60">
            <v>47447</v>
          </cell>
          <cell r="B60" t="str">
            <v>BANDA DE ARRASTRE DENTADA 6600</v>
          </cell>
          <cell r="C60">
            <v>399000</v>
          </cell>
          <cell r="D60">
            <v>266000</v>
          </cell>
          <cell r="E60">
            <v>-399000</v>
          </cell>
        </row>
        <row r="61">
          <cell r="B61" t="str">
            <v>BANDA DE ARRASTRE DENTADA 6600</v>
          </cell>
          <cell r="D61">
            <v>133000</v>
          </cell>
          <cell r="E61">
            <v>0</v>
          </cell>
        </row>
        <row r="62">
          <cell r="A62">
            <v>105676</v>
          </cell>
          <cell r="B62" t="str">
            <v>BANDA DE FRENO POLIPASTO PK10</v>
          </cell>
          <cell r="C62">
            <v>651880</v>
          </cell>
          <cell r="D62">
            <v>651880</v>
          </cell>
          <cell r="E62">
            <v>-651880</v>
          </cell>
        </row>
        <row r="63">
          <cell r="A63">
            <v>6688</v>
          </cell>
          <cell r="B63" t="str">
            <v>BASE PARA RELEVO 11 PATAS</v>
          </cell>
          <cell r="C63">
            <v>17500</v>
          </cell>
          <cell r="D63">
            <v>17500</v>
          </cell>
          <cell r="E63">
            <v>-17500</v>
          </cell>
        </row>
        <row r="64">
          <cell r="A64">
            <v>103777</v>
          </cell>
          <cell r="B64" t="str">
            <v>BATERIA YUASA NP7-12 12 V 7 AH</v>
          </cell>
          <cell r="C64">
            <v>72414</v>
          </cell>
          <cell r="D64">
            <v>72414</v>
          </cell>
          <cell r="E64">
            <v>-72414</v>
          </cell>
        </row>
        <row r="65">
          <cell r="A65">
            <v>72111</v>
          </cell>
          <cell r="B65" t="str">
            <v>BOBINA ELECTROVALVULA NUMATICS</v>
          </cell>
          <cell r="C65">
            <v>122529</v>
          </cell>
          <cell r="D65">
            <v>122529</v>
          </cell>
          <cell r="E65">
            <v>-122529</v>
          </cell>
        </row>
        <row r="66">
          <cell r="A66">
            <v>7138</v>
          </cell>
          <cell r="B66" t="str">
            <v>BOMBILLO 100W-120V</v>
          </cell>
          <cell r="C66">
            <v>1952.77</v>
          </cell>
          <cell r="D66">
            <v>1952.77</v>
          </cell>
          <cell r="E66">
            <v>-1952.77</v>
          </cell>
        </row>
        <row r="67">
          <cell r="A67">
            <v>6698</v>
          </cell>
          <cell r="B67" t="str">
            <v>BOMBILLO 150W-150V</v>
          </cell>
          <cell r="C67">
            <v>7442.3</v>
          </cell>
          <cell r="D67">
            <v>7442.3</v>
          </cell>
          <cell r="E67">
            <v>-7442.3</v>
          </cell>
        </row>
        <row r="68">
          <cell r="A68">
            <v>6697</v>
          </cell>
          <cell r="B68" t="str">
            <v>BOMBILLO 200W-220V</v>
          </cell>
          <cell r="C68">
            <v>13300</v>
          </cell>
          <cell r="D68">
            <v>1900</v>
          </cell>
          <cell r="E68">
            <v>-13300</v>
          </cell>
        </row>
        <row r="69">
          <cell r="B69" t="str">
            <v>BOMBILLO 200W-220V</v>
          </cell>
          <cell r="D69">
            <v>11400</v>
          </cell>
          <cell r="E69">
            <v>0</v>
          </cell>
        </row>
        <row r="70">
          <cell r="A70">
            <v>7142</v>
          </cell>
          <cell r="B70" t="str">
            <v>BOMBILLO BAYON.PEQUENO 24V 2W</v>
          </cell>
          <cell r="C70">
            <v>24000</v>
          </cell>
          <cell r="D70">
            <v>18000</v>
          </cell>
          <cell r="E70">
            <v>-24000</v>
          </cell>
        </row>
        <row r="71">
          <cell r="B71" t="str">
            <v>BOMBILLO BAYON.PEQUENO 24V 2W</v>
          </cell>
          <cell r="D71">
            <v>6000</v>
          </cell>
          <cell r="E71">
            <v>0</v>
          </cell>
        </row>
        <row r="72">
          <cell r="A72">
            <v>41108</v>
          </cell>
          <cell r="B72" t="str">
            <v>BOMBILLO DE MERCURIO 250 W 220</v>
          </cell>
          <cell r="C72">
            <v>61500</v>
          </cell>
          <cell r="D72">
            <v>61500</v>
          </cell>
          <cell r="E72">
            <v>-61500</v>
          </cell>
        </row>
        <row r="73">
          <cell r="A73">
            <v>5190</v>
          </cell>
          <cell r="B73" t="str">
            <v>BOMBILLO PARA LINTERNA LASER T</v>
          </cell>
          <cell r="C73">
            <v>2200</v>
          </cell>
          <cell r="D73">
            <v>2200</v>
          </cell>
          <cell r="E73">
            <v>-2200</v>
          </cell>
        </row>
        <row r="74">
          <cell r="A74">
            <v>6456</v>
          </cell>
          <cell r="B74" t="str">
            <v>BOQUILLA EN ALUMINIO 1"</v>
          </cell>
          <cell r="C74">
            <v>319.79000000000002</v>
          </cell>
          <cell r="D74">
            <v>319.79000000000002</v>
          </cell>
          <cell r="E74">
            <v>-319.79000000000002</v>
          </cell>
        </row>
        <row r="75">
          <cell r="A75">
            <v>6454</v>
          </cell>
          <cell r="B75" t="str">
            <v>BOQUILLA EN ALUMINIO 1/2"</v>
          </cell>
          <cell r="C75">
            <v>1540</v>
          </cell>
          <cell r="D75">
            <v>220</v>
          </cell>
          <cell r="E75">
            <v>-1540</v>
          </cell>
        </row>
        <row r="76">
          <cell r="B76" t="str">
            <v>BOQUILLA EN ALUMINIO 1/2"</v>
          </cell>
          <cell r="D76">
            <v>1320</v>
          </cell>
          <cell r="E76">
            <v>0</v>
          </cell>
        </row>
        <row r="77">
          <cell r="A77">
            <v>6459</v>
          </cell>
          <cell r="B77" t="str">
            <v>BOQUILLA EN ALUMINIO 2"</v>
          </cell>
          <cell r="C77">
            <v>2888.88</v>
          </cell>
          <cell r="D77">
            <v>2888.88</v>
          </cell>
          <cell r="E77">
            <v>-2888.88</v>
          </cell>
        </row>
        <row r="78">
          <cell r="A78">
            <v>105776</v>
          </cell>
          <cell r="B78" t="str">
            <v>BOQUILLA EXTENSOR ASPIRADORA R</v>
          </cell>
          <cell r="C78">
            <v>138000</v>
          </cell>
          <cell r="D78">
            <v>138000</v>
          </cell>
          <cell r="E78">
            <v>-138000</v>
          </cell>
        </row>
        <row r="79">
          <cell r="A79">
            <v>6221</v>
          </cell>
          <cell r="B79" t="str">
            <v>BORNA AB1-FV 10135 U PORTAFUSI</v>
          </cell>
          <cell r="C79">
            <v>78468.23</v>
          </cell>
          <cell r="D79">
            <v>19744.7</v>
          </cell>
          <cell r="E79">
            <v>-78468.23</v>
          </cell>
        </row>
        <row r="80">
          <cell r="B80" t="str">
            <v>BORNA AB1-FV 10135 U PORTAFUSI</v>
          </cell>
          <cell r="D80">
            <v>39489.410000000003</v>
          </cell>
          <cell r="E80">
            <v>0</v>
          </cell>
        </row>
        <row r="81">
          <cell r="B81" t="str">
            <v>BORNA AB1-FV 10135 U PORTAFUSI</v>
          </cell>
          <cell r="D81">
            <v>19234.12</v>
          </cell>
          <cell r="E81">
            <v>0</v>
          </cell>
        </row>
        <row r="82">
          <cell r="A82">
            <v>39225</v>
          </cell>
          <cell r="B82" t="str">
            <v>BORNA BRONCE 2/0 PONCHAR</v>
          </cell>
          <cell r="C82">
            <v>81000</v>
          </cell>
          <cell r="D82">
            <v>81000</v>
          </cell>
          <cell r="E82">
            <v>-81000</v>
          </cell>
        </row>
        <row r="83">
          <cell r="A83">
            <v>6432</v>
          </cell>
          <cell r="B83" t="str">
            <v>BORNA EN BRONCE PARA PONCHAR 1</v>
          </cell>
          <cell r="C83">
            <v>187200</v>
          </cell>
          <cell r="D83">
            <v>187200</v>
          </cell>
          <cell r="E83">
            <v>-187200</v>
          </cell>
        </row>
        <row r="84">
          <cell r="A84">
            <v>39227</v>
          </cell>
          <cell r="B84" t="str">
            <v>BORNA PARA PONCHAR 250 MCM</v>
          </cell>
          <cell r="C84">
            <v>144000</v>
          </cell>
          <cell r="D84">
            <v>144000</v>
          </cell>
          <cell r="E84">
            <v>-144000</v>
          </cell>
        </row>
        <row r="85">
          <cell r="A85">
            <v>67184</v>
          </cell>
          <cell r="B85" t="str">
            <v>BORNA PARA PONCHAR CAL 2</v>
          </cell>
          <cell r="C85">
            <v>47200</v>
          </cell>
          <cell r="D85">
            <v>47200</v>
          </cell>
          <cell r="E85">
            <v>-47200</v>
          </cell>
        </row>
        <row r="86">
          <cell r="A86">
            <v>5487</v>
          </cell>
          <cell r="B86" t="str">
            <v>BROCA X 7/16"</v>
          </cell>
          <cell r="C86">
            <v>11240</v>
          </cell>
          <cell r="D86">
            <v>5620</v>
          </cell>
          <cell r="E86">
            <v>-11240</v>
          </cell>
        </row>
        <row r="87">
          <cell r="B87" t="str">
            <v>BROCA X 7/16"</v>
          </cell>
          <cell r="D87">
            <v>5620</v>
          </cell>
          <cell r="E87">
            <v>0</v>
          </cell>
        </row>
        <row r="88">
          <cell r="A88">
            <v>5192</v>
          </cell>
          <cell r="B88" t="str">
            <v>BROCHA NYLON 1" FARB</v>
          </cell>
          <cell r="C88">
            <v>2900</v>
          </cell>
          <cell r="D88">
            <v>2900</v>
          </cell>
          <cell r="E88">
            <v>-2900</v>
          </cell>
        </row>
        <row r="89">
          <cell r="A89">
            <v>5193</v>
          </cell>
          <cell r="B89" t="str">
            <v>BROCHA NYLON 2" FARB</v>
          </cell>
          <cell r="C89">
            <v>3850</v>
          </cell>
          <cell r="D89">
            <v>3850</v>
          </cell>
          <cell r="E89">
            <v>-3850</v>
          </cell>
        </row>
        <row r="90">
          <cell r="A90">
            <v>105677</v>
          </cell>
          <cell r="B90" t="str">
            <v>BUJE PARA CARRO EU22DK POLIPAS</v>
          </cell>
          <cell r="C90">
            <v>60000</v>
          </cell>
          <cell r="D90">
            <v>60000</v>
          </cell>
          <cell r="E90">
            <v>-60000</v>
          </cell>
        </row>
        <row r="91">
          <cell r="A91">
            <v>4289</v>
          </cell>
          <cell r="B91" t="str">
            <v>BUSHING ACERO 1/2"X1"</v>
          </cell>
          <cell r="C91">
            <v>7200</v>
          </cell>
          <cell r="D91">
            <v>4800</v>
          </cell>
          <cell r="E91">
            <v>-7200</v>
          </cell>
        </row>
        <row r="92">
          <cell r="B92" t="str">
            <v>BUSHING ACERO 1/2"X1"</v>
          </cell>
          <cell r="D92">
            <v>2400</v>
          </cell>
          <cell r="E92">
            <v>0</v>
          </cell>
        </row>
        <row r="93">
          <cell r="A93">
            <v>4291</v>
          </cell>
          <cell r="B93" t="str">
            <v>BUSHING ACERO 1/2"X1.1/4"</v>
          </cell>
          <cell r="C93">
            <v>6976.64</v>
          </cell>
          <cell r="D93">
            <v>6976.64</v>
          </cell>
          <cell r="E93">
            <v>-6976.64</v>
          </cell>
        </row>
        <row r="94">
          <cell r="A94">
            <v>4288</v>
          </cell>
          <cell r="B94" t="str">
            <v>BUSHING ACERO 1/2"X3/4"</v>
          </cell>
          <cell r="C94">
            <v>10800</v>
          </cell>
          <cell r="D94">
            <v>5400</v>
          </cell>
          <cell r="E94">
            <v>-10800</v>
          </cell>
        </row>
        <row r="95">
          <cell r="B95" t="str">
            <v>BUSHING ACERO 1/2"X3/4"</v>
          </cell>
          <cell r="D95">
            <v>5400</v>
          </cell>
          <cell r="E95">
            <v>0</v>
          </cell>
        </row>
        <row r="96">
          <cell r="A96">
            <v>4290</v>
          </cell>
          <cell r="B96" t="str">
            <v>BUSHING ACERO 3/4"X1"</v>
          </cell>
          <cell r="C96">
            <v>2700</v>
          </cell>
          <cell r="D96">
            <v>2700</v>
          </cell>
          <cell r="E96">
            <v>-2700</v>
          </cell>
        </row>
        <row r="97">
          <cell r="A97">
            <v>4283</v>
          </cell>
          <cell r="B97" t="str">
            <v>BUSHING ACERO 3/8"X1/2"</v>
          </cell>
          <cell r="C97">
            <v>4000</v>
          </cell>
          <cell r="D97">
            <v>4000</v>
          </cell>
          <cell r="E97">
            <v>-4000</v>
          </cell>
        </row>
        <row r="98">
          <cell r="A98">
            <v>6852</v>
          </cell>
          <cell r="B98" t="str">
            <v>CABLE DE COBRE THW 1/0 AWG</v>
          </cell>
          <cell r="C98">
            <v>3400340</v>
          </cell>
          <cell r="D98">
            <v>3400340</v>
          </cell>
          <cell r="E98">
            <v>-3400340</v>
          </cell>
        </row>
        <row r="99">
          <cell r="A99">
            <v>6848</v>
          </cell>
          <cell r="B99" t="str">
            <v>CABLE DE COBRE THW 2 AWG 7 HIL</v>
          </cell>
          <cell r="C99">
            <v>25000</v>
          </cell>
          <cell r="D99">
            <v>25000</v>
          </cell>
          <cell r="E99">
            <v>-25000</v>
          </cell>
        </row>
        <row r="100">
          <cell r="A100">
            <v>6820</v>
          </cell>
          <cell r="B100" t="str">
            <v>CABLE DUPLEX 2X14</v>
          </cell>
          <cell r="C100">
            <v>10167</v>
          </cell>
          <cell r="D100">
            <v>10167</v>
          </cell>
          <cell r="E100">
            <v>-10167</v>
          </cell>
        </row>
        <row r="101">
          <cell r="A101">
            <v>6835</v>
          </cell>
          <cell r="B101" t="str">
            <v>CABLE ENCAUCHETADO 2X18</v>
          </cell>
          <cell r="C101">
            <v>12350</v>
          </cell>
          <cell r="D101">
            <v>12350</v>
          </cell>
          <cell r="E101">
            <v>-12350</v>
          </cell>
        </row>
        <row r="102">
          <cell r="A102">
            <v>6840</v>
          </cell>
          <cell r="B102" t="str">
            <v>CABLE ENCAUCHETADO 3X18</v>
          </cell>
          <cell r="C102">
            <v>130957.29</v>
          </cell>
          <cell r="D102">
            <v>130957.29</v>
          </cell>
          <cell r="E102">
            <v>-130957.29</v>
          </cell>
        </row>
        <row r="103">
          <cell r="A103">
            <v>6841</v>
          </cell>
          <cell r="B103" t="str">
            <v>CABLE ENCAUCHETADO 4X10</v>
          </cell>
          <cell r="C103">
            <v>146753.09</v>
          </cell>
          <cell r="D103">
            <v>146753.09</v>
          </cell>
          <cell r="E103">
            <v>-146753.09</v>
          </cell>
        </row>
        <row r="104">
          <cell r="A104">
            <v>6842</v>
          </cell>
          <cell r="B104" t="str">
            <v>CABLE ENCAUCHETADO 4X12</v>
          </cell>
          <cell r="C104">
            <v>930832.02</v>
          </cell>
          <cell r="D104">
            <v>930832.02</v>
          </cell>
          <cell r="E104">
            <v>-930832.02</v>
          </cell>
        </row>
        <row r="105">
          <cell r="A105">
            <v>39281</v>
          </cell>
          <cell r="B105" t="str">
            <v>CABLE ENCAUCHETADO 4X18</v>
          </cell>
          <cell r="C105">
            <v>134403.4</v>
          </cell>
          <cell r="D105">
            <v>134403.4</v>
          </cell>
          <cell r="E105">
            <v>-134403.4</v>
          </cell>
        </row>
        <row r="106">
          <cell r="A106">
            <v>105560</v>
          </cell>
          <cell r="B106" t="str">
            <v>CABLE RG59-8241</v>
          </cell>
          <cell r="C106">
            <v>871862.2</v>
          </cell>
          <cell r="D106">
            <v>871862.2</v>
          </cell>
          <cell r="E106">
            <v>-871862.2</v>
          </cell>
        </row>
        <row r="107">
          <cell r="A107">
            <v>6822</v>
          </cell>
          <cell r="B107" t="str">
            <v>CABLE SILICONADO #10</v>
          </cell>
          <cell r="C107">
            <v>23452.880000000001</v>
          </cell>
          <cell r="D107">
            <v>23452.880000000001</v>
          </cell>
          <cell r="E107">
            <v>-23452.880000000001</v>
          </cell>
        </row>
        <row r="108">
          <cell r="A108">
            <v>6826</v>
          </cell>
          <cell r="B108" t="str">
            <v>CABLE TELEFONICO 2 PARES</v>
          </cell>
          <cell r="C108">
            <v>33000</v>
          </cell>
          <cell r="D108">
            <v>33000</v>
          </cell>
          <cell r="E108">
            <v>-33000</v>
          </cell>
        </row>
        <row r="109">
          <cell r="A109">
            <v>39275</v>
          </cell>
          <cell r="B109" t="str">
            <v>CABLE VEHICULO #12 NEGRO</v>
          </cell>
          <cell r="C109">
            <v>37120.32</v>
          </cell>
          <cell r="D109">
            <v>37120.32</v>
          </cell>
          <cell r="E109">
            <v>-37120.32</v>
          </cell>
        </row>
        <row r="110">
          <cell r="A110">
            <v>6818</v>
          </cell>
          <cell r="B110" t="str">
            <v>CABLE VEHICULO #14 NEGRO</v>
          </cell>
          <cell r="C110">
            <v>5400</v>
          </cell>
          <cell r="D110">
            <v>5400</v>
          </cell>
          <cell r="E110">
            <v>-5400</v>
          </cell>
        </row>
        <row r="111">
          <cell r="A111">
            <v>39277</v>
          </cell>
          <cell r="B111" t="str">
            <v>CABLE VEHICULO #16 NEGRO</v>
          </cell>
          <cell r="C111">
            <v>6200</v>
          </cell>
          <cell r="D111">
            <v>6200</v>
          </cell>
          <cell r="E111">
            <v>-6200</v>
          </cell>
        </row>
        <row r="112">
          <cell r="A112">
            <v>39278</v>
          </cell>
          <cell r="B112" t="str">
            <v>CABLE VEHICULO #16 ROJO</v>
          </cell>
          <cell r="C112">
            <v>15352.74</v>
          </cell>
          <cell r="D112">
            <v>15352.74</v>
          </cell>
          <cell r="E112">
            <v>-15352.74</v>
          </cell>
        </row>
        <row r="113">
          <cell r="A113">
            <v>6819</v>
          </cell>
          <cell r="B113" t="str">
            <v>CABLE VEHICULO #18 ROJO</v>
          </cell>
          <cell r="C113">
            <v>26124.7</v>
          </cell>
          <cell r="D113">
            <v>21770.59</v>
          </cell>
          <cell r="E113">
            <v>-26124.7</v>
          </cell>
        </row>
        <row r="114">
          <cell r="B114" t="str">
            <v>CABLE VEHICULO #18 ROJO</v>
          </cell>
          <cell r="D114">
            <v>4354.1099999999997</v>
          </cell>
          <cell r="E114">
            <v>0</v>
          </cell>
        </row>
        <row r="115">
          <cell r="A115">
            <v>3113</v>
          </cell>
          <cell r="B115" t="str">
            <v>CADENA P1/2" #40</v>
          </cell>
          <cell r="C115">
            <v>48922.22</v>
          </cell>
          <cell r="D115">
            <v>48922.22</v>
          </cell>
          <cell r="E115">
            <v>-48922.22</v>
          </cell>
        </row>
        <row r="116">
          <cell r="A116">
            <v>3114</v>
          </cell>
          <cell r="B116" t="str">
            <v>CADENA P5/8" #50</v>
          </cell>
          <cell r="C116">
            <v>99125</v>
          </cell>
          <cell r="D116">
            <v>39000</v>
          </cell>
          <cell r="E116">
            <v>-99125</v>
          </cell>
        </row>
        <row r="117">
          <cell r="B117" t="str">
            <v>CADENA P5/8" #50</v>
          </cell>
          <cell r="D117">
            <v>21125</v>
          </cell>
          <cell r="E117">
            <v>0</v>
          </cell>
        </row>
        <row r="118">
          <cell r="B118" t="str">
            <v>CADENA P5/8" #50</v>
          </cell>
          <cell r="D118">
            <v>39000</v>
          </cell>
          <cell r="E118">
            <v>0</v>
          </cell>
        </row>
        <row r="119">
          <cell r="A119">
            <v>105159</v>
          </cell>
          <cell r="B119" t="str">
            <v>CAJA ALUMINIO SXE2  XP MICROSW</v>
          </cell>
          <cell r="C119">
            <v>2750580</v>
          </cell>
          <cell r="D119">
            <v>2750580</v>
          </cell>
          <cell r="E119">
            <v>-2750580</v>
          </cell>
        </row>
        <row r="120">
          <cell r="A120">
            <v>105158</v>
          </cell>
          <cell r="B120" t="str">
            <v>CAJA ALUMINIO SXE7G86 XP ESTAC</v>
          </cell>
          <cell r="C120">
            <v>8676000</v>
          </cell>
          <cell r="D120">
            <v>8676000</v>
          </cell>
          <cell r="E120">
            <v>-8676000</v>
          </cell>
        </row>
        <row r="121">
          <cell r="A121">
            <v>105787</v>
          </cell>
          <cell r="B121" t="str">
            <v>CAJA DE PASO FSX2 CROUSE-HINDS</v>
          </cell>
          <cell r="C121">
            <v>17615</v>
          </cell>
          <cell r="D121">
            <v>17615</v>
          </cell>
          <cell r="E121">
            <v>-17615</v>
          </cell>
        </row>
        <row r="122">
          <cell r="A122">
            <v>105161</v>
          </cell>
          <cell r="B122" t="str">
            <v>CAJA ESTACION PULSADORA DE EME</v>
          </cell>
          <cell r="C122">
            <v>477000</v>
          </cell>
          <cell r="D122">
            <v>477000</v>
          </cell>
          <cell r="E122">
            <v>-477000</v>
          </cell>
        </row>
        <row r="123">
          <cell r="A123">
            <v>43550</v>
          </cell>
          <cell r="B123" t="str">
            <v>CAJA METALICA 28 X 18 X 16 CM</v>
          </cell>
          <cell r="C123">
            <v>60000</v>
          </cell>
          <cell r="D123">
            <v>60000</v>
          </cell>
          <cell r="E123">
            <v>-60000</v>
          </cell>
        </row>
        <row r="124">
          <cell r="A124">
            <v>53363</v>
          </cell>
          <cell r="B124" t="str">
            <v>CARACOL DOBLE MEMINGER - IRO G</v>
          </cell>
          <cell r="C124">
            <v>2</v>
          </cell>
          <cell r="D124">
            <v>2</v>
          </cell>
          <cell r="E124">
            <v>-2</v>
          </cell>
        </row>
        <row r="125">
          <cell r="A125">
            <v>105769</v>
          </cell>
          <cell r="B125" t="str">
            <v>CATALOGO RODAMIENTOS SKF</v>
          </cell>
          <cell r="C125">
            <v>59000</v>
          </cell>
          <cell r="D125">
            <v>59000</v>
          </cell>
          <cell r="E125">
            <v>-59000</v>
          </cell>
        </row>
        <row r="126">
          <cell r="A126">
            <v>2985</v>
          </cell>
          <cell r="B126" t="str">
            <v>CHUMACERA SY 30 TF</v>
          </cell>
          <cell r="C126">
            <v>250000</v>
          </cell>
          <cell r="D126">
            <v>250000</v>
          </cell>
          <cell r="E126">
            <v>-250000</v>
          </cell>
        </row>
        <row r="127">
          <cell r="A127">
            <v>103348</v>
          </cell>
          <cell r="B127" t="str">
            <v>CINCHA ASBESTO 1-1/2"X 1/8"</v>
          </cell>
          <cell r="C127">
            <v>4950</v>
          </cell>
          <cell r="D127">
            <v>4950</v>
          </cell>
          <cell r="E127">
            <v>-4950</v>
          </cell>
        </row>
        <row r="128">
          <cell r="A128">
            <v>207</v>
          </cell>
          <cell r="B128" t="str">
            <v>CINCHA DE ASBESTO 1/8"X1"</v>
          </cell>
          <cell r="C128">
            <v>173850</v>
          </cell>
          <cell r="D128">
            <v>14250</v>
          </cell>
          <cell r="E128">
            <v>-173850</v>
          </cell>
        </row>
        <row r="129">
          <cell r="B129" t="str">
            <v>CINCHA DE ASBESTO 1/8"X1"</v>
          </cell>
          <cell r="D129">
            <v>86925</v>
          </cell>
          <cell r="E129">
            <v>0</v>
          </cell>
        </row>
        <row r="130">
          <cell r="B130" t="str">
            <v>CINCHA DE ASBESTO 1/8"X1"</v>
          </cell>
          <cell r="D130">
            <v>44175</v>
          </cell>
          <cell r="E130">
            <v>0</v>
          </cell>
        </row>
        <row r="131">
          <cell r="B131" t="str">
            <v>CINCHA DE ASBESTO 1/8"X1"</v>
          </cell>
          <cell r="D131">
            <v>28500</v>
          </cell>
          <cell r="E131">
            <v>0</v>
          </cell>
        </row>
        <row r="132">
          <cell r="A132">
            <v>3832</v>
          </cell>
          <cell r="B132" t="str">
            <v>CINCHA DE ASBESTO 1/8"X2"</v>
          </cell>
          <cell r="C132">
            <v>123750</v>
          </cell>
          <cell r="D132">
            <v>74250</v>
          </cell>
          <cell r="E132">
            <v>-123750</v>
          </cell>
        </row>
        <row r="133">
          <cell r="B133" t="str">
            <v>CINCHA DE ASBESTO 1/8"X2"</v>
          </cell>
          <cell r="D133">
            <v>49500</v>
          </cell>
          <cell r="E133">
            <v>0</v>
          </cell>
        </row>
        <row r="134">
          <cell r="A134">
            <v>49677</v>
          </cell>
          <cell r="B134" t="str">
            <v>CINTA METRICA X 3 MTS STANLEY</v>
          </cell>
          <cell r="C134">
            <v>93000</v>
          </cell>
          <cell r="D134">
            <v>46500</v>
          </cell>
          <cell r="E134">
            <v>-93000</v>
          </cell>
        </row>
        <row r="135">
          <cell r="B135" t="str">
            <v>CINTA METRICA X 3 MTS STANLEY</v>
          </cell>
          <cell r="D135">
            <v>46500</v>
          </cell>
          <cell r="E135">
            <v>0</v>
          </cell>
        </row>
        <row r="136">
          <cell r="A136">
            <v>6488</v>
          </cell>
          <cell r="B136" t="str">
            <v>CLAVIJA 3PX20A SEGURIDAD CAUCH</v>
          </cell>
          <cell r="C136">
            <v>40000</v>
          </cell>
          <cell r="D136">
            <v>40000</v>
          </cell>
          <cell r="E136">
            <v>-40000</v>
          </cell>
        </row>
        <row r="137">
          <cell r="A137">
            <v>6471</v>
          </cell>
          <cell r="B137" t="str">
            <v>CLAVIJA MONOFASICA 15A CAUCHO</v>
          </cell>
          <cell r="C137">
            <v>700</v>
          </cell>
          <cell r="D137">
            <v>700</v>
          </cell>
          <cell r="E137">
            <v>-700</v>
          </cell>
        </row>
        <row r="138">
          <cell r="A138">
            <v>4300</v>
          </cell>
          <cell r="B138" t="str">
            <v>CODO ACERO 1/2" NPT</v>
          </cell>
          <cell r="C138">
            <v>17280</v>
          </cell>
          <cell r="D138">
            <v>4200</v>
          </cell>
          <cell r="E138">
            <v>-17280</v>
          </cell>
        </row>
        <row r="139">
          <cell r="B139" t="str">
            <v>CODO ACERO 1/2" NPT</v>
          </cell>
          <cell r="D139">
            <v>4680</v>
          </cell>
          <cell r="E139">
            <v>0</v>
          </cell>
        </row>
        <row r="140">
          <cell r="B140" t="str">
            <v>CODO ACERO 1/2" NPT</v>
          </cell>
          <cell r="D140">
            <v>8400</v>
          </cell>
          <cell r="E140">
            <v>0</v>
          </cell>
        </row>
        <row r="141">
          <cell r="A141">
            <v>4297</v>
          </cell>
          <cell r="B141" t="str">
            <v>CODO ACERO 1/4" NPT</v>
          </cell>
          <cell r="C141">
            <v>4000</v>
          </cell>
          <cell r="D141">
            <v>4000</v>
          </cell>
          <cell r="E141">
            <v>-4000</v>
          </cell>
        </row>
        <row r="142">
          <cell r="A142">
            <v>4301</v>
          </cell>
          <cell r="B142" t="str">
            <v>CODO ACERO 3/4" NPT</v>
          </cell>
          <cell r="C142">
            <v>3500</v>
          </cell>
          <cell r="D142">
            <v>3500</v>
          </cell>
          <cell r="E142">
            <v>-3500</v>
          </cell>
        </row>
        <row r="143">
          <cell r="A143">
            <v>4251</v>
          </cell>
          <cell r="B143" t="str">
            <v>CODO P.V.C 1"</v>
          </cell>
          <cell r="C143">
            <v>1200</v>
          </cell>
          <cell r="D143">
            <v>1200</v>
          </cell>
          <cell r="E143">
            <v>-1200</v>
          </cell>
        </row>
        <row r="144">
          <cell r="A144">
            <v>105789</v>
          </cell>
          <cell r="B144" t="str">
            <v>CODO XCF 1 CORTO 1/2" ILURAM</v>
          </cell>
          <cell r="C144">
            <v>253500</v>
          </cell>
          <cell r="D144">
            <v>253500</v>
          </cell>
          <cell r="E144">
            <v>-253500</v>
          </cell>
        </row>
        <row r="145">
          <cell r="A145">
            <v>102382</v>
          </cell>
          <cell r="B145" t="str">
            <v>CODO XCF-1 1/2</v>
          </cell>
          <cell r="C145">
            <v>603720</v>
          </cell>
          <cell r="D145">
            <v>603720</v>
          </cell>
          <cell r="E145">
            <v>-603720</v>
          </cell>
        </row>
        <row r="146">
          <cell r="A146">
            <v>57533</v>
          </cell>
          <cell r="B146" t="str">
            <v>COLA DE MARRANO 3/8"</v>
          </cell>
          <cell r="C146">
            <v>22000</v>
          </cell>
          <cell r="D146">
            <v>22000</v>
          </cell>
          <cell r="E146">
            <v>-22000</v>
          </cell>
        </row>
        <row r="147">
          <cell r="A147">
            <v>100695</v>
          </cell>
          <cell r="B147" t="str">
            <v>COMPUESTO SELLANTE CHICO A05</v>
          </cell>
          <cell r="C147">
            <v>34020</v>
          </cell>
          <cell r="D147">
            <v>34020</v>
          </cell>
          <cell r="E147">
            <v>-34020</v>
          </cell>
        </row>
        <row r="148">
          <cell r="A148">
            <v>100930</v>
          </cell>
          <cell r="B148" t="str">
            <v>CONDULET GUAT16 1/2"</v>
          </cell>
          <cell r="C148">
            <v>277680</v>
          </cell>
          <cell r="D148">
            <v>277680</v>
          </cell>
          <cell r="E148">
            <v>-277680</v>
          </cell>
        </row>
        <row r="149">
          <cell r="A149">
            <v>6505</v>
          </cell>
          <cell r="B149" t="str">
            <v>CONDULET LB ALUMINIO 1/2"</v>
          </cell>
          <cell r="C149">
            <v>8000</v>
          </cell>
          <cell r="D149">
            <v>8000</v>
          </cell>
          <cell r="E149">
            <v>-8000</v>
          </cell>
        </row>
        <row r="150">
          <cell r="A150">
            <v>6506</v>
          </cell>
          <cell r="B150" t="str">
            <v>CONDULET LB ALUMINIO 3/4"</v>
          </cell>
          <cell r="C150">
            <v>13500</v>
          </cell>
          <cell r="D150">
            <v>9000</v>
          </cell>
          <cell r="E150">
            <v>-13500</v>
          </cell>
        </row>
        <row r="151">
          <cell r="B151" t="str">
            <v>CONDULET LB ALUMINIO 3/4"</v>
          </cell>
          <cell r="D151">
            <v>4500</v>
          </cell>
          <cell r="E151">
            <v>0</v>
          </cell>
        </row>
        <row r="152">
          <cell r="A152">
            <v>71078</v>
          </cell>
          <cell r="B152" t="str">
            <v>CONECTOR CURVO T. AMERICANO 1.</v>
          </cell>
          <cell r="C152">
            <v>30400</v>
          </cell>
          <cell r="D152">
            <v>30400</v>
          </cell>
          <cell r="E152">
            <v>-30400</v>
          </cell>
        </row>
        <row r="153">
          <cell r="A153">
            <v>6494</v>
          </cell>
          <cell r="B153" t="str">
            <v>CONECTOR CURVO T.AMERICANO 1"</v>
          </cell>
          <cell r="C153">
            <v>7800</v>
          </cell>
          <cell r="D153">
            <v>7800</v>
          </cell>
          <cell r="E153">
            <v>-7800</v>
          </cell>
        </row>
        <row r="154">
          <cell r="A154">
            <v>6501</v>
          </cell>
          <cell r="B154" t="str">
            <v>CONECTOR CURVO T.AMERICANO 1/2</v>
          </cell>
          <cell r="C154">
            <v>56863.99</v>
          </cell>
          <cell r="D154">
            <v>10735.99</v>
          </cell>
          <cell r="E154">
            <v>-56863.99</v>
          </cell>
        </row>
        <row r="155">
          <cell r="B155" t="str">
            <v>CONECTOR CURVO T.AMERICANO 1/2</v>
          </cell>
          <cell r="D155">
            <v>14272</v>
          </cell>
          <cell r="E155">
            <v>0</v>
          </cell>
        </row>
        <row r="156">
          <cell r="B156" t="str">
            <v>CONECTOR CURVO T.AMERICANO 1/2</v>
          </cell>
          <cell r="D156">
            <v>7040</v>
          </cell>
          <cell r="E156">
            <v>0</v>
          </cell>
        </row>
        <row r="157">
          <cell r="B157" t="str">
            <v>CONECTOR CURVO T.AMERICANO 1/2</v>
          </cell>
          <cell r="D157">
            <v>24816</v>
          </cell>
          <cell r="E157">
            <v>0</v>
          </cell>
        </row>
        <row r="158">
          <cell r="A158">
            <v>6502</v>
          </cell>
          <cell r="B158" t="str">
            <v>CONECTOR CURVO T.AMERICANO 3/4</v>
          </cell>
          <cell r="C158">
            <v>11000</v>
          </cell>
          <cell r="D158">
            <v>11000</v>
          </cell>
          <cell r="E158">
            <v>-11000</v>
          </cell>
        </row>
        <row r="159">
          <cell r="A159">
            <v>42679</v>
          </cell>
          <cell r="B159" t="str">
            <v>CONECTOR JACK RJ45 N5 NEGRO</v>
          </cell>
          <cell r="C159">
            <v>12837.39</v>
          </cell>
          <cell r="D159">
            <v>12837.39</v>
          </cell>
          <cell r="E159">
            <v>-12837.39</v>
          </cell>
        </row>
        <row r="160">
          <cell r="A160">
            <v>43104</v>
          </cell>
          <cell r="B160" t="str">
            <v>CONECTOR MACHO RJ-45 N5</v>
          </cell>
          <cell r="C160">
            <v>6763.63</v>
          </cell>
          <cell r="D160">
            <v>6763.63</v>
          </cell>
          <cell r="E160">
            <v>-6763.63</v>
          </cell>
        </row>
        <row r="161">
          <cell r="A161">
            <v>42184</v>
          </cell>
          <cell r="B161" t="str">
            <v>CONECTOR RECTO T. AMERICANO 1.</v>
          </cell>
          <cell r="C161">
            <v>17600</v>
          </cell>
          <cell r="D161">
            <v>17600</v>
          </cell>
          <cell r="E161">
            <v>-17600</v>
          </cell>
        </row>
        <row r="162">
          <cell r="A162">
            <v>6504</v>
          </cell>
          <cell r="B162" t="str">
            <v>CONECTOR RECTO T.AMERICANO 1/2</v>
          </cell>
          <cell r="C162">
            <v>40500</v>
          </cell>
          <cell r="D162">
            <v>5400</v>
          </cell>
          <cell r="E162">
            <v>-40500</v>
          </cell>
        </row>
        <row r="163">
          <cell r="B163" t="str">
            <v>CONECTOR RECTO T.AMERICANO 1/2</v>
          </cell>
          <cell r="D163">
            <v>10800</v>
          </cell>
          <cell r="E163">
            <v>0</v>
          </cell>
        </row>
        <row r="164">
          <cell r="B164" t="str">
            <v>CONECTOR RECTO T.AMERICANO 1/2</v>
          </cell>
          <cell r="D164">
            <v>5400</v>
          </cell>
          <cell r="E164">
            <v>0</v>
          </cell>
        </row>
        <row r="165">
          <cell r="B165" t="str">
            <v>CONECTOR RECTO T.AMERICANO 1/2</v>
          </cell>
          <cell r="D165">
            <v>18900</v>
          </cell>
          <cell r="E165">
            <v>0</v>
          </cell>
        </row>
        <row r="166">
          <cell r="A166">
            <v>6503</v>
          </cell>
          <cell r="B166" t="str">
            <v>CONECTOR RECTO T.AMERICANO 3/4</v>
          </cell>
          <cell r="C166">
            <v>7800</v>
          </cell>
          <cell r="D166">
            <v>7800</v>
          </cell>
          <cell r="E166">
            <v>-7800</v>
          </cell>
        </row>
        <row r="167">
          <cell r="A167">
            <v>105758</v>
          </cell>
          <cell r="B167" t="str">
            <v>CONECTOR RECTO TIPO AMERICANO</v>
          </cell>
          <cell r="C167">
            <v>230400</v>
          </cell>
          <cell r="D167">
            <v>230400</v>
          </cell>
          <cell r="E167">
            <v>-230400</v>
          </cell>
        </row>
        <row r="168">
          <cell r="A168">
            <v>64111</v>
          </cell>
          <cell r="B168" t="str">
            <v>CONECTOR RJ 11 CUATRO HILOS PA</v>
          </cell>
          <cell r="C168">
            <v>1600</v>
          </cell>
          <cell r="D168">
            <v>1600</v>
          </cell>
          <cell r="E168">
            <v>-1600</v>
          </cell>
        </row>
        <row r="169">
          <cell r="A169">
            <v>42321</v>
          </cell>
          <cell r="B169" t="str">
            <v>CONTACTOR 3TF4622 OAN1 220V S.</v>
          </cell>
          <cell r="C169">
            <v>366576</v>
          </cell>
          <cell r="D169">
            <v>366576</v>
          </cell>
          <cell r="E169">
            <v>-366576</v>
          </cell>
        </row>
        <row r="170">
          <cell r="A170">
            <v>105425</v>
          </cell>
          <cell r="B170" t="str">
            <v>CONTACTOR SIEMENS 3RT1054 220</v>
          </cell>
          <cell r="C170">
            <v>995000</v>
          </cell>
          <cell r="D170">
            <v>995000</v>
          </cell>
          <cell r="E170">
            <v>-995000</v>
          </cell>
        </row>
        <row r="171">
          <cell r="A171">
            <v>105756</v>
          </cell>
          <cell r="B171" t="str">
            <v>CONTACTOR SIEMENS 3RT1076 220</v>
          </cell>
          <cell r="C171">
            <v>9140000</v>
          </cell>
          <cell r="D171">
            <v>9140000</v>
          </cell>
          <cell r="E171">
            <v>-9140000</v>
          </cell>
        </row>
        <row r="172">
          <cell r="A172">
            <v>6513</v>
          </cell>
          <cell r="B172" t="str">
            <v>CONTRATUERCA 1"</v>
          </cell>
          <cell r="C172">
            <v>863.19</v>
          </cell>
          <cell r="D172">
            <v>863.19</v>
          </cell>
          <cell r="E172">
            <v>-863.19</v>
          </cell>
        </row>
        <row r="173">
          <cell r="A173">
            <v>6511</v>
          </cell>
          <cell r="B173" t="str">
            <v>CONTRATUERCA 1/2"</v>
          </cell>
          <cell r="C173">
            <v>1100</v>
          </cell>
          <cell r="D173">
            <v>1100</v>
          </cell>
          <cell r="E173">
            <v>-1100</v>
          </cell>
        </row>
        <row r="174">
          <cell r="A174">
            <v>6516</v>
          </cell>
          <cell r="B174" t="str">
            <v>CONTRATUERCA 2"</v>
          </cell>
          <cell r="C174">
            <v>1000</v>
          </cell>
          <cell r="D174">
            <v>1000</v>
          </cell>
          <cell r="E174">
            <v>-1000</v>
          </cell>
        </row>
        <row r="175">
          <cell r="A175">
            <v>4307</v>
          </cell>
          <cell r="B175" t="str">
            <v>COPA ACERO 1/2" NPT X 3/4" NPT</v>
          </cell>
          <cell r="C175">
            <v>8133.32</v>
          </cell>
          <cell r="D175">
            <v>4066.66</v>
          </cell>
          <cell r="E175">
            <v>-8133.32</v>
          </cell>
        </row>
        <row r="176">
          <cell r="B176" t="str">
            <v>COPA ACERO 1/2" NPT X 3/4" NPT</v>
          </cell>
          <cell r="D176">
            <v>4066.66</v>
          </cell>
          <cell r="E176">
            <v>0</v>
          </cell>
        </row>
        <row r="177">
          <cell r="A177">
            <v>4305</v>
          </cell>
          <cell r="B177" t="str">
            <v>COPA ACERO 1/4" NPT X 1/2" NPT</v>
          </cell>
          <cell r="C177">
            <v>870.09</v>
          </cell>
          <cell r="D177">
            <v>870.09</v>
          </cell>
          <cell r="E177">
            <v>-870.09</v>
          </cell>
        </row>
        <row r="178">
          <cell r="A178">
            <v>105775</v>
          </cell>
          <cell r="B178" t="str">
            <v>COPA CHESTERTON 7K X 95 MM REF</v>
          </cell>
          <cell r="C178">
            <v>612280</v>
          </cell>
          <cell r="D178">
            <v>612280</v>
          </cell>
          <cell r="E178">
            <v>-612280</v>
          </cell>
        </row>
        <row r="179">
          <cell r="A179">
            <v>104747</v>
          </cell>
          <cell r="B179" t="str">
            <v>COPA HIDRAULICA 30 X 40 X 7</v>
          </cell>
          <cell r="C179">
            <v>45700</v>
          </cell>
          <cell r="D179">
            <v>45700</v>
          </cell>
          <cell r="E179">
            <v>-45700</v>
          </cell>
        </row>
        <row r="180">
          <cell r="A180">
            <v>42102</v>
          </cell>
          <cell r="B180" t="str">
            <v>CORAZA CONDUFLEX DE 1/2</v>
          </cell>
          <cell r="C180">
            <v>6600</v>
          </cell>
          <cell r="D180">
            <v>6600</v>
          </cell>
          <cell r="E180">
            <v>-6600</v>
          </cell>
        </row>
        <row r="181">
          <cell r="A181">
            <v>6856</v>
          </cell>
          <cell r="B181" t="str">
            <v>CORAZA EN P.V.C 1"</v>
          </cell>
          <cell r="C181">
            <v>96207.72</v>
          </cell>
          <cell r="D181">
            <v>21207.72</v>
          </cell>
          <cell r="E181">
            <v>-96207.72</v>
          </cell>
        </row>
        <row r="182">
          <cell r="B182" t="str">
            <v>CORAZA EN P.V.C 1"</v>
          </cell>
          <cell r="D182">
            <v>75000</v>
          </cell>
          <cell r="E182">
            <v>0</v>
          </cell>
        </row>
        <row r="183">
          <cell r="A183">
            <v>6854</v>
          </cell>
          <cell r="B183" t="str">
            <v>CORAZA EN P.V.C 1/2"</v>
          </cell>
          <cell r="C183">
            <v>66000</v>
          </cell>
          <cell r="D183">
            <v>16500</v>
          </cell>
          <cell r="E183">
            <v>-66000</v>
          </cell>
        </row>
        <row r="184">
          <cell r="B184" t="str">
            <v>CORAZA EN P.V.C 1/2"</v>
          </cell>
          <cell r="D184">
            <v>49500</v>
          </cell>
          <cell r="E184">
            <v>0</v>
          </cell>
        </row>
        <row r="185">
          <cell r="A185">
            <v>6855</v>
          </cell>
          <cell r="B185" t="str">
            <v>CORAZA EN P.V.C 3/4"</v>
          </cell>
          <cell r="C185">
            <v>5979.97</v>
          </cell>
          <cell r="D185">
            <v>5979.97</v>
          </cell>
          <cell r="E185">
            <v>-5979.97</v>
          </cell>
        </row>
        <row r="186">
          <cell r="A186">
            <v>43176</v>
          </cell>
          <cell r="B186" t="str">
            <v>CORAZA EN P.V.C. 1.1/4"</v>
          </cell>
          <cell r="C186">
            <v>93100</v>
          </cell>
          <cell r="D186">
            <v>93100</v>
          </cell>
          <cell r="E186">
            <v>-93100</v>
          </cell>
        </row>
        <row r="187">
          <cell r="A187">
            <v>105757</v>
          </cell>
          <cell r="B187" t="str">
            <v>CORAZA PVC 2 1/2"</v>
          </cell>
          <cell r="C187">
            <v>115200</v>
          </cell>
          <cell r="D187">
            <v>115200</v>
          </cell>
          <cell r="E187">
            <v>-115200</v>
          </cell>
        </row>
        <row r="188">
          <cell r="A188">
            <v>105792</v>
          </cell>
          <cell r="B188" t="str">
            <v>CORDON TEADIT 7/16"  REF: 2070</v>
          </cell>
          <cell r="C188">
            <v>2340000</v>
          </cell>
          <cell r="D188">
            <v>2340000</v>
          </cell>
          <cell r="E188">
            <v>-2340000</v>
          </cell>
        </row>
        <row r="189">
          <cell r="A189">
            <v>3296</v>
          </cell>
          <cell r="B189" t="str">
            <v>CORREA  TIPO "A"  X  40 PIES</v>
          </cell>
          <cell r="C189">
            <v>2160714.29</v>
          </cell>
          <cell r="D189">
            <v>2160714.29</v>
          </cell>
          <cell r="E189">
            <v>-2160714.29</v>
          </cell>
        </row>
        <row r="190">
          <cell r="A190">
            <v>72910</v>
          </cell>
          <cell r="B190" t="str">
            <v>CORREA A-34</v>
          </cell>
          <cell r="C190">
            <v>8500</v>
          </cell>
          <cell r="D190">
            <v>8500</v>
          </cell>
          <cell r="E190">
            <v>-8500</v>
          </cell>
        </row>
        <row r="191">
          <cell r="A191">
            <v>3276</v>
          </cell>
          <cell r="B191" t="str">
            <v>CORREA A-47</v>
          </cell>
          <cell r="C191">
            <v>63407.83</v>
          </cell>
          <cell r="D191">
            <v>19769.330000000002</v>
          </cell>
          <cell r="E191">
            <v>-63407.83</v>
          </cell>
        </row>
        <row r="192">
          <cell r="B192" t="str">
            <v>CORREA A-47</v>
          </cell>
          <cell r="D192">
            <v>43638.5</v>
          </cell>
          <cell r="E192">
            <v>0</v>
          </cell>
        </row>
        <row r="193">
          <cell r="A193">
            <v>65450</v>
          </cell>
          <cell r="B193" t="str">
            <v>CORREA B-104</v>
          </cell>
          <cell r="C193">
            <v>15634.15</v>
          </cell>
          <cell r="D193">
            <v>15634.15</v>
          </cell>
          <cell r="E193">
            <v>-15634.15</v>
          </cell>
        </row>
        <row r="194">
          <cell r="A194">
            <v>3235</v>
          </cell>
          <cell r="B194" t="str">
            <v>CORREA B-38</v>
          </cell>
          <cell r="C194">
            <v>21600</v>
          </cell>
          <cell r="D194">
            <v>21600</v>
          </cell>
          <cell r="E194">
            <v>-21600</v>
          </cell>
        </row>
        <row r="195">
          <cell r="A195">
            <v>3234</v>
          </cell>
          <cell r="B195" t="str">
            <v>CORREA B-40</v>
          </cell>
          <cell r="C195">
            <v>21304.799999999999</v>
          </cell>
          <cell r="D195">
            <v>21304.799999999999</v>
          </cell>
          <cell r="E195">
            <v>-21304.799999999999</v>
          </cell>
        </row>
        <row r="196">
          <cell r="A196">
            <v>3230</v>
          </cell>
          <cell r="B196" t="str">
            <v>CORREA B-46</v>
          </cell>
          <cell r="C196">
            <v>46000</v>
          </cell>
          <cell r="D196">
            <v>46000</v>
          </cell>
          <cell r="E196">
            <v>-46000</v>
          </cell>
        </row>
        <row r="197">
          <cell r="A197">
            <v>3229</v>
          </cell>
          <cell r="B197" t="str">
            <v>CORREA B-47</v>
          </cell>
          <cell r="C197">
            <v>120000</v>
          </cell>
          <cell r="D197">
            <v>120000</v>
          </cell>
          <cell r="E197">
            <v>-120000</v>
          </cell>
        </row>
        <row r="198">
          <cell r="A198">
            <v>3227</v>
          </cell>
          <cell r="B198" t="str">
            <v>CORREA B-49</v>
          </cell>
          <cell r="C198">
            <v>52000</v>
          </cell>
          <cell r="D198">
            <v>52000</v>
          </cell>
          <cell r="E198">
            <v>-52000</v>
          </cell>
        </row>
        <row r="199">
          <cell r="A199">
            <v>48193</v>
          </cell>
          <cell r="B199" t="str">
            <v>CORREA B-56</v>
          </cell>
          <cell r="C199">
            <v>47200</v>
          </cell>
          <cell r="D199">
            <v>47200</v>
          </cell>
          <cell r="E199">
            <v>-47200</v>
          </cell>
        </row>
        <row r="200">
          <cell r="A200">
            <v>3223</v>
          </cell>
          <cell r="B200" t="str">
            <v>CORREA B-60</v>
          </cell>
          <cell r="C200">
            <v>155000</v>
          </cell>
          <cell r="D200">
            <v>155000</v>
          </cell>
          <cell r="E200">
            <v>-155000</v>
          </cell>
        </row>
        <row r="201">
          <cell r="A201">
            <v>3220</v>
          </cell>
          <cell r="B201" t="str">
            <v>CORREA B-64</v>
          </cell>
          <cell r="C201">
            <v>64000</v>
          </cell>
          <cell r="D201">
            <v>64000</v>
          </cell>
          <cell r="E201">
            <v>-64000</v>
          </cell>
        </row>
        <row r="202">
          <cell r="A202">
            <v>3211</v>
          </cell>
          <cell r="B202" t="str">
            <v>CORREA B-78</v>
          </cell>
          <cell r="C202">
            <v>61002</v>
          </cell>
          <cell r="D202">
            <v>61002</v>
          </cell>
          <cell r="E202">
            <v>-61002</v>
          </cell>
        </row>
        <row r="203">
          <cell r="A203">
            <v>3208</v>
          </cell>
          <cell r="B203" t="str">
            <v>CORREA B-83</v>
          </cell>
          <cell r="C203">
            <v>114000</v>
          </cell>
          <cell r="D203">
            <v>114000</v>
          </cell>
          <cell r="E203">
            <v>-114000</v>
          </cell>
        </row>
        <row r="204">
          <cell r="A204">
            <v>3202</v>
          </cell>
          <cell r="B204" t="str">
            <v>CORREA B-94</v>
          </cell>
          <cell r="C204">
            <v>38000</v>
          </cell>
          <cell r="D204">
            <v>38000</v>
          </cell>
          <cell r="E204">
            <v>-38000</v>
          </cell>
        </row>
        <row r="205">
          <cell r="A205">
            <v>2259</v>
          </cell>
          <cell r="B205" t="str">
            <v>CORTADOR INFERIOR 6-91-E MERRO</v>
          </cell>
          <cell r="C205">
            <v>18648.57</v>
          </cell>
          <cell r="D205">
            <v>18648.57</v>
          </cell>
          <cell r="E205">
            <v>-18648.57</v>
          </cell>
        </row>
        <row r="206">
          <cell r="A206">
            <v>2260</v>
          </cell>
          <cell r="B206" t="str">
            <v>CORTADOR SUPERIOR A-90-3 MERRO</v>
          </cell>
          <cell r="C206">
            <v>18612.419999999998</v>
          </cell>
          <cell r="D206">
            <v>18612.419999999998</v>
          </cell>
          <cell r="E206">
            <v>-18612.419999999998</v>
          </cell>
        </row>
        <row r="207">
          <cell r="A207">
            <v>105630</v>
          </cell>
          <cell r="B207" t="str">
            <v>CUCHILLA INFERIOR REF: 001044</v>
          </cell>
          <cell r="C207">
            <v>175000</v>
          </cell>
          <cell r="D207">
            <v>175000</v>
          </cell>
          <cell r="E207">
            <v>-175000</v>
          </cell>
        </row>
        <row r="208">
          <cell r="A208">
            <v>5367</v>
          </cell>
          <cell r="B208" t="str">
            <v>CUNA CUADRADA 5/16"</v>
          </cell>
          <cell r="C208">
            <v>1160</v>
          </cell>
          <cell r="D208">
            <v>1160</v>
          </cell>
          <cell r="E208">
            <v>-1160</v>
          </cell>
        </row>
        <row r="209">
          <cell r="A209">
            <v>6523</v>
          </cell>
          <cell r="B209" t="str">
            <v>CURVA CONDUIT 3/4"</v>
          </cell>
          <cell r="C209">
            <v>3811.24</v>
          </cell>
          <cell r="D209">
            <v>3811.24</v>
          </cell>
          <cell r="E209">
            <v>-3811.24</v>
          </cell>
        </row>
        <row r="210">
          <cell r="A210">
            <v>100684</v>
          </cell>
          <cell r="B210" t="str">
            <v>CURVA CONDUIT IMC 1/2"</v>
          </cell>
          <cell r="C210">
            <v>54418</v>
          </cell>
          <cell r="D210">
            <v>54418</v>
          </cell>
          <cell r="E210">
            <v>-54418</v>
          </cell>
        </row>
        <row r="211">
          <cell r="A211">
            <v>54940</v>
          </cell>
          <cell r="B211" t="str">
            <v>CURVA E.M.T. CONDUIT 1/2"</v>
          </cell>
          <cell r="C211">
            <v>6500</v>
          </cell>
          <cell r="D211">
            <v>6500</v>
          </cell>
          <cell r="E211">
            <v>-6500</v>
          </cell>
        </row>
        <row r="212">
          <cell r="A212">
            <v>105140</v>
          </cell>
          <cell r="B212" t="str">
            <v>DISPOSITIVO DE PROGRAMACION PA</v>
          </cell>
          <cell r="C212">
            <v>1013886.88</v>
          </cell>
          <cell r="D212">
            <v>1013886.88</v>
          </cell>
          <cell r="E212">
            <v>-1013886.88</v>
          </cell>
        </row>
        <row r="213">
          <cell r="A213">
            <v>2659</v>
          </cell>
          <cell r="B213" t="str">
            <v>EJE CON RESORTE 214-852</v>
          </cell>
          <cell r="C213">
            <v>170875.95</v>
          </cell>
          <cell r="D213">
            <v>170875.95</v>
          </cell>
          <cell r="E213">
            <v>-170875.95</v>
          </cell>
        </row>
        <row r="214">
          <cell r="A214">
            <v>104800</v>
          </cell>
          <cell r="B214" t="str">
            <v>EMPAQUE FLEXITALICO</v>
          </cell>
          <cell r="C214">
            <v>7600</v>
          </cell>
          <cell r="D214">
            <v>7600</v>
          </cell>
          <cell r="E214">
            <v>-7600</v>
          </cell>
        </row>
        <row r="215">
          <cell r="A215">
            <v>105271</v>
          </cell>
          <cell r="B215" t="str">
            <v>EMPAQUE FLEXITALICO 1" X 150</v>
          </cell>
          <cell r="C215">
            <v>57600</v>
          </cell>
          <cell r="D215">
            <v>57600</v>
          </cell>
          <cell r="E215">
            <v>-57600</v>
          </cell>
        </row>
        <row r="216">
          <cell r="A216">
            <v>3776</v>
          </cell>
          <cell r="B216" t="str">
            <v>EMPAQUE O'RING 3mm</v>
          </cell>
          <cell r="C216">
            <v>2062</v>
          </cell>
          <cell r="D216">
            <v>2062</v>
          </cell>
          <cell r="E216">
            <v>-2062</v>
          </cell>
        </row>
        <row r="217">
          <cell r="A217">
            <v>3777</v>
          </cell>
          <cell r="B217" t="str">
            <v>EMPAQUE O'RING 4mm</v>
          </cell>
          <cell r="C217">
            <v>1104</v>
          </cell>
          <cell r="D217">
            <v>1104</v>
          </cell>
          <cell r="E217">
            <v>-1104</v>
          </cell>
        </row>
        <row r="218">
          <cell r="A218">
            <v>3871</v>
          </cell>
          <cell r="B218" t="str">
            <v>EMPAQUE PAPEL HUMEDO 1/16"</v>
          </cell>
          <cell r="C218">
            <v>1442.6</v>
          </cell>
          <cell r="D218">
            <v>1442.6</v>
          </cell>
          <cell r="E218">
            <v>-1442.6</v>
          </cell>
        </row>
        <row r="219">
          <cell r="A219">
            <v>55487</v>
          </cell>
          <cell r="B219" t="str">
            <v>ESCOBILLA 33X16X9.5</v>
          </cell>
          <cell r="C219">
            <v>15966.66</v>
          </cell>
          <cell r="D219">
            <v>15966.66</v>
          </cell>
          <cell r="E219">
            <v>-15966.66</v>
          </cell>
        </row>
        <row r="220">
          <cell r="A220">
            <v>2722</v>
          </cell>
          <cell r="B220" t="str">
            <v>EXOSTO 70 D</v>
          </cell>
          <cell r="C220">
            <v>53553.4</v>
          </cell>
          <cell r="D220">
            <v>53553.4</v>
          </cell>
          <cell r="E220">
            <v>-53553.4</v>
          </cell>
        </row>
        <row r="221">
          <cell r="A221">
            <v>100696</v>
          </cell>
          <cell r="B221" t="str">
            <v>FIBRA SELLANTE CHICO X7</v>
          </cell>
          <cell r="C221">
            <v>146250</v>
          </cell>
          <cell r="D221">
            <v>146250</v>
          </cell>
          <cell r="E221">
            <v>-146250</v>
          </cell>
        </row>
        <row r="222">
          <cell r="A222">
            <v>61828</v>
          </cell>
          <cell r="B222" t="str">
            <v>FIJADOR PARED</v>
          </cell>
          <cell r="C222">
            <v>13700</v>
          </cell>
          <cell r="D222">
            <v>13700</v>
          </cell>
          <cell r="E222">
            <v>-13700</v>
          </cell>
        </row>
        <row r="223">
          <cell r="A223">
            <v>57994</v>
          </cell>
          <cell r="B223" t="str">
            <v>FILTRO ACEITE ML 1068 MONT # 5</v>
          </cell>
          <cell r="C223">
            <v>5172</v>
          </cell>
          <cell r="D223">
            <v>5172</v>
          </cell>
          <cell r="E223">
            <v>-5172</v>
          </cell>
        </row>
        <row r="224">
          <cell r="A224">
            <v>39685</v>
          </cell>
          <cell r="B224" t="str">
            <v>FILTRO AIRE GPS REF 202373789</v>
          </cell>
          <cell r="C224">
            <v>23968</v>
          </cell>
          <cell r="D224">
            <v>23968</v>
          </cell>
          <cell r="E224">
            <v>-23968</v>
          </cell>
        </row>
        <row r="225">
          <cell r="A225">
            <v>104497</v>
          </cell>
          <cell r="B225" t="str">
            <v>FILTRO AIRE REF:405158 COMPRES</v>
          </cell>
          <cell r="C225">
            <v>255600</v>
          </cell>
          <cell r="D225">
            <v>255600</v>
          </cell>
          <cell r="E225">
            <v>-255600</v>
          </cell>
        </row>
        <row r="226">
          <cell r="A226">
            <v>4473</v>
          </cell>
          <cell r="B226" t="str">
            <v>FILTRO EN Y 2"</v>
          </cell>
          <cell r="C226">
            <v>79000</v>
          </cell>
          <cell r="D226">
            <v>79000</v>
          </cell>
          <cell r="E226">
            <v>-79000</v>
          </cell>
        </row>
        <row r="227">
          <cell r="A227">
            <v>2445</v>
          </cell>
          <cell r="B227" t="str">
            <v>FILTRO PARA ACEITE ML1059</v>
          </cell>
          <cell r="C227">
            <v>6188</v>
          </cell>
          <cell r="D227">
            <v>6188</v>
          </cell>
          <cell r="E227">
            <v>-6188</v>
          </cell>
        </row>
        <row r="228">
          <cell r="A228">
            <v>2447</v>
          </cell>
          <cell r="B228" t="str">
            <v>FILTRO PARA GASOLINA 302</v>
          </cell>
          <cell r="C228">
            <v>3847.5</v>
          </cell>
          <cell r="D228">
            <v>3847.5</v>
          </cell>
          <cell r="E228">
            <v>-3847.5</v>
          </cell>
        </row>
        <row r="229">
          <cell r="A229">
            <v>4478</v>
          </cell>
          <cell r="B229" t="str">
            <v>FLANCHE ACERO 4"</v>
          </cell>
          <cell r="C229">
            <v>149340</v>
          </cell>
          <cell r="D229">
            <v>149340</v>
          </cell>
          <cell r="E229">
            <v>-149340</v>
          </cell>
        </row>
        <row r="230">
          <cell r="A230">
            <v>650</v>
          </cell>
          <cell r="B230" t="str">
            <v>FLEXOMETRO X 3mt</v>
          </cell>
          <cell r="C230">
            <v>8200</v>
          </cell>
          <cell r="D230">
            <v>4100</v>
          </cell>
          <cell r="E230">
            <v>-8200</v>
          </cell>
        </row>
        <row r="231">
          <cell r="B231" t="str">
            <v>FLEXOMETRO X 3mt</v>
          </cell>
          <cell r="D231">
            <v>4100</v>
          </cell>
          <cell r="E231">
            <v>0</v>
          </cell>
        </row>
        <row r="232">
          <cell r="A232">
            <v>69925</v>
          </cell>
          <cell r="B232" t="str">
            <v>FOTOCELDA 20-250 VAC NO/NC REF</v>
          </cell>
          <cell r="C232">
            <v>275184</v>
          </cell>
          <cell r="D232">
            <v>275184</v>
          </cell>
          <cell r="E232">
            <v>-275184</v>
          </cell>
        </row>
        <row r="233">
          <cell r="A233">
            <v>6696</v>
          </cell>
          <cell r="B233" t="str">
            <v>FUENTE ANTIESTATICA 120V/7KV R</v>
          </cell>
          <cell r="C233">
            <v>1384045.81</v>
          </cell>
          <cell r="D233">
            <v>1384045.81</v>
          </cell>
          <cell r="E233">
            <v>-1384045.81</v>
          </cell>
        </row>
        <row r="234">
          <cell r="A234">
            <v>105548</v>
          </cell>
          <cell r="B234" t="str">
            <v>FUENTE PSM-NT-120AC/15DC/100 P</v>
          </cell>
          <cell r="C234">
            <v>135622.85</v>
          </cell>
          <cell r="D234">
            <v>135622.85</v>
          </cell>
          <cell r="E234">
            <v>-135622.85</v>
          </cell>
        </row>
        <row r="235">
          <cell r="A235">
            <v>42919</v>
          </cell>
          <cell r="B235" t="str">
            <v>FUSIBLE BUSSMAN KTK 10 AMP</v>
          </cell>
          <cell r="C235">
            <v>56028.85</v>
          </cell>
          <cell r="D235">
            <v>56028.85</v>
          </cell>
          <cell r="E235">
            <v>-56028.85</v>
          </cell>
        </row>
        <row r="236">
          <cell r="A236">
            <v>7098</v>
          </cell>
          <cell r="B236" t="str">
            <v>FUSIBLE CORTO DE VIDRIO 0.25 A</v>
          </cell>
          <cell r="C236">
            <v>878.18</v>
          </cell>
          <cell r="D236">
            <v>878.18</v>
          </cell>
          <cell r="E236">
            <v>-878.18</v>
          </cell>
        </row>
        <row r="237">
          <cell r="A237">
            <v>7102</v>
          </cell>
          <cell r="B237" t="str">
            <v>FUSIBLE CORTO DE VIDRIO 1  AMP</v>
          </cell>
          <cell r="C237">
            <v>1750</v>
          </cell>
          <cell r="D237">
            <v>1750</v>
          </cell>
          <cell r="E237">
            <v>-1750</v>
          </cell>
        </row>
        <row r="238">
          <cell r="A238">
            <v>7105</v>
          </cell>
          <cell r="B238" t="str">
            <v>FUSIBLE CORTO DE VIDRIO 1.5 AM</v>
          </cell>
          <cell r="C238">
            <v>2100</v>
          </cell>
          <cell r="D238">
            <v>1500</v>
          </cell>
          <cell r="E238">
            <v>-2100</v>
          </cell>
        </row>
        <row r="239">
          <cell r="B239" t="str">
            <v>FUSIBLE CORTO DE VIDRIO 1.5 AM</v>
          </cell>
          <cell r="D239">
            <v>600</v>
          </cell>
          <cell r="E239">
            <v>0</v>
          </cell>
        </row>
        <row r="240">
          <cell r="A240">
            <v>7115</v>
          </cell>
          <cell r="B240" t="str">
            <v>FUSIBLE CORTO DE VIDRIO 10 AMP</v>
          </cell>
          <cell r="C240">
            <v>600</v>
          </cell>
          <cell r="D240">
            <v>600</v>
          </cell>
          <cell r="E240">
            <v>-600</v>
          </cell>
        </row>
        <row r="241">
          <cell r="A241">
            <v>7116</v>
          </cell>
          <cell r="B241" t="str">
            <v>FUSIBLE CORTO DE VIDRIO 15 AMP</v>
          </cell>
          <cell r="C241">
            <v>3596.36</v>
          </cell>
          <cell r="D241">
            <v>3596.36</v>
          </cell>
          <cell r="E241">
            <v>-3596.36</v>
          </cell>
        </row>
        <row r="242">
          <cell r="A242">
            <v>7107</v>
          </cell>
          <cell r="B242" t="str">
            <v>FUSIBLE CORTO DE VIDRIO 2 AMP</v>
          </cell>
          <cell r="C242">
            <v>1614.63</v>
          </cell>
          <cell r="D242">
            <v>968.78</v>
          </cell>
          <cell r="E242">
            <v>-1614.63</v>
          </cell>
        </row>
        <row r="243">
          <cell r="B243" t="str">
            <v>FUSIBLE CORTO DE VIDRIO 2 AMP</v>
          </cell>
          <cell r="D243">
            <v>645.85</v>
          </cell>
          <cell r="E243">
            <v>0</v>
          </cell>
        </row>
        <row r="244">
          <cell r="A244">
            <v>7109</v>
          </cell>
          <cell r="B244" t="str">
            <v>FUSIBLE CORTO DE VIDRIO 3 AMP</v>
          </cell>
          <cell r="C244">
            <v>3020.4</v>
          </cell>
          <cell r="D244">
            <v>1208.1600000000001</v>
          </cell>
          <cell r="E244">
            <v>-3020.4</v>
          </cell>
        </row>
        <row r="245">
          <cell r="B245" t="str">
            <v>FUSIBLE CORTO DE VIDRIO 3 AMP</v>
          </cell>
          <cell r="D245">
            <v>1208.1600000000001</v>
          </cell>
          <cell r="E245">
            <v>0</v>
          </cell>
        </row>
        <row r="246">
          <cell r="B246" t="str">
            <v>FUSIBLE CORTO DE VIDRIO 3 AMP</v>
          </cell>
          <cell r="D246">
            <v>604.08000000000004</v>
          </cell>
          <cell r="E246">
            <v>0</v>
          </cell>
        </row>
        <row r="247">
          <cell r="A247">
            <v>7113</v>
          </cell>
          <cell r="B247" t="str">
            <v>FUSIBLE CORTO DE VIDRIO 5 AMP</v>
          </cell>
          <cell r="C247">
            <v>3065.55</v>
          </cell>
          <cell r="D247">
            <v>1362.47</v>
          </cell>
          <cell r="E247">
            <v>-3065.55</v>
          </cell>
        </row>
        <row r="248">
          <cell r="B248" t="str">
            <v>FUSIBLE CORTO DE VIDRIO 5 AMP</v>
          </cell>
          <cell r="D248">
            <v>1703.08</v>
          </cell>
          <cell r="E248">
            <v>0</v>
          </cell>
        </row>
        <row r="249">
          <cell r="A249">
            <v>7114</v>
          </cell>
          <cell r="B249" t="str">
            <v>FUSIBLE CORTO DE VIDRIO 6.3 AM</v>
          </cell>
          <cell r="C249">
            <v>1708.33</v>
          </cell>
          <cell r="D249">
            <v>1708.33</v>
          </cell>
          <cell r="E249">
            <v>-1708.33</v>
          </cell>
        </row>
        <row r="250">
          <cell r="A250">
            <v>6542</v>
          </cell>
          <cell r="B250" t="str">
            <v>FUSIBLE DIAZED 16AX500V</v>
          </cell>
          <cell r="C250">
            <v>1838.23</v>
          </cell>
          <cell r="D250">
            <v>1838.23</v>
          </cell>
          <cell r="E250">
            <v>-1838.23</v>
          </cell>
        </row>
        <row r="251">
          <cell r="A251">
            <v>6541</v>
          </cell>
          <cell r="B251" t="str">
            <v>FUSIBLE DIAZED 20AX500V</v>
          </cell>
          <cell r="C251">
            <v>3300</v>
          </cell>
          <cell r="D251">
            <v>3300</v>
          </cell>
          <cell r="E251">
            <v>-3300</v>
          </cell>
        </row>
        <row r="252">
          <cell r="A252">
            <v>221</v>
          </cell>
          <cell r="B252" t="str">
            <v>FUSIBLE LARGO DE VIDRIO 5 AMP</v>
          </cell>
          <cell r="C252">
            <v>350</v>
          </cell>
          <cell r="D252">
            <v>350</v>
          </cell>
          <cell r="E252">
            <v>-350</v>
          </cell>
        </row>
        <row r="253">
          <cell r="A253">
            <v>6543</v>
          </cell>
          <cell r="B253" t="str">
            <v>FUSIBLE ULTRARAPIDO 16AX500V</v>
          </cell>
          <cell r="C253">
            <v>69568</v>
          </cell>
          <cell r="D253">
            <v>34784</v>
          </cell>
          <cell r="E253">
            <v>-69568</v>
          </cell>
        </row>
        <row r="254">
          <cell r="B254" t="str">
            <v>FUSIBLE ULTRARAPIDO 16AX500V</v>
          </cell>
          <cell r="D254">
            <v>34784</v>
          </cell>
          <cell r="E254">
            <v>0</v>
          </cell>
        </row>
        <row r="255">
          <cell r="A255">
            <v>42343</v>
          </cell>
          <cell r="B255" t="str">
            <v>FUSIBLE ULTRARAPIDO 25AX500V</v>
          </cell>
          <cell r="C255">
            <v>54240</v>
          </cell>
          <cell r="D255">
            <v>54240</v>
          </cell>
          <cell r="E255">
            <v>-54240</v>
          </cell>
        </row>
        <row r="256">
          <cell r="A256">
            <v>135</v>
          </cell>
          <cell r="B256" t="str">
            <v>GUARDAMOTOR 1-1.6A 3VE1000-26</v>
          </cell>
          <cell r="C256">
            <v>126000</v>
          </cell>
          <cell r="D256">
            <v>126000</v>
          </cell>
          <cell r="E256">
            <v>-126000</v>
          </cell>
        </row>
        <row r="257">
          <cell r="A257">
            <v>6415</v>
          </cell>
          <cell r="B257" t="str">
            <v>GUARDAMOTOR 7-10A SIEMENS</v>
          </cell>
          <cell r="C257">
            <v>159000</v>
          </cell>
          <cell r="D257">
            <v>159000</v>
          </cell>
          <cell r="E257">
            <v>-159000</v>
          </cell>
        </row>
        <row r="258">
          <cell r="A258">
            <v>5119</v>
          </cell>
          <cell r="B258" t="str">
            <v>GUASA 1/2"</v>
          </cell>
          <cell r="C258">
            <v>1711.9</v>
          </cell>
          <cell r="D258">
            <v>516.79999999999995</v>
          </cell>
          <cell r="E258">
            <v>-1711.9</v>
          </cell>
        </row>
        <row r="259">
          <cell r="B259" t="str">
            <v>GUASA 1/2"</v>
          </cell>
          <cell r="D259">
            <v>129.19999999999999</v>
          </cell>
          <cell r="E259">
            <v>0</v>
          </cell>
        </row>
        <row r="260">
          <cell r="B260" t="str">
            <v>GUASA 1/2"</v>
          </cell>
          <cell r="D260">
            <v>129.19999999999999</v>
          </cell>
          <cell r="E260">
            <v>0</v>
          </cell>
        </row>
        <row r="261">
          <cell r="B261" t="str">
            <v>GUASA 1/2"</v>
          </cell>
          <cell r="D261">
            <v>807.5</v>
          </cell>
          <cell r="E261">
            <v>0</v>
          </cell>
        </row>
        <row r="262">
          <cell r="B262" t="str">
            <v>GUASA 1/2"</v>
          </cell>
          <cell r="D262">
            <v>129.19999999999999</v>
          </cell>
          <cell r="E262">
            <v>0</v>
          </cell>
        </row>
        <row r="263">
          <cell r="A263">
            <v>5115</v>
          </cell>
          <cell r="B263" t="str">
            <v>GUASA 1/4"</v>
          </cell>
          <cell r="C263">
            <v>799</v>
          </cell>
          <cell r="D263">
            <v>34</v>
          </cell>
          <cell r="E263">
            <v>-799</v>
          </cell>
        </row>
        <row r="264">
          <cell r="B264" t="str">
            <v>GUASA 1/4"</v>
          </cell>
          <cell r="D264">
            <v>170</v>
          </cell>
          <cell r="E264">
            <v>0</v>
          </cell>
        </row>
        <row r="265">
          <cell r="B265" t="str">
            <v>GUASA 1/4"</v>
          </cell>
          <cell r="D265">
            <v>170</v>
          </cell>
          <cell r="E265">
            <v>0</v>
          </cell>
        </row>
        <row r="266">
          <cell r="B266" t="str">
            <v>GUASA 1/4"</v>
          </cell>
          <cell r="D266">
            <v>425</v>
          </cell>
          <cell r="E266">
            <v>0</v>
          </cell>
        </row>
        <row r="267">
          <cell r="A267">
            <v>5114</v>
          </cell>
          <cell r="B267" t="str">
            <v>GUASA 3/16"</v>
          </cell>
          <cell r="C267">
            <v>127.5</v>
          </cell>
          <cell r="D267">
            <v>127.5</v>
          </cell>
          <cell r="E267">
            <v>-127.5</v>
          </cell>
        </row>
        <row r="268">
          <cell r="A268">
            <v>5117</v>
          </cell>
          <cell r="B268" t="str">
            <v>GUASA 3/8"</v>
          </cell>
          <cell r="C268">
            <v>1234.21</v>
          </cell>
          <cell r="D268">
            <v>40.799999999999997</v>
          </cell>
          <cell r="E268">
            <v>-1234.21</v>
          </cell>
        </row>
        <row r="269">
          <cell r="B269" t="str">
            <v>GUASA 3/8"</v>
          </cell>
          <cell r="D269">
            <v>122.41</v>
          </cell>
          <cell r="E269">
            <v>0</v>
          </cell>
        </row>
        <row r="270">
          <cell r="B270" t="str">
            <v>GUASA 3/8"</v>
          </cell>
          <cell r="D270">
            <v>102</v>
          </cell>
          <cell r="E270">
            <v>0</v>
          </cell>
        </row>
        <row r="271">
          <cell r="B271" t="str">
            <v>GUASA 3/8"</v>
          </cell>
          <cell r="D271">
            <v>306</v>
          </cell>
          <cell r="E271">
            <v>0</v>
          </cell>
        </row>
        <row r="272">
          <cell r="B272" t="str">
            <v>GUASA 3/8"</v>
          </cell>
          <cell r="D272">
            <v>122.4</v>
          </cell>
          <cell r="E272">
            <v>0</v>
          </cell>
        </row>
        <row r="273">
          <cell r="B273" t="str">
            <v>GUASA 3/8"</v>
          </cell>
          <cell r="D273">
            <v>40.799999999999997</v>
          </cell>
          <cell r="E273">
            <v>0</v>
          </cell>
        </row>
        <row r="274">
          <cell r="B274" t="str">
            <v>GUASA 3/8"</v>
          </cell>
          <cell r="D274">
            <v>163.19999999999999</v>
          </cell>
          <cell r="E274">
            <v>0</v>
          </cell>
        </row>
        <row r="275">
          <cell r="B275" t="str">
            <v>GUASA 3/8"</v>
          </cell>
          <cell r="D275">
            <v>153</v>
          </cell>
          <cell r="E275">
            <v>0</v>
          </cell>
        </row>
        <row r="276">
          <cell r="B276" t="str">
            <v>GUASA 3/8"</v>
          </cell>
          <cell r="D276">
            <v>61.2</v>
          </cell>
          <cell r="E276">
            <v>0</v>
          </cell>
        </row>
        <row r="277">
          <cell r="B277" t="str">
            <v>GUASA 3/8"</v>
          </cell>
          <cell r="D277">
            <v>122.4</v>
          </cell>
          <cell r="E277">
            <v>0</v>
          </cell>
        </row>
        <row r="278">
          <cell r="A278">
            <v>5116</v>
          </cell>
          <cell r="B278" t="str">
            <v>GUASA 5/16"</v>
          </cell>
          <cell r="C278">
            <v>204</v>
          </cell>
          <cell r="D278">
            <v>204</v>
          </cell>
          <cell r="E278">
            <v>-204</v>
          </cell>
        </row>
        <row r="279">
          <cell r="A279">
            <v>5120</v>
          </cell>
          <cell r="B279" t="str">
            <v>GUASA 5/8"</v>
          </cell>
          <cell r="C279">
            <v>2007.3799999999999</v>
          </cell>
          <cell r="D279">
            <v>936.77</v>
          </cell>
          <cell r="E279">
            <v>-2007.3799999999999</v>
          </cell>
        </row>
        <row r="280">
          <cell r="B280" t="str">
            <v>GUASA 5/8"</v>
          </cell>
          <cell r="D280">
            <v>1070.6099999999999</v>
          </cell>
          <cell r="E280">
            <v>0</v>
          </cell>
        </row>
        <row r="281">
          <cell r="A281">
            <v>2366</v>
          </cell>
          <cell r="B281" t="str">
            <v>GUAYA EN ACERO 1/8" ALMA DE YU</v>
          </cell>
          <cell r="C281">
            <v>2400</v>
          </cell>
          <cell r="D281">
            <v>2400</v>
          </cell>
          <cell r="E281">
            <v>-2400</v>
          </cell>
        </row>
        <row r="282">
          <cell r="A282">
            <v>2367</v>
          </cell>
          <cell r="B282" t="str">
            <v>GUAYA EN ACERO 3/16" ALMA DE Y</v>
          </cell>
          <cell r="C282">
            <v>3400</v>
          </cell>
          <cell r="D282">
            <v>3400</v>
          </cell>
          <cell r="E282">
            <v>-3400</v>
          </cell>
        </row>
        <row r="283">
          <cell r="A283">
            <v>2370</v>
          </cell>
          <cell r="B283" t="str">
            <v>GUAYA EN ACERO 3/8" ALMA DE YU</v>
          </cell>
          <cell r="C283">
            <v>294690.31</v>
          </cell>
          <cell r="D283">
            <v>260020.87</v>
          </cell>
          <cell r="E283">
            <v>-294690.31</v>
          </cell>
        </row>
        <row r="284">
          <cell r="B284" t="str">
            <v>GUAYA EN ACERO 3/8" ALMA DE YU</v>
          </cell>
          <cell r="D284">
            <v>34669.440000000002</v>
          </cell>
          <cell r="E284">
            <v>0</v>
          </cell>
        </row>
        <row r="285">
          <cell r="A285">
            <v>2369</v>
          </cell>
          <cell r="B285" t="str">
            <v>GUAYA EN ACERO 5/16" ALMA DE Y</v>
          </cell>
          <cell r="C285">
            <v>71955.210000000006</v>
          </cell>
          <cell r="D285">
            <v>55788.480000000003</v>
          </cell>
          <cell r="E285">
            <v>-71955.210000000006</v>
          </cell>
        </row>
        <row r="286">
          <cell r="B286" t="str">
            <v>GUAYA EN ACERO 5/16" ALMA DE Y</v>
          </cell>
          <cell r="D286">
            <v>16166.73</v>
          </cell>
          <cell r="E286">
            <v>0</v>
          </cell>
        </row>
        <row r="287">
          <cell r="A287">
            <v>40012</v>
          </cell>
          <cell r="B287" t="str">
            <v>HUATA RN 200</v>
          </cell>
          <cell r="C287">
            <v>6207</v>
          </cell>
          <cell r="D287">
            <v>6207</v>
          </cell>
          <cell r="E287">
            <v>-6207</v>
          </cell>
        </row>
        <row r="288">
          <cell r="A288">
            <v>6202</v>
          </cell>
          <cell r="B288" t="str">
            <v>INTERRUPTOR DE MULETILLA XB2-B</v>
          </cell>
          <cell r="C288">
            <v>83692.53</v>
          </cell>
          <cell r="D288">
            <v>83692.53</v>
          </cell>
          <cell r="E288">
            <v>-83692.53</v>
          </cell>
        </row>
        <row r="289">
          <cell r="A289">
            <v>70992</v>
          </cell>
          <cell r="B289" t="str">
            <v>KIT EPOXICO BRUSHABLE CERAMIC</v>
          </cell>
          <cell r="C289">
            <v>1340000</v>
          </cell>
          <cell r="D289">
            <v>1340000</v>
          </cell>
          <cell r="E289">
            <v>-1340000</v>
          </cell>
        </row>
        <row r="290">
          <cell r="A290">
            <v>105674</v>
          </cell>
          <cell r="B290" t="str">
            <v>KIT MOTOR GRACO MODELO:222-791</v>
          </cell>
          <cell r="C290">
            <v>207000</v>
          </cell>
          <cell r="D290">
            <v>207000</v>
          </cell>
          <cell r="E290">
            <v>-207000</v>
          </cell>
        </row>
        <row r="291">
          <cell r="A291">
            <v>4001</v>
          </cell>
          <cell r="B291" t="str">
            <v>KIT REPAR.CILIND.NEUMAT.2"</v>
          </cell>
          <cell r="C291">
            <v>47400</v>
          </cell>
          <cell r="D291">
            <v>47400</v>
          </cell>
          <cell r="E291">
            <v>-47400</v>
          </cell>
        </row>
        <row r="292">
          <cell r="A292">
            <v>4000</v>
          </cell>
          <cell r="B292" t="str">
            <v>KIT REPAR.CILIND.NEUMAT.4"</v>
          </cell>
          <cell r="C292">
            <v>333080</v>
          </cell>
          <cell r="D292">
            <v>333080</v>
          </cell>
          <cell r="E292">
            <v>-333080</v>
          </cell>
        </row>
        <row r="293">
          <cell r="A293">
            <v>3999</v>
          </cell>
          <cell r="B293" t="str">
            <v>KIT REPAR.CILIND.NEUMAT.5"</v>
          </cell>
          <cell r="C293">
            <v>100150</v>
          </cell>
          <cell r="D293">
            <v>100150</v>
          </cell>
          <cell r="E293">
            <v>-100150</v>
          </cell>
        </row>
        <row r="294">
          <cell r="A294">
            <v>3863</v>
          </cell>
          <cell r="B294" t="str">
            <v>LAMINA ASBESTO GRAFITADO 1/16"</v>
          </cell>
          <cell r="C294">
            <v>151270.10999999999</v>
          </cell>
          <cell r="D294">
            <v>151270.10999999999</v>
          </cell>
          <cell r="E294">
            <v>-151270.10999999999</v>
          </cell>
        </row>
        <row r="295">
          <cell r="A295">
            <v>105794</v>
          </cell>
          <cell r="B295" t="str">
            <v>LAMINA TEADIT 1/16"  REF: S121</v>
          </cell>
          <cell r="C295">
            <v>384000</v>
          </cell>
          <cell r="D295">
            <v>384000</v>
          </cell>
          <cell r="E295">
            <v>-384000</v>
          </cell>
        </row>
        <row r="296">
          <cell r="A296">
            <v>105793</v>
          </cell>
          <cell r="B296" t="str">
            <v>LAMINA TEADIT 1/32"  REF: S121</v>
          </cell>
          <cell r="C296">
            <v>207000</v>
          </cell>
          <cell r="D296">
            <v>207000</v>
          </cell>
          <cell r="E296">
            <v>-207000</v>
          </cell>
        </row>
        <row r="297">
          <cell r="A297">
            <v>2456</v>
          </cell>
          <cell r="B297" t="str">
            <v>LLANTA TRASERA 650X10</v>
          </cell>
          <cell r="C297">
            <v>554000</v>
          </cell>
          <cell r="D297">
            <v>554000</v>
          </cell>
          <cell r="E297">
            <v>-554000</v>
          </cell>
        </row>
        <row r="298">
          <cell r="A298">
            <v>43338</v>
          </cell>
          <cell r="B298" t="str">
            <v>LLAVE BRISTOL 3 MM</v>
          </cell>
          <cell r="C298">
            <v>9000</v>
          </cell>
          <cell r="D298">
            <v>9000</v>
          </cell>
          <cell r="E298">
            <v>-9000</v>
          </cell>
        </row>
        <row r="299">
          <cell r="A299">
            <v>43336</v>
          </cell>
          <cell r="B299" t="str">
            <v>LLAVE BRISTOL 3/16</v>
          </cell>
          <cell r="C299">
            <v>11000</v>
          </cell>
          <cell r="D299">
            <v>11000</v>
          </cell>
          <cell r="E299">
            <v>-11000</v>
          </cell>
        </row>
        <row r="300">
          <cell r="A300">
            <v>59042</v>
          </cell>
          <cell r="B300" t="str">
            <v>LLAVE BRISTOL 4 MM</v>
          </cell>
          <cell r="C300">
            <v>9500</v>
          </cell>
          <cell r="D300">
            <v>9500</v>
          </cell>
          <cell r="E300">
            <v>-9500</v>
          </cell>
        </row>
        <row r="301">
          <cell r="A301">
            <v>43335</v>
          </cell>
          <cell r="B301" t="str">
            <v>LLAVE BRISTOL 5/32</v>
          </cell>
          <cell r="C301">
            <v>9000</v>
          </cell>
          <cell r="D301">
            <v>9000</v>
          </cell>
          <cell r="E301">
            <v>-9000</v>
          </cell>
        </row>
        <row r="302">
          <cell r="A302">
            <v>105736</v>
          </cell>
          <cell r="B302" t="str">
            <v>LLAVE COPA BRISTOL CUADRANTE 1</v>
          </cell>
          <cell r="C302">
            <v>7974</v>
          </cell>
          <cell r="D302">
            <v>7974</v>
          </cell>
          <cell r="E302">
            <v>-7974</v>
          </cell>
        </row>
        <row r="303">
          <cell r="A303">
            <v>105737</v>
          </cell>
          <cell r="B303" t="str">
            <v>LLAVE COPA BRISTOL CUADRANTE 1</v>
          </cell>
          <cell r="C303">
            <v>8405</v>
          </cell>
          <cell r="D303">
            <v>8405</v>
          </cell>
          <cell r="E303">
            <v>-8405</v>
          </cell>
        </row>
        <row r="304">
          <cell r="A304">
            <v>105739</v>
          </cell>
          <cell r="B304" t="str">
            <v>LLAVE COPA IMPACTO DE 10-24 MM</v>
          </cell>
          <cell r="C304">
            <v>33319</v>
          </cell>
          <cell r="D304">
            <v>33319</v>
          </cell>
          <cell r="E304">
            <v>-33319</v>
          </cell>
        </row>
        <row r="305">
          <cell r="A305">
            <v>105738</v>
          </cell>
          <cell r="B305" t="str">
            <v>LLAVES COPA BRISTOL CUADRANTE</v>
          </cell>
          <cell r="C305">
            <v>50776</v>
          </cell>
          <cell r="D305">
            <v>50776</v>
          </cell>
          <cell r="E305">
            <v>-50776</v>
          </cell>
        </row>
        <row r="306">
          <cell r="A306">
            <v>5586</v>
          </cell>
          <cell r="B306" t="str">
            <v>MACHO NPT X 1/4"</v>
          </cell>
          <cell r="C306">
            <v>14500</v>
          </cell>
          <cell r="D306">
            <v>14500</v>
          </cell>
          <cell r="E306">
            <v>-14500</v>
          </cell>
        </row>
        <row r="307">
          <cell r="A307">
            <v>5585</v>
          </cell>
          <cell r="B307" t="str">
            <v>MACHO NPT X 3/8"</v>
          </cell>
          <cell r="C307">
            <v>18888</v>
          </cell>
          <cell r="D307">
            <v>18888</v>
          </cell>
          <cell r="E307">
            <v>-18888</v>
          </cell>
        </row>
        <row r="308">
          <cell r="A308">
            <v>506</v>
          </cell>
          <cell r="B308" t="str">
            <v>MANGUERA FLEXIBLE 8mm</v>
          </cell>
          <cell r="C308">
            <v>19500</v>
          </cell>
          <cell r="D308">
            <v>19500</v>
          </cell>
          <cell r="E308">
            <v>-19500</v>
          </cell>
        </row>
        <row r="309">
          <cell r="A309">
            <v>39414</v>
          </cell>
          <cell r="B309" t="str">
            <v>MANGUERA NYLON 1/2 A.R</v>
          </cell>
          <cell r="C309">
            <v>56992</v>
          </cell>
          <cell r="D309">
            <v>56992</v>
          </cell>
          <cell r="E309">
            <v>-56992</v>
          </cell>
        </row>
        <row r="310">
          <cell r="A310">
            <v>4100</v>
          </cell>
          <cell r="B310" t="str">
            <v>MANGUERA NYLON 1/4 A.R</v>
          </cell>
          <cell r="C310">
            <v>54560</v>
          </cell>
          <cell r="D310">
            <v>20460</v>
          </cell>
          <cell r="E310">
            <v>-54560</v>
          </cell>
        </row>
        <row r="311">
          <cell r="B311" t="str">
            <v>MANGUERA NYLON 1/4 A.R</v>
          </cell>
          <cell r="D311">
            <v>34100</v>
          </cell>
          <cell r="E311">
            <v>0</v>
          </cell>
        </row>
        <row r="312">
          <cell r="A312">
            <v>4102</v>
          </cell>
          <cell r="B312" t="str">
            <v>MANGUERA NYLON 3/8 A.R</v>
          </cell>
          <cell r="C312">
            <v>31285.5</v>
          </cell>
          <cell r="D312">
            <v>31285.5</v>
          </cell>
          <cell r="E312">
            <v>-31285.5</v>
          </cell>
        </row>
        <row r="313">
          <cell r="A313">
            <v>104759</v>
          </cell>
          <cell r="B313" t="str">
            <v>MANGUERA SUPERFLEX  1-1/2"</v>
          </cell>
          <cell r="C313">
            <v>25300</v>
          </cell>
          <cell r="D313">
            <v>25300</v>
          </cell>
          <cell r="E313">
            <v>-25300</v>
          </cell>
        </row>
        <row r="314">
          <cell r="A314">
            <v>5257</v>
          </cell>
          <cell r="B314" t="str">
            <v>MANGUERA SUPERFLEX 1"</v>
          </cell>
          <cell r="C314">
            <v>87500</v>
          </cell>
          <cell r="D314">
            <v>87500</v>
          </cell>
          <cell r="E314">
            <v>-87500</v>
          </cell>
        </row>
        <row r="315">
          <cell r="A315">
            <v>100</v>
          </cell>
          <cell r="B315" t="str">
            <v>MANGUERA SUPERFLEX 3/4"</v>
          </cell>
          <cell r="C315">
            <v>45000</v>
          </cell>
          <cell r="D315">
            <v>45000</v>
          </cell>
          <cell r="E315">
            <v>-45000</v>
          </cell>
        </row>
        <row r="316">
          <cell r="A316">
            <v>52307</v>
          </cell>
          <cell r="B316" t="str">
            <v>MANGUITO DE FIJACION H-310.112</v>
          </cell>
          <cell r="C316">
            <v>104800</v>
          </cell>
          <cell r="D316">
            <v>104800</v>
          </cell>
          <cell r="E316">
            <v>-104800</v>
          </cell>
        </row>
        <row r="317">
          <cell r="A317">
            <v>50650</v>
          </cell>
          <cell r="B317" t="str">
            <v>MANOMETRO 0-100 PSI, CONEXION</v>
          </cell>
          <cell r="C317">
            <v>92000</v>
          </cell>
          <cell r="D317">
            <v>92000</v>
          </cell>
          <cell r="E317">
            <v>-92000</v>
          </cell>
        </row>
        <row r="318">
          <cell r="A318">
            <v>52339</v>
          </cell>
          <cell r="B318" t="str">
            <v>MARCADOR TEXTIL FIXON D36003</v>
          </cell>
          <cell r="C318">
            <v>37461.279999999999</v>
          </cell>
          <cell r="D318">
            <v>37461.279999999999</v>
          </cell>
          <cell r="E318">
            <v>-37461.279999999999</v>
          </cell>
        </row>
        <row r="319">
          <cell r="A319">
            <v>61643</v>
          </cell>
          <cell r="B319" t="str">
            <v>MARCO PARA SEGUETA REF:601 FAC</v>
          </cell>
          <cell r="C319">
            <v>120000</v>
          </cell>
          <cell r="D319">
            <v>120000</v>
          </cell>
          <cell r="E319">
            <v>-120000</v>
          </cell>
        </row>
        <row r="320">
          <cell r="A320">
            <v>39708</v>
          </cell>
          <cell r="B320" t="str">
            <v>MEDIO PASO CADENA DOBLE P5/8"</v>
          </cell>
          <cell r="C320">
            <v>11623.52</v>
          </cell>
          <cell r="D320">
            <v>11623.52</v>
          </cell>
          <cell r="E320">
            <v>-11623.52</v>
          </cell>
        </row>
        <row r="321">
          <cell r="A321">
            <v>3172</v>
          </cell>
          <cell r="B321" t="str">
            <v>MEDIO PASO CADENA P1/2" #40</v>
          </cell>
          <cell r="C321">
            <v>17496.990000000002</v>
          </cell>
          <cell r="D321">
            <v>2499.5700000000002</v>
          </cell>
          <cell r="E321">
            <v>-17496.990000000002</v>
          </cell>
        </row>
        <row r="322">
          <cell r="B322" t="str">
            <v>MEDIO PASO CADENA P1/2" #40</v>
          </cell>
          <cell r="D322">
            <v>4999.1400000000003</v>
          </cell>
          <cell r="E322">
            <v>0</v>
          </cell>
        </row>
        <row r="323">
          <cell r="B323" t="str">
            <v>MEDIO PASO CADENA P1/2" #40</v>
          </cell>
          <cell r="D323">
            <v>9998.2800000000007</v>
          </cell>
          <cell r="E323">
            <v>0</v>
          </cell>
        </row>
        <row r="324">
          <cell r="A324">
            <v>3173</v>
          </cell>
          <cell r="B324" t="str">
            <v>MEDIO PASO CADENA P5/8" #50</v>
          </cell>
          <cell r="C324">
            <v>10200</v>
          </cell>
          <cell r="D324">
            <v>3400</v>
          </cell>
          <cell r="E324">
            <v>-10200</v>
          </cell>
        </row>
        <row r="325">
          <cell r="B325" t="str">
            <v>MEDIO PASO CADENA P5/8" #50</v>
          </cell>
          <cell r="D325">
            <v>6800</v>
          </cell>
          <cell r="E325">
            <v>0</v>
          </cell>
        </row>
        <row r="326">
          <cell r="A326">
            <v>3174</v>
          </cell>
          <cell r="B326" t="str">
            <v>MEDIO PASO PARA CADENA P3/4" #</v>
          </cell>
          <cell r="C326">
            <v>13600</v>
          </cell>
          <cell r="D326">
            <v>13600</v>
          </cell>
          <cell r="E326">
            <v>-13600</v>
          </cell>
        </row>
        <row r="327">
          <cell r="A327">
            <v>167</v>
          </cell>
          <cell r="B327" t="str">
            <v>MICROFONO UNISOUND</v>
          </cell>
          <cell r="C327">
            <v>75000</v>
          </cell>
          <cell r="D327">
            <v>75000</v>
          </cell>
          <cell r="E327">
            <v>-75000</v>
          </cell>
        </row>
        <row r="328">
          <cell r="A328">
            <v>104348</v>
          </cell>
          <cell r="B328" t="str">
            <v>MICROSWITCH TELEMECANIQUE XCK-</v>
          </cell>
          <cell r="C328">
            <v>69800</v>
          </cell>
          <cell r="D328">
            <v>69800</v>
          </cell>
          <cell r="E328">
            <v>-69800</v>
          </cell>
        </row>
        <row r="329">
          <cell r="A329">
            <v>4329</v>
          </cell>
          <cell r="B329" t="str">
            <v>NIPLE ACERO 1"X2"</v>
          </cell>
          <cell r="C329">
            <v>5920</v>
          </cell>
          <cell r="D329">
            <v>5920</v>
          </cell>
          <cell r="E329">
            <v>-5920</v>
          </cell>
        </row>
        <row r="330">
          <cell r="A330">
            <v>4336</v>
          </cell>
          <cell r="B330" t="str">
            <v>NIPLE ACERO 1"X6"</v>
          </cell>
          <cell r="C330">
            <v>6557.14</v>
          </cell>
          <cell r="D330">
            <v>6557.14</v>
          </cell>
          <cell r="E330">
            <v>-6557.14</v>
          </cell>
        </row>
        <row r="331">
          <cell r="A331">
            <v>4320</v>
          </cell>
          <cell r="B331" t="str">
            <v>NIPLE ACERO 1/2"X2"</v>
          </cell>
          <cell r="C331">
            <v>8400</v>
          </cell>
          <cell r="D331">
            <v>2800</v>
          </cell>
          <cell r="E331">
            <v>-8400</v>
          </cell>
        </row>
        <row r="332">
          <cell r="B332" t="str">
            <v>NIPLE ACERO 1/2"X2"</v>
          </cell>
          <cell r="D332">
            <v>5600</v>
          </cell>
          <cell r="E332">
            <v>0</v>
          </cell>
        </row>
        <row r="333">
          <cell r="A333">
            <v>4322</v>
          </cell>
          <cell r="B333" t="str">
            <v>NIPLE ACERO 1/2"X4"</v>
          </cell>
          <cell r="C333">
            <v>23290.17</v>
          </cell>
          <cell r="D333">
            <v>14290.17</v>
          </cell>
          <cell r="E333">
            <v>-23290.17</v>
          </cell>
        </row>
        <row r="334">
          <cell r="B334" t="str">
            <v>NIPLE ACERO 1/2"X4"</v>
          </cell>
          <cell r="D334">
            <v>1800</v>
          </cell>
          <cell r="E334">
            <v>0</v>
          </cell>
        </row>
        <row r="335">
          <cell r="B335" t="str">
            <v>NIPLE ACERO 1/2"X4"</v>
          </cell>
          <cell r="D335">
            <v>7200</v>
          </cell>
          <cell r="E335">
            <v>0</v>
          </cell>
        </row>
        <row r="336">
          <cell r="A336">
            <v>4323</v>
          </cell>
          <cell r="B336" t="str">
            <v>NIPLE ACERO 1/2"X6"</v>
          </cell>
          <cell r="C336">
            <v>5780</v>
          </cell>
          <cell r="D336">
            <v>5780</v>
          </cell>
          <cell r="E336">
            <v>-5780</v>
          </cell>
        </row>
        <row r="337">
          <cell r="A337">
            <v>4316</v>
          </cell>
          <cell r="B337" t="str">
            <v>NIPLE ACERO 1/4"X2"</v>
          </cell>
          <cell r="C337">
            <v>10020</v>
          </cell>
          <cell r="D337">
            <v>6680</v>
          </cell>
          <cell r="E337">
            <v>-10020</v>
          </cell>
        </row>
        <row r="338">
          <cell r="B338" t="str">
            <v>NIPLE ACERO 1/4"X2"</v>
          </cell>
          <cell r="D338">
            <v>3340</v>
          </cell>
          <cell r="E338">
            <v>0</v>
          </cell>
        </row>
        <row r="339">
          <cell r="A339">
            <v>4326</v>
          </cell>
          <cell r="B339" t="str">
            <v>NIPLE ACERO 3/4"X2"</v>
          </cell>
          <cell r="C339">
            <v>22800</v>
          </cell>
          <cell r="D339">
            <v>7600</v>
          </cell>
          <cell r="E339">
            <v>-22800</v>
          </cell>
        </row>
        <row r="340">
          <cell r="B340" t="str">
            <v>NIPLE ACERO 3/4"X2"</v>
          </cell>
          <cell r="D340">
            <v>11400</v>
          </cell>
          <cell r="E340">
            <v>0</v>
          </cell>
        </row>
        <row r="341">
          <cell r="B341" t="str">
            <v>NIPLE ACERO 3/4"X2"</v>
          </cell>
          <cell r="D341">
            <v>3800</v>
          </cell>
          <cell r="E341">
            <v>0</v>
          </cell>
        </row>
        <row r="342">
          <cell r="A342">
            <v>4327</v>
          </cell>
          <cell r="B342" t="str">
            <v>NIPLE ACERO 3/4"X4"</v>
          </cell>
          <cell r="C342">
            <v>17560</v>
          </cell>
          <cell r="D342">
            <v>17560</v>
          </cell>
          <cell r="E342">
            <v>-17560</v>
          </cell>
        </row>
        <row r="343">
          <cell r="A343">
            <v>105695</v>
          </cell>
          <cell r="B343" t="str">
            <v>NIPLE GALVANIZADO 4" X 5"</v>
          </cell>
          <cell r="C343">
            <v>62400</v>
          </cell>
          <cell r="D343">
            <v>62400</v>
          </cell>
          <cell r="E343">
            <v>-62400</v>
          </cell>
        </row>
        <row r="344">
          <cell r="A344">
            <v>3429</v>
          </cell>
          <cell r="B344" t="str">
            <v>O'RING VITON 15/16"</v>
          </cell>
          <cell r="C344">
            <v>45988.77</v>
          </cell>
          <cell r="D344">
            <v>45988.77</v>
          </cell>
          <cell r="E344">
            <v>-45988.77</v>
          </cell>
        </row>
        <row r="345">
          <cell r="A345">
            <v>100385</v>
          </cell>
          <cell r="B345" t="str">
            <v>PERILLA PARA POTENCIOMETRO 100</v>
          </cell>
          <cell r="C345">
            <v>1</v>
          </cell>
          <cell r="D345">
            <v>1</v>
          </cell>
          <cell r="E345">
            <v>-1</v>
          </cell>
        </row>
        <row r="346">
          <cell r="A346">
            <v>4587</v>
          </cell>
          <cell r="B346" t="str">
            <v>PERRO GALV. 1/8"</v>
          </cell>
          <cell r="C346">
            <v>2510.58</v>
          </cell>
          <cell r="D346">
            <v>2510.58</v>
          </cell>
          <cell r="E346">
            <v>-2510.58</v>
          </cell>
        </row>
        <row r="347">
          <cell r="A347">
            <v>4591</v>
          </cell>
          <cell r="B347" t="str">
            <v>PERRO GALV. 3/8"</v>
          </cell>
          <cell r="C347">
            <v>32000</v>
          </cell>
          <cell r="D347">
            <v>32000</v>
          </cell>
          <cell r="E347">
            <v>-32000</v>
          </cell>
        </row>
        <row r="348">
          <cell r="A348">
            <v>2069</v>
          </cell>
          <cell r="B348" t="str">
            <v>PIEDRA AFILAR X 05004</v>
          </cell>
          <cell r="C348">
            <v>2</v>
          </cell>
          <cell r="D348">
            <v>2</v>
          </cell>
          <cell r="E348">
            <v>-2</v>
          </cell>
        </row>
        <row r="349">
          <cell r="A349">
            <v>5273</v>
          </cell>
          <cell r="B349" t="str">
            <v>PIEDRA PARA AFILAR 6X2X1"</v>
          </cell>
          <cell r="C349">
            <v>13493.51</v>
          </cell>
          <cell r="D349">
            <v>13493.51</v>
          </cell>
          <cell r="E349">
            <v>-13493.51</v>
          </cell>
        </row>
        <row r="350">
          <cell r="A350">
            <v>5294</v>
          </cell>
          <cell r="B350" t="str">
            <v>PIN ESPIGO 10X30mm</v>
          </cell>
          <cell r="C350">
            <v>550</v>
          </cell>
          <cell r="D350">
            <v>550</v>
          </cell>
          <cell r="E350">
            <v>-550</v>
          </cell>
        </row>
        <row r="351">
          <cell r="A351">
            <v>5285</v>
          </cell>
          <cell r="B351" t="str">
            <v>PIN ESPIGO 3X30mm</v>
          </cell>
          <cell r="C351">
            <v>1496</v>
          </cell>
          <cell r="D351">
            <v>1496</v>
          </cell>
          <cell r="E351">
            <v>-1496</v>
          </cell>
        </row>
        <row r="352">
          <cell r="A352">
            <v>5286</v>
          </cell>
          <cell r="B352" t="str">
            <v>PIN ESPIGO 4X30mm</v>
          </cell>
          <cell r="C352">
            <v>1298.18</v>
          </cell>
          <cell r="D352">
            <v>1298.18</v>
          </cell>
          <cell r="E352">
            <v>-1298.18</v>
          </cell>
        </row>
        <row r="353">
          <cell r="A353">
            <v>5287</v>
          </cell>
          <cell r="B353" t="str">
            <v>PIN ESPIGO 4X40mm</v>
          </cell>
          <cell r="C353">
            <v>3315</v>
          </cell>
          <cell r="D353">
            <v>1105</v>
          </cell>
          <cell r="E353">
            <v>-3315</v>
          </cell>
        </row>
        <row r="354">
          <cell r="B354" t="str">
            <v>PIN ESPIGO 4X40mm</v>
          </cell>
          <cell r="D354">
            <v>2210</v>
          </cell>
          <cell r="E354">
            <v>0</v>
          </cell>
        </row>
        <row r="355">
          <cell r="A355">
            <v>5289</v>
          </cell>
          <cell r="B355" t="str">
            <v>PIN ESPIGO 5X30mm</v>
          </cell>
          <cell r="C355">
            <v>3102.49</v>
          </cell>
          <cell r="D355">
            <v>2068.33</v>
          </cell>
          <cell r="E355">
            <v>-3102.49</v>
          </cell>
        </row>
        <row r="356">
          <cell r="B356" t="str">
            <v>PIN ESPIGO 5X30mm</v>
          </cell>
          <cell r="D356">
            <v>1034.1600000000001</v>
          </cell>
          <cell r="E356">
            <v>0</v>
          </cell>
        </row>
        <row r="357">
          <cell r="A357">
            <v>5290</v>
          </cell>
          <cell r="B357" t="str">
            <v>PIN ESPIGO 5X40mm</v>
          </cell>
          <cell r="C357">
            <v>2762.5</v>
          </cell>
          <cell r="D357">
            <v>2210</v>
          </cell>
          <cell r="E357">
            <v>-2762.5</v>
          </cell>
        </row>
        <row r="358">
          <cell r="B358" t="str">
            <v>PIN ESPIGO 5X40mm</v>
          </cell>
          <cell r="D358">
            <v>552.5</v>
          </cell>
          <cell r="E358">
            <v>0</v>
          </cell>
        </row>
        <row r="359">
          <cell r="A359">
            <v>5292</v>
          </cell>
          <cell r="B359" t="str">
            <v>PIN ESPIGO 6X40mm</v>
          </cell>
          <cell r="C359">
            <v>1303.32</v>
          </cell>
          <cell r="D359">
            <v>651.66</v>
          </cell>
          <cell r="E359">
            <v>-1303.32</v>
          </cell>
        </row>
        <row r="360">
          <cell r="B360" t="str">
            <v>PIN ESPIGO 6X40mm</v>
          </cell>
          <cell r="D360">
            <v>651.66</v>
          </cell>
          <cell r="E360">
            <v>0</v>
          </cell>
        </row>
        <row r="361">
          <cell r="A361">
            <v>5293</v>
          </cell>
          <cell r="B361" t="str">
            <v>PIN ESPIGO 8X60mm</v>
          </cell>
          <cell r="C361">
            <v>1362.72</v>
          </cell>
          <cell r="D361">
            <v>1362.72</v>
          </cell>
          <cell r="E361">
            <v>-1362.72</v>
          </cell>
        </row>
        <row r="362">
          <cell r="A362">
            <v>3875</v>
          </cell>
          <cell r="B362" t="str">
            <v>PIN RETENEDOR A-10</v>
          </cell>
          <cell r="C362">
            <v>480</v>
          </cell>
          <cell r="D362">
            <v>160</v>
          </cell>
          <cell r="E362">
            <v>-480</v>
          </cell>
        </row>
        <row r="363">
          <cell r="B363" t="str">
            <v>PIN RETENEDOR A-10</v>
          </cell>
          <cell r="D363">
            <v>320</v>
          </cell>
          <cell r="E363">
            <v>0</v>
          </cell>
        </row>
        <row r="364">
          <cell r="A364">
            <v>3877</v>
          </cell>
          <cell r="B364" t="str">
            <v>PIN RETENEDOR A-12</v>
          </cell>
          <cell r="C364">
            <v>560</v>
          </cell>
          <cell r="D364">
            <v>560</v>
          </cell>
          <cell r="E364">
            <v>-560</v>
          </cell>
        </row>
        <row r="365">
          <cell r="A365">
            <v>3878</v>
          </cell>
          <cell r="B365" t="str">
            <v>PIN RETENEDOR A-13</v>
          </cell>
          <cell r="C365">
            <v>1600</v>
          </cell>
          <cell r="D365">
            <v>800</v>
          </cell>
          <cell r="E365">
            <v>-1600</v>
          </cell>
        </row>
        <row r="366">
          <cell r="B366" t="str">
            <v>PIN RETENEDOR A-13</v>
          </cell>
          <cell r="D366">
            <v>800</v>
          </cell>
          <cell r="E366">
            <v>0</v>
          </cell>
        </row>
        <row r="367">
          <cell r="A367">
            <v>3881</v>
          </cell>
          <cell r="B367" t="str">
            <v>PIN RETENEDOR A-16</v>
          </cell>
          <cell r="C367">
            <v>983.1</v>
          </cell>
          <cell r="D367">
            <v>393.24</v>
          </cell>
          <cell r="E367">
            <v>-983.1</v>
          </cell>
        </row>
        <row r="368">
          <cell r="B368" t="str">
            <v>PIN RETENEDOR A-16</v>
          </cell>
          <cell r="D368">
            <v>589.86</v>
          </cell>
          <cell r="E368">
            <v>0</v>
          </cell>
        </row>
        <row r="369">
          <cell r="A369">
            <v>3882</v>
          </cell>
          <cell r="B369" t="str">
            <v>PIN RETENEDOR A-17</v>
          </cell>
          <cell r="C369">
            <v>781.80000000000007</v>
          </cell>
          <cell r="D369">
            <v>312.72000000000003</v>
          </cell>
          <cell r="E369">
            <v>-781.80000000000007</v>
          </cell>
        </row>
        <row r="370">
          <cell r="B370" t="str">
            <v>PIN RETENEDOR A-17</v>
          </cell>
          <cell r="D370">
            <v>156.36000000000001</v>
          </cell>
          <cell r="E370">
            <v>0</v>
          </cell>
        </row>
        <row r="371">
          <cell r="B371" t="str">
            <v>PIN RETENEDOR A-17</v>
          </cell>
          <cell r="D371">
            <v>312.72000000000003</v>
          </cell>
          <cell r="E371">
            <v>0</v>
          </cell>
        </row>
        <row r="372">
          <cell r="A372">
            <v>3883</v>
          </cell>
          <cell r="B372" t="str">
            <v>PIN RETENEDOR A-18</v>
          </cell>
          <cell r="C372">
            <v>1245.1599999999999</v>
          </cell>
          <cell r="D372">
            <v>355.76</v>
          </cell>
          <cell r="E372">
            <v>-1245.1599999999999</v>
          </cell>
        </row>
        <row r="373">
          <cell r="B373" t="str">
            <v>PIN RETENEDOR A-18</v>
          </cell>
          <cell r="D373">
            <v>711.52</v>
          </cell>
          <cell r="E373">
            <v>0</v>
          </cell>
        </row>
        <row r="374">
          <cell r="B374" t="str">
            <v>PIN RETENEDOR A-18</v>
          </cell>
          <cell r="D374">
            <v>177.88</v>
          </cell>
          <cell r="E374">
            <v>0</v>
          </cell>
        </row>
        <row r="375">
          <cell r="A375">
            <v>3884</v>
          </cell>
          <cell r="B375" t="str">
            <v>PIN RETENEDOR A-19</v>
          </cell>
          <cell r="C375">
            <v>480</v>
          </cell>
          <cell r="D375">
            <v>480</v>
          </cell>
          <cell r="E375">
            <v>-480</v>
          </cell>
        </row>
        <row r="376">
          <cell r="A376">
            <v>3885</v>
          </cell>
          <cell r="B376" t="str">
            <v>PIN RETENEDOR A-20</v>
          </cell>
          <cell r="C376">
            <v>2160</v>
          </cell>
          <cell r="D376">
            <v>540</v>
          </cell>
          <cell r="E376">
            <v>-2160</v>
          </cell>
        </row>
        <row r="377">
          <cell r="B377" t="str">
            <v>PIN RETENEDOR A-20</v>
          </cell>
          <cell r="D377">
            <v>1080</v>
          </cell>
          <cell r="E377">
            <v>0</v>
          </cell>
        </row>
        <row r="378">
          <cell r="B378" t="str">
            <v>PIN RETENEDOR A-20</v>
          </cell>
          <cell r="D378">
            <v>540</v>
          </cell>
          <cell r="E378">
            <v>0</v>
          </cell>
        </row>
        <row r="379">
          <cell r="A379">
            <v>3889</v>
          </cell>
          <cell r="B379" t="str">
            <v>PIN RETENEDOR A-25</v>
          </cell>
          <cell r="C379">
            <v>900</v>
          </cell>
          <cell r="D379">
            <v>450</v>
          </cell>
          <cell r="E379">
            <v>-900</v>
          </cell>
        </row>
        <row r="380">
          <cell r="B380" t="str">
            <v>PIN RETENEDOR A-25</v>
          </cell>
          <cell r="D380">
            <v>450</v>
          </cell>
          <cell r="E380">
            <v>0</v>
          </cell>
        </row>
        <row r="381">
          <cell r="A381">
            <v>3891</v>
          </cell>
          <cell r="B381" t="str">
            <v>PIN RETENEDOR A-27</v>
          </cell>
          <cell r="C381">
            <v>273.60000000000002</v>
          </cell>
          <cell r="D381">
            <v>273.60000000000002</v>
          </cell>
          <cell r="E381">
            <v>-273.60000000000002</v>
          </cell>
        </row>
        <row r="382">
          <cell r="A382">
            <v>3892</v>
          </cell>
          <cell r="B382" t="str">
            <v>PIN RETENEDOR A-28</v>
          </cell>
          <cell r="C382">
            <v>840</v>
          </cell>
          <cell r="D382">
            <v>840</v>
          </cell>
          <cell r="E382">
            <v>-840</v>
          </cell>
        </row>
        <row r="383">
          <cell r="A383">
            <v>3893</v>
          </cell>
          <cell r="B383" t="str">
            <v>PIN RETENEDOR A-30</v>
          </cell>
          <cell r="C383">
            <v>2940</v>
          </cell>
          <cell r="D383">
            <v>2940</v>
          </cell>
          <cell r="E383">
            <v>-2940</v>
          </cell>
        </row>
        <row r="384">
          <cell r="A384">
            <v>3896</v>
          </cell>
          <cell r="B384" t="str">
            <v>PIN RETENEDOR A-35</v>
          </cell>
          <cell r="C384">
            <v>519.52</v>
          </cell>
          <cell r="D384">
            <v>519.52</v>
          </cell>
          <cell r="E384">
            <v>-519.52</v>
          </cell>
        </row>
        <row r="385">
          <cell r="A385">
            <v>3901</v>
          </cell>
          <cell r="B385" t="str">
            <v>PIN RETENEDOR A-40</v>
          </cell>
          <cell r="C385">
            <v>1469.79</v>
          </cell>
          <cell r="D385">
            <v>1469.79</v>
          </cell>
          <cell r="E385">
            <v>-1469.79</v>
          </cell>
        </row>
        <row r="386">
          <cell r="A386">
            <v>3902</v>
          </cell>
          <cell r="B386" t="str">
            <v>PIN RETENEDOR A-42</v>
          </cell>
          <cell r="C386">
            <v>1483.33</v>
          </cell>
          <cell r="D386">
            <v>1483.33</v>
          </cell>
          <cell r="E386">
            <v>-1483.33</v>
          </cell>
        </row>
        <row r="387">
          <cell r="A387">
            <v>3904</v>
          </cell>
          <cell r="B387" t="str">
            <v>PIN RETENEDOR A-45</v>
          </cell>
          <cell r="C387">
            <v>4800</v>
          </cell>
          <cell r="D387">
            <v>1600</v>
          </cell>
          <cell r="E387">
            <v>-4800</v>
          </cell>
        </row>
        <row r="388">
          <cell r="B388" t="str">
            <v>PIN RETENEDOR A-45</v>
          </cell>
          <cell r="D388">
            <v>3200</v>
          </cell>
          <cell r="E388">
            <v>0</v>
          </cell>
        </row>
        <row r="389">
          <cell r="A389">
            <v>3930</v>
          </cell>
          <cell r="B389" t="str">
            <v>PIN RETENEDOR I-28</v>
          </cell>
          <cell r="C389">
            <v>700</v>
          </cell>
          <cell r="D389">
            <v>700</v>
          </cell>
          <cell r="E389">
            <v>-700</v>
          </cell>
        </row>
        <row r="390">
          <cell r="A390">
            <v>3933</v>
          </cell>
          <cell r="B390" t="str">
            <v>PIN RETENEDOR I-32</v>
          </cell>
          <cell r="C390">
            <v>515</v>
          </cell>
          <cell r="D390">
            <v>515</v>
          </cell>
          <cell r="E390">
            <v>-515</v>
          </cell>
        </row>
        <row r="391">
          <cell r="A391">
            <v>3936</v>
          </cell>
          <cell r="B391" t="str">
            <v>PIN RETENEDOR I-35</v>
          </cell>
          <cell r="C391">
            <v>1274.28</v>
          </cell>
          <cell r="D391">
            <v>1274.28</v>
          </cell>
          <cell r="E391">
            <v>-1274.28</v>
          </cell>
        </row>
        <row r="392">
          <cell r="A392">
            <v>42673</v>
          </cell>
          <cell r="B392" t="str">
            <v>PIN RETENEDOR I-72</v>
          </cell>
          <cell r="C392">
            <v>3400</v>
          </cell>
          <cell r="D392">
            <v>3400</v>
          </cell>
          <cell r="E392">
            <v>-3400</v>
          </cell>
        </row>
        <row r="393">
          <cell r="A393">
            <v>48954</v>
          </cell>
          <cell r="B393" t="str">
            <v>PIN RETENEDOR I-80</v>
          </cell>
          <cell r="C393">
            <v>6103.55</v>
          </cell>
          <cell r="D393">
            <v>6103.55</v>
          </cell>
          <cell r="E393">
            <v>-6103.55</v>
          </cell>
        </row>
        <row r="394">
          <cell r="A394">
            <v>3959</v>
          </cell>
          <cell r="B394" t="str">
            <v>PIN RETENEDOR I-90</v>
          </cell>
          <cell r="C394">
            <v>3060</v>
          </cell>
          <cell r="D394">
            <v>3060</v>
          </cell>
          <cell r="E394">
            <v>-3060</v>
          </cell>
        </row>
        <row r="395">
          <cell r="A395">
            <v>3155</v>
          </cell>
          <cell r="B395" t="str">
            <v>PINON 50B23</v>
          </cell>
          <cell r="C395">
            <v>38300</v>
          </cell>
          <cell r="D395">
            <v>38300</v>
          </cell>
          <cell r="E395">
            <v>-38300</v>
          </cell>
        </row>
        <row r="396">
          <cell r="A396">
            <v>105540</v>
          </cell>
          <cell r="B396" t="str">
            <v>PINON 60 B 18 DOBLE</v>
          </cell>
          <cell r="C396">
            <v>153000</v>
          </cell>
          <cell r="D396">
            <v>153000</v>
          </cell>
          <cell r="E396">
            <v>-153000</v>
          </cell>
        </row>
        <row r="397">
          <cell r="A397">
            <v>57523</v>
          </cell>
          <cell r="B397" t="str">
            <v>PLATINA COBRE   1.1/2"X3/8"</v>
          </cell>
          <cell r="C397">
            <v>292500</v>
          </cell>
          <cell r="D397">
            <v>292500</v>
          </cell>
          <cell r="E397">
            <v>-292500</v>
          </cell>
        </row>
        <row r="398">
          <cell r="A398">
            <v>105755</v>
          </cell>
          <cell r="B398" t="str">
            <v>PLATINA COBRE 1.1/4" X 3/8 "</v>
          </cell>
          <cell r="C398">
            <v>56000</v>
          </cell>
          <cell r="D398">
            <v>56000</v>
          </cell>
          <cell r="E398">
            <v>-56000</v>
          </cell>
        </row>
        <row r="399">
          <cell r="A399">
            <v>4657</v>
          </cell>
          <cell r="B399" t="str">
            <v>PLATINA H.R 2"X3/8"</v>
          </cell>
          <cell r="C399">
            <v>43000</v>
          </cell>
          <cell r="D399">
            <v>43000</v>
          </cell>
          <cell r="E399">
            <v>-43000</v>
          </cell>
        </row>
        <row r="400">
          <cell r="A400">
            <v>6284</v>
          </cell>
          <cell r="B400" t="str">
            <v>PLATINA H.R. 1"X3/8"</v>
          </cell>
          <cell r="C400">
            <v>19900</v>
          </cell>
          <cell r="D400">
            <v>19900</v>
          </cell>
          <cell r="E400">
            <v>-19900</v>
          </cell>
        </row>
        <row r="401">
          <cell r="A401">
            <v>51207</v>
          </cell>
          <cell r="B401" t="str">
            <v>POTENCIOMETRO DE 2200 OHMIOS,</v>
          </cell>
          <cell r="C401">
            <v>193826.51</v>
          </cell>
          <cell r="D401">
            <v>193826.51</v>
          </cell>
          <cell r="E401">
            <v>-193826.51</v>
          </cell>
        </row>
        <row r="402">
          <cell r="A402">
            <v>102426</v>
          </cell>
          <cell r="B402" t="str">
            <v>PT-100 1/4" X 3/4" NPT X 18" 4</v>
          </cell>
          <cell r="C402">
            <v>0</v>
          </cell>
          <cell r="D402">
            <v>0</v>
          </cell>
          <cell r="E402">
            <v>0</v>
          </cell>
        </row>
        <row r="403">
          <cell r="A403">
            <v>6900</v>
          </cell>
          <cell r="B403" t="str">
            <v>PUENTE RECTIFICADOR NTE 5328 -</v>
          </cell>
          <cell r="C403">
            <v>47825</v>
          </cell>
          <cell r="D403">
            <v>47825</v>
          </cell>
          <cell r="E403">
            <v>-47825</v>
          </cell>
        </row>
        <row r="404">
          <cell r="A404">
            <v>4074</v>
          </cell>
          <cell r="B404" t="str">
            <v>RACOR CODO 1/4NPT-1/4A.R</v>
          </cell>
          <cell r="C404">
            <v>29804</v>
          </cell>
          <cell r="D404">
            <v>7451</v>
          </cell>
          <cell r="E404">
            <v>-29804</v>
          </cell>
        </row>
        <row r="405">
          <cell r="B405" t="str">
            <v>RACOR CODO 1/4NPT-1/4A.R</v>
          </cell>
          <cell r="D405">
            <v>22353</v>
          </cell>
          <cell r="E405">
            <v>0</v>
          </cell>
        </row>
        <row r="406">
          <cell r="A406">
            <v>4075</v>
          </cell>
          <cell r="B406" t="str">
            <v>RACOR CODO 1/4NPT-3/8A.R</v>
          </cell>
          <cell r="C406">
            <v>54750</v>
          </cell>
          <cell r="D406">
            <v>32850</v>
          </cell>
          <cell r="E406">
            <v>-54750</v>
          </cell>
        </row>
        <row r="407">
          <cell r="B407" t="str">
            <v>RACOR CODO 1/4NPT-3/8A.R</v>
          </cell>
          <cell r="D407">
            <v>21900</v>
          </cell>
          <cell r="E407">
            <v>0</v>
          </cell>
        </row>
        <row r="408">
          <cell r="A408">
            <v>4073</v>
          </cell>
          <cell r="B408" t="str">
            <v>RACOR CODO 1/8NPT-1/4A.R</v>
          </cell>
          <cell r="C408">
            <v>13238.22</v>
          </cell>
          <cell r="D408">
            <v>13238.22</v>
          </cell>
          <cell r="E408">
            <v>-13238.22</v>
          </cell>
        </row>
        <row r="409">
          <cell r="A409">
            <v>4069</v>
          </cell>
          <cell r="B409" t="str">
            <v>RACOR RECTO 1/4NPT-1/4A.R</v>
          </cell>
          <cell r="C409">
            <v>26000</v>
          </cell>
          <cell r="D409">
            <v>10400</v>
          </cell>
          <cell r="E409">
            <v>-26000</v>
          </cell>
        </row>
        <row r="410">
          <cell r="B410" t="str">
            <v>RACOR RECTO 1/4NPT-1/4A.R</v>
          </cell>
          <cell r="D410">
            <v>15600</v>
          </cell>
          <cell r="E410">
            <v>0</v>
          </cell>
        </row>
        <row r="411">
          <cell r="A411">
            <v>4070</v>
          </cell>
          <cell r="B411" t="str">
            <v>RACOR RECTO 1/4NPT-3/8A.R</v>
          </cell>
          <cell r="C411">
            <v>23424</v>
          </cell>
          <cell r="D411">
            <v>23424</v>
          </cell>
          <cell r="E411">
            <v>-23424</v>
          </cell>
        </row>
        <row r="412">
          <cell r="A412">
            <v>4068</v>
          </cell>
          <cell r="B412" t="str">
            <v>RACOR RECTO 1/8NPT-1/4A.R</v>
          </cell>
          <cell r="C412">
            <v>4976.1099999999997</v>
          </cell>
          <cell r="D412">
            <v>4976.1099999999997</v>
          </cell>
          <cell r="E412">
            <v>-4976.1099999999997</v>
          </cell>
        </row>
        <row r="413">
          <cell r="A413">
            <v>4079</v>
          </cell>
          <cell r="B413" t="str">
            <v>RACOR TEE 1/4 A.R</v>
          </cell>
          <cell r="C413">
            <v>9874</v>
          </cell>
          <cell r="D413">
            <v>9874</v>
          </cell>
          <cell r="E413">
            <v>-9874</v>
          </cell>
        </row>
        <row r="414">
          <cell r="A414">
            <v>51770</v>
          </cell>
          <cell r="B414" t="str">
            <v>RACOR UNION 1/2 A.R</v>
          </cell>
          <cell r="C414">
            <v>14182</v>
          </cell>
          <cell r="D414">
            <v>14182</v>
          </cell>
          <cell r="E414">
            <v>-14182</v>
          </cell>
        </row>
        <row r="415">
          <cell r="A415">
            <v>4077</v>
          </cell>
          <cell r="B415" t="str">
            <v>RACOR UNION 1/4 A.R</v>
          </cell>
          <cell r="C415">
            <v>13300</v>
          </cell>
          <cell r="D415">
            <v>13300</v>
          </cell>
          <cell r="E415">
            <v>-13300</v>
          </cell>
        </row>
        <row r="416">
          <cell r="A416">
            <v>101590</v>
          </cell>
          <cell r="B416" t="str">
            <v>REDUCCION ERMH-21</v>
          </cell>
          <cell r="C416">
            <v>8775</v>
          </cell>
          <cell r="D416">
            <v>8775</v>
          </cell>
          <cell r="E416">
            <v>-8775</v>
          </cell>
        </row>
        <row r="417">
          <cell r="A417">
            <v>4421</v>
          </cell>
          <cell r="B417" t="str">
            <v>REFLEX XUZ-C80 T.M. CENTRADOR</v>
          </cell>
          <cell r="C417">
            <v>28859.72</v>
          </cell>
          <cell r="D417">
            <v>28859.72</v>
          </cell>
          <cell r="E417">
            <v>-28859.72</v>
          </cell>
        </row>
        <row r="418">
          <cell r="A418">
            <v>6687</v>
          </cell>
          <cell r="B418" t="str">
            <v>RELEVO 11 PATAS 110V AC SIN BA</v>
          </cell>
          <cell r="C418">
            <v>70000</v>
          </cell>
          <cell r="D418">
            <v>70000</v>
          </cell>
          <cell r="E418">
            <v>-70000</v>
          </cell>
        </row>
        <row r="419">
          <cell r="A419">
            <v>51216</v>
          </cell>
          <cell r="B419" t="str">
            <v>RELEVO REFERENCIA RS8536 CONTA</v>
          </cell>
          <cell r="C419">
            <v>66579.460000000006</v>
          </cell>
          <cell r="D419">
            <v>66579.460000000006</v>
          </cell>
          <cell r="E419">
            <v>-66579.460000000006</v>
          </cell>
        </row>
        <row r="420">
          <cell r="A420">
            <v>5305</v>
          </cell>
          <cell r="B420" t="str">
            <v>REMACHE POP 1/8"X1/2"</v>
          </cell>
          <cell r="C420">
            <v>1190</v>
          </cell>
          <cell r="D420">
            <v>297.5</v>
          </cell>
          <cell r="E420">
            <v>-1190</v>
          </cell>
        </row>
        <row r="421">
          <cell r="B421" t="str">
            <v>REMACHE POP 1/8"X1/2"</v>
          </cell>
          <cell r="D421">
            <v>892.5</v>
          </cell>
          <cell r="E421">
            <v>0</v>
          </cell>
        </row>
        <row r="422">
          <cell r="A422">
            <v>5304</v>
          </cell>
          <cell r="B422" t="str">
            <v>REMACHE POP 1/8"X1/4"</v>
          </cell>
          <cell r="C422">
            <v>8925</v>
          </cell>
          <cell r="D422">
            <v>8925</v>
          </cell>
          <cell r="E422">
            <v>-8925</v>
          </cell>
        </row>
        <row r="423">
          <cell r="A423">
            <v>5306</v>
          </cell>
          <cell r="B423" t="str">
            <v>REMACHE POP 3/16"X1/2"</v>
          </cell>
          <cell r="C423">
            <v>1275</v>
          </cell>
          <cell r="D423">
            <v>850</v>
          </cell>
          <cell r="E423">
            <v>-1275</v>
          </cell>
        </row>
        <row r="424">
          <cell r="B424" t="str">
            <v>REMACHE POP 3/16"X1/2"</v>
          </cell>
          <cell r="D424">
            <v>425</v>
          </cell>
          <cell r="E424">
            <v>0</v>
          </cell>
        </row>
        <row r="425">
          <cell r="A425">
            <v>5307</v>
          </cell>
          <cell r="B425" t="str">
            <v>REMACHE POP 3/16"X5/8"</v>
          </cell>
          <cell r="C425">
            <v>508.51</v>
          </cell>
          <cell r="D425">
            <v>508.51</v>
          </cell>
          <cell r="E425">
            <v>-508.51</v>
          </cell>
        </row>
        <row r="426">
          <cell r="A426">
            <v>61827</v>
          </cell>
          <cell r="B426" t="str">
            <v>REMATE</v>
          </cell>
          <cell r="C426">
            <v>75000</v>
          </cell>
          <cell r="D426">
            <v>75000</v>
          </cell>
          <cell r="E426">
            <v>-75000</v>
          </cell>
        </row>
        <row r="427">
          <cell r="A427">
            <v>3450</v>
          </cell>
          <cell r="B427" t="str">
            <v>RETENEDOR CAUCHO 15X24X7</v>
          </cell>
          <cell r="C427">
            <v>4800</v>
          </cell>
          <cell r="D427">
            <v>4800</v>
          </cell>
          <cell r="E427">
            <v>-4800</v>
          </cell>
        </row>
        <row r="428">
          <cell r="A428">
            <v>3456</v>
          </cell>
          <cell r="B428" t="str">
            <v>RETENEDOR CAUCHO 17X28X7.</v>
          </cell>
          <cell r="C428">
            <v>12500</v>
          </cell>
          <cell r="D428">
            <v>12500</v>
          </cell>
          <cell r="E428">
            <v>-12500</v>
          </cell>
        </row>
        <row r="429">
          <cell r="A429">
            <v>52117</v>
          </cell>
          <cell r="B429" t="str">
            <v>RETENEDOR CAUCHO 20X47X8</v>
          </cell>
          <cell r="C429">
            <v>4690.8999999999996</v>
          </cell>
          <cell r="D429">
            <v>4690.8999999999996</v>
          </cell>
          <cell r="E429">
            <v>-4690.8999999999996</v>
          </cell>
        </row>
        <row r="430">
          <cell r="A430">
            <v>3482</v>
          </cell>
          <cell r="B430" t="str">
            <v>RETENEDOR CAUCHO 25X35X7</v>
          </cell>
          <cell r="C430">
            <v>6673.21</v>
          </cell>
          <cell r="D430">
            <v>6673.21</v>
          </cell>
          <cell r="E430">
            <v>-6673.21</v>
          </cell>
        </row>
        <row r="431">
          <cell r="A431">
            <v>3492</v>
          </cell>
          <cell r="B431" t="str">
            <v>RETENEDOR CAUCHO 25X50X10</v>
          </cell>
          <cell r="C431">
            <v>8064</v>
          </cell>
          <cell r="D431">
            <v>8064</v>
          </cell>
          <cell r="E431">
            <v>-8064</v>
          </cell>
        </row>
        <row r="432">
          <cell r="A432">
            <v>3520</v>
          </cell>
          <cell r="B432" t="str">
            <v>RETENEDOR CAUCHO 35X52X10</v>
          </cell>
          <cell r="C432">
            <v>4680</v>
          </cell>
          <cell r="D432">
            <v>4680</v>
          </cell>
          <cell r="E432">
            <v>-4680</v>
          </cell>
        </row>
        <row r="433">
          <cell r="A433">
            <v>3535</v>
          </cell>
          <cell r="B433" t="str">
            <v>RETENEDOR CAUCHO 40X80X10</v>
          </cell>
          <cell r="C433">
            <v>12009.49</v>
          </cell>
          <cell r="D433">
            <v>12009.49</v>
          </cell>
          <cell r="E433">
            <v>-12009.49</v>
          </cell>
        </row>
        <row r="434">
          <cell r="A434">
            <v>47735</v>
          </cell>
          <cell r="B434" t="str">
            <v>RETENEDOR CAUCHO 48X72X8</v>
          </cell>
          <cell r="C434">
            <v>6600</v>
          </cell>
          <cell r="D434">
            <v>6600</v>
          </cell>
          <cell r="E434">
            <v>-6600</v>
          </cell>
        </row>
        <row r="435">
          <cell r="A435">
            <v>105687</v>
          </cell>
          <cell r="B435" t="str">
            <v>RETENEDOR CAUCHO 52 X 68 X 12</v>
          </cell>
          <cell r="C435">
            <v>8000</v>
          </cell>
          <cell r="D435">
            <v>8000</v>
          </cell>
          <cell r="E435">
            <v>-8000</v>
          </cell>
        </row>
        <row r="436">
          <cell r="A436">
            <v>2112</v>
          </cell>
          <cell r="B436" t="str">
            <v>ROD.CAUCHO HALADOR TELA B-0837</v>
          </cell>
          <cell r="C436">
            <v>40000</v>
          </cell>
          <cell r="D436">
            <v>40000</v>
          </cell>
          <cell r="E436">
            <v>-40000</v>
          </cell>
        </row>
        <row r="437">
          <cell r="A437">
            <v>38360</v>
          </cell>
          <cell r="B437" t="str">
            <v>RODAMIENTO 1210 K C3</v>
          </cell>
          <cell r="C437">
            <v>42638.18</v>
          </cell>
          <cell r="D437">
            <v>42638.18</v>
          </cell>
          <cell r="E437">
            <v>-42638.18</v>
          </cell>
        </row>
        <row r="438">
          <cell r="A438">
            <v>48274</v>
          </cell>
          <cell r="B438" t="str">
            <v>RODAMIENTO 1218 K C3</v>
          </cell>
          <cell r="C438">
            <v>218766.66</v>
          </cell>
          <cell r="D438">
            <v>218766.66</v>
          </cell>
          <cell r="E438">
            <v>-218766.66</v>
          </cell>
        </row>
        <row r="439">
          <cell r="A439">
            <v>38263</v>
          </cell>
          <cell r="B439" t="str">
            <v>RODAMIENTO 12580/20</v>
          </cell>
          <cell r="C439">
            <v>79533.33</v>
          </cell>
          <cell r="D439">
            <v>79533.33</v>
          </cell>
          <cell r="E439">
            <v>-79533.33</v>
          </cell>
        </row>
        <row r="440">
          <cell r="A440">
            <v>38353</v>
          </cell>
          <cell r="B440" t="str">
            <v>RODAMIENTO 1309 K</v>
          </cell>
          <cell r="C440">
            <v>247973.33</v>
          </cell>
          <cell r="D440">
            <v>247973.33</v>
          </cell>
          <cell r="E440">
            <v>-247973.33</v>
          </cell>
        </row>
        <row r="441">
          <cell r="A441">
            <v>42412</v>
          </cell>
          <cell r="B441" t="str">
            <v>RODAMIENTO 1310 K</v>
          </cell>
          <cell r="C441">
            <v>536996.81000000006</v>
          </cell>
          <cell r="D441">
            <v>536996.81000000006</v>
          </cell>
          <cell r="E441">
            <v>-536996.81000000006</v>
          </cell>
        </row>
        <row r="442">
          <cell r="A442">
            <v>38344</v>
          </cell>
          <cell r="B442" t="str">
            <v>RODAMIENTO 2206 C3</v>
          </cell>
          <cell r="C442">
            <v>115600</v>
          </cell>
          <cell r="D442">
            <v>115600</v>
          </cell>
          <cell r="E442">
            <v>-115600</v>
          </cell>
        </row>
        <row r="443">
          <cell r="A443">
            <v>45416</v>
          </cell>
          <cell r="B443" t="str">
            <v>RODAMIENTO 2208 K</v>
          </cell>
          <cell r="C443">
            <v>144800</v>
          </cell>
          <cell r="D443">
            <v>144800</v>
          </cell>
          <cell r="E443">
            <v>-144800</v>
          </cell>
        </row>
        <row r="444">
          <cell r="A444">
            <v>38357</v>
          </cell>
          <cell r="B444" t="str">
            <v>RODAMIENTO 2210 K C3</v>
          </cell>
          <cell r="C444">
            <v>197000</v>
          </cell>
          <cell r="D444">
            <v>197000</v>
          </cell>
          <cell r="E444">
            <v>-197000</v>
          </cell>
        </row>
        <row r="445">
          <cell r="A445">
            <v>58723</v>
          </cell>
          <cell r="B445" t="str">
            <v>RODAMIENTO 22208 K</v>
          </cell>
          <cell r="C445">
            <v>330000</v>
          </cell>
          <cell r="D445">
            <v>330000</v>
          </cell>
          <cell r="E445">
            <v>-330000</v>
          </cell>
        </row>
        <row r="446">
          <cell r="A446">
            <v>38416</v>
          </cell>
          <cell r="B446" t="str">
            <v>RODAMIENTO 22209 C3</v>
          </cell>
          <cell r="C446">
            <v>410000</v>
          </cell>
          <cell r="D446">
            <v>410000</v>
          </cell>
          <cell r="E446">
            <v>-410000</v>
          </cell>
        </row>
        <row r="447">
          <cell r="A447">
            <v>51439</v>
          </cell>
          <cell r="B447" t="str">
            <v>RODAMIENTO 22209 CK</v>
          </cell>
          <cell r="C447">
            <v>410000</v>
          </cell>
          <cell r="D447">
            <v>410000</v>
          </cell>
          <cell r="E447">
            <v>-410000</v>
          </cell>
        </row>
        <row r="448">
          <cell r="A448">
            <v>38424</v>
          </cell>
          <cell r="B448" t="str">
            <v>RODAMIENTO 23024 CCK/W33</v>
          </cell>
          <cell r="C448">
            <v>1285200</v>
          </cell>
          <cell r="D448">
            <v>1285200</v>
          </cell>
          <cell r="E448">
            <v>-1285200</v>
          </cell>
        </row>
        <row r="449">
          <cell r="A449">
            <v>30685</v>
          </cell>
          <cell r="B449" t="str">
            <v>RODAMIENTO 51104</v>
          </cell>
          <cell r="C449">
            <v>23766.66</v>
          </cell>
          <cell r="D449">
            <v>23766.66</v>
          </cell>
          <cell r="E449">
            <v>-23766.66</v>
          </cell>
        </row>
        <row r="450">
          <cell r="A450">
            <v>38431</v>
          </cell>
          <cell r="B450" t="str">
            <v>RODAMIENTO 51108</v>
          </cell>
          <cell r="C450">
            <v>83584</v>
          </cell>
          <cell r="D450">
            <v>83584</v>
          </cell>
          <cell r="E450">
            <v>-83584</v>
          </cell>
        </row>
        <row r="451">
          <cell r="A451">
            <v>52392</v>
          </cell>
          <cell r="B451" t="str">
            <v>RODAMIENTO 51110</v>
          </cell>
          <cell r="C451">
            <v>117000</v>
          </cell>
          <cell r="D451">
            <v>117000</v>
          </cell>
          <cell r="E451">
            <v>-117000</v>
          </cell>
        </row>
        <row r="452">
          <cell r="A452">
            <v>38275</v>
          </cell>
          <cell r="B452" t="str">
            <v>RODAMIENTO 6001 2Z</v>
          </cell>
          <cell r="C452">
            <v>12867.25</v>
          </cell>
          <cell r="D452">
            <v>12867.25</v>
          </cell>
          <cell r="E452">
            <v>-12867.25</v>
          </cell>
        </row>
        <row r="453">
          <cell r="A453">
            <v>38276</v>
          </cell>
          <cell r="B453" t="str">
            <v>RODAMIENTO 6002 2Z</v>
          </cell>
          <cell r="C453">
            <v>33882.33</v>
          </cell>
          <cell r="D453">
            <v>22588.22</v>
          </cell>
          <cell r="E453">
            <v>-33882.33</v>
          </cell>
        </row>
        <row r="454">
          <cell r="B454" t="str">
            <v>RODAMIENTO 6002 2Z</v>
          </cell>
          <cell r="D454">
            <v>11294.11</v>
          </cell>
          <cell r="E454">
            <v>0</v>
          </cell>
        </row>
        <row r="455">
          <cell r="A455">
            <v>38277</v>
          </cell>
          <cell r="B455" t="str">
            <v>RODAMIENTO 6003 2Z C3</v>
          </cell>
          <cell r="C455">
            <v>106372.02</v>
          </cell>
          <cell r="D455">
            <v>106372.02</v>
          </cell>
          <cell r="E455">
            <v>-106372.02</v>
          </cell>
        </row>
        <row r="456">
          <cell r="A456">
            <v>38278</v>
          </cell>
          <cell r="B456" t="str">
            <v>RODAMIENTO 6004 2Z C3</v>
          </cell>
          <cell r="C456">
            <v>123500</v>
          </cell>
          <cell r="D456">
            <v>28500</v>
          </cell>
          <cell r="E456">
            <v>-123500</v>
          </cell>
        </row>
        <row r="457">
          <cell r="B457" t="str">
            <v>RODAMIENTO 6004 2Z C3</v>
          </cell>
          <cell r="D457">
            <v>19000</v>
          </cell>
          <cell r="E457">
            <v>0</v>
          </cell>
        </row>
        <row r="458">
          <cell r="B458" t="str">
            <v>RODAMIENTO 6004 2Z C3</v>
          </cell>
          <cell r="D458">
            <v>19000</v>
          </cell>
          <cell r="E458">
            <v>0</v>
          </cell>
        </row>
        <row r="459">
          <cell r="B459" t="str">
            <v>RODAMIENTO 6004 2Z C3</v>
          </cell>
          <cell r="D459">
            <v>57000</v>
          </cell>
          <cell r="E459">
            <v>0</v>
          </cell>
        </row>
        <row r="460">
          <cell r="A460">
            <v>38279</v>
          </cell>
          <cell r="B460" t="str">
            <v>RODAMIENTO 6005 2Z C3</v>
          </cell>
          <cell r="C460">
            <v>75518.299999999988</v>
          </cell>
          <cell r="D460">
            <v>7551.83</v>
          </cell>
          <cell r="E460">
            <v>-75518.299999999988</v>
          </cell>
        </row>
        <row r="461">
          <cell r="B461" t="str">
            <v>RODAMIENTO 6005 2Z C3</v>
          </cell>
          <cell r="D461">
            <v>15103.66</v>
          </cell>
          <cell r="E461">
            <v>0</v>
          </cell>
        </row>
        <row r="462">
          <cell r="B462" t="str">
            <v>RODAMIENTO 6005 2Z C3</v>
          </cell>
          <cell r="D462">
            <v>15103.66</v>
          </cell>
          <cell r="E462">
            <v>0</v>
          </cell>
        </row>
        <row r="463">
          <cell r="B463" t="str">
            <v>RODAMIENTO 6005 2Z C3</v>
          </cell>
          <cell r="D463">
            <v>37759.15</v>
          </cell>
          <cell r="E463">
            <v>0</v>
          </cell>
        </row>
        <row r="464">
          <cell r="A464">
            <v>38280</v>
          </cell>
          <cell r="B464" t="str">
            <v>RODAMIENTO 6006 2Z C3</v>
          </cell>
          <cell r="C464">
            <v>80685.710000000006</v>
          </cell>
          <cell r="D464">
            <v>80685.710000000006</v>
          </cell>
          <cell r="E464">
            <v>-80685.710000000006</v>
          </cell>
        </row>
        <row r="465">
          <cell r="A465">
            <v>38281</v>
          </cell>
          <cell r="B465" t="str">
            <v>RODAMIENTO 6007 2Z C3</v>
          </cell>
          <cell r="C465">
            <v>22200</v>
          </cell>
          <cell r="D465">
            <v>22200</v>
          </cell>
          <cell r="E465">
            <v>-22200</v>
          </cell>
        </row>
        <row r="466">
          <cell r="A466">
            <v>38282</v>
          </cell>
          <cell r="B466" t="str">
            <v>RODAMIENTO 6008 2Z C3</v>
          </cell>
          <cell r="C466">
            <v>39144</v>
          </cell>
          <cell r="D466">
            <v>39144</v>
          </cell>
          <cell r="E466">
            <v>-39144</v>
          </cell>
        </row>
        <row r="467">
          <cell r="A467">
            <v>38283</v>
          </cell>
          <cell r="B467" t="str">
            <v>RODAMIENTO 6009 2Z C3</v>
          </cell>
          <cell r="C467">
            <v>55953.69</v>
          </cell>
          <cell r="D467">
            <v>55953.69</v>
          </cell>
          <cell r="E467">
            <v>-55953.69</v>
          </cell>
        </row>
        <row r="468">
          <cell r="A468">
            <v>38285</v>
          </cell>
          <cell r="B468" t="str">
            <v>RODAMIENTO 6011 2Z</v>
          </cell>
          <cell r="C468">
            <v>51684</v>
          </cell>
          <cell r="D468">
            <v>51684</v>
          </cell>
          <cell r="E468">
            <v>-51684</v>
          </cell>
        </row>
        <row r="469">
          <cell r="A469">
            <v>38268</v>
          </cell>
          <cell r="B469" t="str">
            <v>RODAMIENTO 608 2Z</v>
          </cell>
          <cell r="C469">
            <v>55200</v>
          </cell>
          <cell r="D469">
            <v>55200</v>
          </cell>
          <cell r="E469">
            <v>-55200</v>
          </cell>
        </row>
        <row r="470">
          <cell r="A470">
            <v>38289</v>
          </cell>
          <cell r="B470" t="str">
            <v>RODAMIENTO 6201 2Z</v>
          </cell>
          <cell r="C470">
            <v>9171</v>
          </cell>
          <cell r="D470">
            <v>9171</v>
          </cell>
          <cell r="E470">
            <v>-9171</v>
          </cell>
        </row>
        <row r="471">
          <cell r="A471">
            <v>38290</v>
          </cell>
          <cell r="B471" t="str">
            <v>RODAMIENTO 6202 2Z C3</v>
          </cell>
          <cell r="C471">
            <v>131999.1</v>
          </cell>
          <cell r="D471">
            <v>65999.55</v>
          </cell>
          <cell r="E471">
            <v>-131999.1</v>
          </cell>
        </row>
        <row r="472">
          <cell r="B472" t="str">
            <v>RODAMIENTO 6202 2Z C3</v>
          </cell>
          <cell r="D472">
            <v>65999.55</v>
          </cell>
          <cell r="E472">
            <v>0</v>
          </cell>
        </row>
        <row r="473">
          <cell r="A473">
            <v>38291</v>
          </cell>
          <cell r="B473" t="str">
            <v>RODAMIENTO 6203 2Z C3</v>
          </cell>
          <cell r="C473">
            <v>16422.2</v>
          </cell>
          <cell r="D473">
            <v>16422.2</v>
          </cell>
          <cell r="E473">
            <v>-16422.2</v>
          </cell>
        </row>
        <row r="474">
          <cell r="A474">
            <v>38292</v>
          </cell>
          <cell r="B474" t="str">
            <v>RODAMIENTO 6204 2Z</v>
          </cell>
          <cell r="C474">
            <v>183601.80000000002</v>
          </cell>
          <cell r="D474">
            <v>43200.43</v>
          </cell>
          <cell r="E474">
            <v>-183601.80000000002</v>
          </cell>
        </row>
        <row r="475">
          <cell r="B475" t="str">
            <v>RODAMIENTO 6204 2Z</v>
          </cell>
          <cell r="D475">
            <v>32400.31</v>
          </cell>
          <cell r="E475">
            <v>0</v>
          </cell>
        </row>
        <row r="476">
          <cell r="B476" t="str">
            <v>RODAMIENTO 6204 2Z</v>
          </cell>
          <cell r="D476">
            <v>21600.21</v>
          </cell>
          <cell r="E476">
            <v>0</v>
          </cell>
        </row>
        <row r="477">
          <cell r="B477" t="str">
            <v>RODAMIENTO 6204 2Z</v>
          </cell>
          <cell r="D477">
            <v>43200.43</v>
          </cell>
          <cell r="E477">
            <v>0</v>
          </cell>
        </row>
        <row r="478">
          <cell r="B478" t="str">
            <v>RODAMIENTO 6204 2Z</v>
          </cell>
          <cell r="D478">
            <v>32400.32</v>
          </cell>
          <cell r="E478">
            <v>0</v>
          </cell>
        </row>
        <row r="479">
          <cell r="B479" t="str">
            <v>RODAMIENTO 6204 2Z</v>
          </cell>
          <cell r="D479">
            <v>10800.1</v>
          </cell>
          <cell r="E479">
            <v>0</v>
          </cell>
        </row>
        <row r="480">
          <cell r="A480">
            <v>38294</v>
          </cell>
          <cell r="B480" t="str">
            <v>RODAMIENTO 6205 2Z  VA 201 ALT</v>
          </cell>
          <cell r="C480">
            <v>1344000</v>
          </cell>
          <cell r="D480">
            <v>1344000</v>
          </cell>
          <cell r="E480">
            <v>-1344000</v>
          </cell>
        </row>
        <row r="481">
          <cell r="A481">
            <v>38293</v>
          </cell>
          <cell r="B481" t="str">
            <v>RODAMIENTO 6205 2Z C3</v>
          </cell>
          <cell r="C481">
            <v>61030.259999999995</v>
          </cell>
          <cell r="D481">
            <v>20343.419999999998</v>
          </cell>
          <cell r="E481">
            <v>-61030.259999999995</v>
          </cell>
        </row>
        <row r="482">
          <cell r="B482" t="str">
            <v>RODAMIENTO 6205 2Z C3</v>
          </cell>
          <cell r="D482">
            <v>20343.419999999998</v>
          </cell>
          <cell r="E482">
            <v>0</v>
          </cell>
        </row>
        <row r="483">
          <cell r="B483" t="str">
            <v>RODAMIENTO 6205 2Z C3</v>
          </cell>
          <cell r="D483">
            <v>20343.419999999998</v>
          </cell>
          <cell r="E483">
            <v>0</v>
          </cell>
        </row>
        <row r="484">
          <cell r="A484">
            <v>38295</v>
          </cell>
          <cell r="B484" t="str">
            <v>RODAMIENTO 6206 2Z C3</v>
          </cell>
          <cell r="C484">
            <v>69000</v>
          </cell>
          <cell r="D484">
            <v>27600</v>
          </cell>
          <cell r="E484">
            <v>-69000</v>
          </cell>
        </row>
        <row r="485">
          <cell r="B485" t="str">
            <v>RODAMIENTO 6206 2Z C3</v>
          </cell>
          <cell r="D485">
            <v>13800</v>
          </cell>
          <cell r="E485">
            <v>0</v>
          </cell>
        </row>
        <row r="486">
          <cell r="B486" t="str">
            <v>RODAMIENTO 6206 2Z C3</v>
          </cell>
          <cell r="D486">
            <v>27600</v>
          </cell>
          <cell r="E486">
            <v>0</v>
          </cell>
        </row>
        <row r="487">
          <cell r="A487">
            <v>38297</v>
          </cell>
          <cell r="B487" t="str">
            <v>RODAMIENTO 6207 2Z C3</v>
          </cell>
          <cell r="C487">
            <v>41100</v>
          </cell>
          <cell r="D487">
            <v>27400</v>
          </cell>
          <cell r="E487">
            <v>-41100</v>
          </cell>
        </row>
        <row r="488">
          <cell r="B488" t="str">
            <v>RODAMIENTO 6207 2Z C3</v>
          </cell>
          <cell r="D488">
            <v>13700</v>
          </cell>
          <cell r="E488">
            <v>0</v>
          </cell>
        </row>
        <row r="489">
          <cell r="A489">
            <v>38298</v>
          </cell>
          <cell r="B489" t="str">
            <v>RODAMIENTO 6208 2Z C3</v>
          </cell>
          <cell r="C489">
            <v>131142.85</v>
          </cell>
          <cell r="D489">
            <v>43714.28</v>
          </cell>
          <cell r="E489">
            <v>-131142.85</v>
          </cell>
        </row>
        <row r="490">
          <cell r="B490" t="str">
            <v>RODAMIENTO 6208 2Z C3</v>
          </cell>
          <cell r="D490">
            <v>87428.57</v>
          </cell>
          <cell r="E490">
            <v>0</v>
          </cell>
        </row>
        <row r="491">
          <cell r="A491">
            <v>38300</v>
          </cell>
          <cell r="B491" t="str">
            <v>RODAMIENTO 6210 2Z C3</v>
          </cell>
          <cell r="C491">
            <v>32837.5</v>
          </cell>
          <cell r="D491">
            <v>32837.5</v>
          </cell>
          <cell r="E491">
            <v>-32837.5</v>
          </cell>
        </row>
        <row r="492">
          <cell r="A492">
            <v>38307</v>
          </cell>
          <cell r="B492" t="str">
            <v>RODAMIENTO 6302 2Z</v>
          </cell>
          <cell r="C492">
            <v>49500</v>
          </cell>
          <cell r="D492">
            <v>9900</v>
          </cell>
          <cell r="E492">
            <v>-49500</v>
          </cell>
        </row>
        <row r="493">
          <cell r="B493" t="str">
            <v>RODAMIENTO 6302 2Z</v>
          </cell>
          <cell r="D493">
            <v>39600</v>
          </cell>
          <cell r="E493">
            <v>0</v>
          </cell>
        </row>
        <row r="494">
          <cell r="A494">
            <v>38310</v>
          </cell>
          <cell r="B494" t="str">
            <v>RODAMIENTO 6305 2Z C3</v>
          </cell>
          <cell r="C494">
            <v>64178.559999999998</v>
          </cell>
          <cell r="D494">
            <v>21392.85</v>
          </cell>
          <cell r="E494">
            <v>-64178.559999999998</v>
          </cell>
        </row>
        <row r="495">
          <cell r="B495" t="str">
            <v>RODAMIENTO 6305 2Z C3</v>
          </cell>
          <cell r="D495">
            <v>42785.71</v>
          </cell>
          <cell r="E495">
            <v>0</v>
          </cell>
        </row>
        <row r="496">
          <cell r="A496">
            <v>38313</v>
          </cell>
          <cell r="B496" t="str">
            <v>RODAMIENTO 6306 2Z C3</v>
          </cell>
          <cell r="C496">
            <v>55868.06</v>
          </cell>
          <cell r="D496">
            <v>27934.03</v>
          </cell>
          <cell r="E496">
            <v>-55868.06</v>
          </cell>
        </row>
        <row r="497">
          <cell r="B497" t="str">
            <v>RODAMIENTO 6306 2Z C3</v>
          </cell>
          <cell r="D497">
            <v>27934.03</v>
          </cell>
          <cell r="E497">
            <v>0</v>
          </cell>
        </row>
        <row r="498">
          <cell r="A498">
            <v>38315</v>
          </cell>
          <cell r="B498" t="str">
            <v>RODAMIENTO 6308 2Z C3</v>
          </cell>
          <cell r="C498">
            <v>33374.050000000003</v>
          </cell>
          <cell r="D498">
            <v>33374.050000000003</v>
          </cell>
          <cell r="E498">
            <v>-33374.050000000003</v>
          </cell>
        </row>
        <row r="499">
          <cell r="A499">
            <v>38464</v>
          </cell>
          <cell r="B499" t="str">
            <v>RODAMIENTO YAR 204 20MM</v>
          </cell>
          <cell r="C499">
            <v>34500</v>
          </cell>
          <cell r="D499">
            <v>34500</v>
          </cell>
          <cell r="E499">
            <v>-34500</v>
          </cell>
        </row>
        <row r="500">
          <cell r="A500">
            <v>38458</v>
          </cell>
          <cell r="B500" t="str">
            <v>RODAMIENTO YAR 204 3/4"</v>
          </cell>
          <cell r="C500">
            <v>80800</v>
          </cell>
          <cell r="D500">
            <v>80800</v>
          </cell>
          <cell r="E500">
            <v>-80800</v>
          </cell>
        </row>
        <row r="501">
          <cell r="A501">
            <v>38459</v>
          </cell>
          <cell r="B501" t="str">
            <v>RODAMIENTO YAR 205 1"</v>
          </cell>
          <cell r="C501">
            <v>79900</v>
          </cell>
          <cell r="D501">
            <v>79900</v>
          </cell>
          <cell r="E501">
            <v>-79900</v>
          </cell>
        </row>
        <row r="502">
          <cell r="A502">
            <v>38465</v>
          </cell>
          <cell r="B502" t="str">
            <v>RODAMIENTO YAR 205 25MM</v>
          </cell>
          <cell r="C502">
            <v>150800</v>
          </cell>
          <cell r="D502">
            <v>150800</v>
          </cell>
          <cell r="E502">
            <v>-150800</v>
          </cell>
        </row>
        <row r="503">
          <cell r="A503">
            <v>38466</v>
          </cell>
          <cell r="B503" t="str">
            <v>RODAMIENTO YAR 206 30MM</v>
          </cell>
          <cell r="C503">
            <v>93600</v>
          </cell>
          <cell r="D503">
            <v>93600</v>
          </cell>
          <cell r="E503">
            <v>-93600</v>
          </cell>
        </row>
        <row r="504">
          <cell r="A504">
            <v>38460</v>
          </cell>
          <cell r="B504" t="str">
            <v>RODAMIENTO YAR 207 1.1/4"</v>
          </cell>
          <cell r="C504">
            <v>123400</v>
          </cell>
          <cell r="D504">
            <v>123400</v>
          </cell>
          <cell r="E504">
            <v>-123400</v>
          </cell>
        </row>
        <row r="505">
          <cell r="A505">
            <v>38468</v>
          </cell>
          <cell r="B505" t="str">
            <v>RODAMIENTO YAR 208 40MM</v>
          </cell>
          <cell r="C505">
            <v>418400</v>
          </cell>
          <cell r="D505">
            <v>138800</v>
          </cell>
          <cell r="E505">
            <v>-418400</v>
          </cell>
        </row>
        <row r="506">
          <cell r="B506" t="str">
            <v>RODAMIENTO YAR 208 40MM</v>
          </cell>
          <cell r="D506">
            <v>279600</v>
          </cell>
          <cell r="E506">
            <v>0</v>
          </cell>
        </row>
        <row r="507">
          <cell r="A507">
            <v>38462</v>
          </cell>
          <cell r="B507" t="str">
            <v>RODAMIENTO YAR 209 1.3/4" 112</v>
          </cell>
          <cell r="C507">
            <v>151600</v>
          </cell>
          <cell r="D507">
            <v>151600</v>
          </cell>
          <cell r="E507">
            <v>-151600</v>
          </cell>
        </row>
        <row r="508">
          <cell r="A508">
            <v>2415</v>
          </cell>
          <cell r="B508" t="str">
            <v>RUEDA DURAFLEX 6" SIN MAQUINAR</v>
          </cell>
          <cell r="C508">
            <v>141600</v>
          </cell>
          <cell r="D508">
            <v>141600</v>
          </cell>
          <cell r="E508">
            <v>-141600</v>
          </cell>
        </row>
        <row r="509">
          <cell r="A509">
            <v>100693</v>
          </cell>
          <cell r="B509" t="str">
            <v>SELLO 1" EYS316SA</v>
          </cell>
          <cell r="C509">
            <v>107928</v>
          </cell>
          <cell r="D509">
            <v>107928</v>
          </cell>
          <cell r="E509">
            <v>-107928</v>
          </cell>
        </row>
        <row r="510">
          <cell r="A510">
            <v>100692</v>
          </cell>
          <cell r="B510" t="str">
            <v>SELLO 1/2 EYS116SA</v>
          </cell>
          <cell r="C510">
            <v>191070</v>
          </cell>
          <cell r="D510">
            <v>191070</v>
          </cell>
          <cell r="E510">
            <v>-191070</v>
          </cell>
        </row>
        <row r="511">
          <cell r="A511">
            <v>3368</v>
          </cell>
          <cell r="B511" t="str">
            <v>SELLO CARBON 15/16"X24.7X46mm</v>
          </cell>
          <cell r="C511">
            <v>836000</v>
          </cell>
          <cell r="D511">
            <v>836000</v>
          </cell>
          <cell r="E511">
            <v>-836000</v>
          </cell>
        </row>
        <row r="512">
          <cell r="A512">
            <v>105162</v>
          </cell>
          <cell r="B512" t="str">
            <v>SELLO CORTAFUEGO 2" XP SX1EYA2</v>
          </cell>
          <cell r="C512">
            <v>296640</v>
          </cell>
          <cell r="D512">
            <v>296640</v>
          </cell>
          <cell r="E512">
            <v>-296640</v>
          </cell>
        </row>
        <row r="513">
          <cell r="A513">
            <v>69926</v>
          </cell>
          <cell r="B513" t="str">
            <v>SENSOR CAPACITIVO 20-250 VAC R</v>
          </cell>
          <cell r="C513">
            <v>331000</v>
          </cell>
          <cell r="D513">
            <v>331000</v>
          </cell>
          <cell r="E513">
            <v>-331000</v>
          </cell>
        </row>
        <row r="514">
          <cell r="A514">
            <v>5426</v>
          </cell>
          <cell r="B514" t="str">
            <v>SILICONA TRANSPARENTE PERMATEX</v>
          </cell>
          <cell r="C514">
            <v>48093.159999999996</v>
          </cell>
          <cell r="D514">
            <v>13740.9</v>
          </cell>
          <cell r="E514">
            <v>-48093.159999999996</v>
          </cell>
        </row>
        <row r="515">
          <cell r="B515" t="str">
            <v>SILICONA TRANSPARENTE PERMATEX</v>
          </cell>
          <cell r="D515">
            <v>27481.81</v>
          </cell>
          <cell r="E515">
            <v>0</v>
          </cell>
        </row>
        <row r="516">
          <cell r="B516" t="str">
            <v>SILICONA TRANSPARENTE PERMATEX</v>
          </cell>
          <cell r="D516">
            <v>6870.45</v>
          </cell>
          <cell r="E516">
            <v>0</v>
          </cell>
        </row>
        <row r="517">
          <cell r="A517">
            <v>6124</v>
          </cell>
          <cell r="B517" t="str">
            <v>SOLDADURA 6010 X 1/8"</v>
          </cell>
          <cell r="C517">
            <v>15371.26</v>
          </cell>
          <cell r="D517">
            <v>2988.64</v>
          </cell>
          <cell r="E517">
            <v>-15371.26</v>
          </cell>
        </row>
        <row r="518">
          <cell r="B518" t="str">
            <v>SOLDADURA 6010 X 1/8"</v>
          </cell>
          <cell r="D518">
            <v>2988.64</v>
          </cell>
          <cell r="E518">
            <v>0</v>
          </cell>
        </row>
        <row r="519">
          <cell r="B519" t="str">
            <v>SOLDADURA 6010 X 1/8"</v>
          </cell>
          <cell r="D519">
            <v>2167.84</v>
          </cell>
          <cell r="E519">
            <v>0</v>
          </cell>
        </row>
        <row r="520">
          <cell r="B520" t="str">
            <v>SOLDADURA 6010 X 1/8"</v>
          </cell>
          <cell r="D520">
            <v>7226.14</v>
          </cell>
          <cell r="E520">
            <v>0</v>
          </cell>
        </row>
        <row r="521">
          <cell r="A521">
            <v>6126</v>
          </cell>
          <cell r="B521" t="str">
            <v>SOLDADURA 6013 X 1/8"</v>
          </cell>
          <cell r="C521">
            <v>2804.42</v>
          </cell>
          <cell r="D521">
            <v>1682.65</v>
          </cell>
          <cell r="E521">
            <v>-2804.42</v>
          </cell>
        </row>
        <row r="522">
          <cell r="B522" t="str">
            <v>SOLDADURA 6013 X 1/8"</v>
          </cell>
          <cell r="D522">
            <v>1121.77</v>
          </cell>
          <cell r="E522">
            <v>0</v>
          </cell>
        </row>
        <row r="523">
          <cell r="A523">
            <v>6125</v>
          </cell>
          <cell r="B523" t="str">
            <v>SOLDADURA 7018 X 1/8"</v>
          </cell>
          <cell r="C523">
            <v>8212.5400000000009</v>
          </cell>
          <cell r="D523">
            <v>8212.5400000000009</v>
          </cell>
          <cell r="E523">
            <v>-8212.5400000000009</v>
          </cell>
        </row>
        <row r="524">
          <cell r="A524">
            <v>6595</v>
          </cell>
          <cell r="B524" t="str">
            <v>STARTER FS-4 40W</v>
          </cell>
          <cell r="C524">
            <v>2450</v>
          </cell>
          <cell r="D524">
            <v>350</v>
          </cell>
          <cell r="E524">
            <v>-2450</v>
          </cell>
        </row>
        <row r="525">
          <cell r="B525" t="str">
            <v>STARTER FS-4 40W</v>
          </cell>
          <cell r="D525">
            <v>2100</v>
          </cell>
          <cell r="E525">
            <v>0</v>
          </cell>
        </row>
        <row r="526">
          <cell r="A526">
            <v>2531</v>
          </cell>
          <cell r="B526" t="str">
            <v>SWICHT WS175 S1</v>
          </cell>
          <cell r="C526">
            <v>1161754.42</v>
          </cell>
          <cell r="D526">
            <v>1161754.42</v>
          </cell>
          <cell r="E526">
            <v>-1161754.42</v>
          </cell>
        </row>
        <row r="527">
          <cell r="A527">
            <v>6603</v>
          </cell>
          <cell r="B527" t="str">
            <v>TAPA METALICA CIEGA CAJA 5800</v>
          </cell>
          <cell r="C527">
            <v>303.83999999999997</v>
          </cell>
          <cell r="D527">
            <v>303.83999999999997</v>
          </cell>
          <cell r="E527">
            <v>-303.83999999999997</v>
          </cell>
        </row>
        <row r="528">
          <cell r="A528">
            <v>4344</v>
          </cell>
          <cell r="B528" t="str">
            <v>TAPON MACHO ACERO 1.1/2"</v>
          </cell>
          <cell r="C528">
            <v>4200</v>
          </cell>
          <cell r="D528">
            <v>4200</v>
          </cell>
          <cell r="E528">
            <v>-4200</v>
          </cell>
        </row>
        <row r="529">
          <cell r="A529">
            <v>4536</v>
          </cell>
          <cell r="B529" t="str">
            <v>TAPON MACHO ACERO 1.1/4"</v>
          </cell>
          <cell r="C529">
            <v>1500</v>
          </cell>
          <cell r="D529">
            <v>1500</v>
          </cell>
          <cell r="E529">
            <v>-1500</v>
          </cell>
        </row>
        <row r="530">
          <cell r="A530">
            <v>102601</v>
          </cell>
          <cell r="B530" t="str">
            <v>TAPON TP-1</v>
          </cell>
          <cell r="C530">
            <v>133560</v>
          </cell>
          <cell r="D530">
            <v>133560</v>
          </cell>
          <cell r="E530">
            <v>-133560</v>
          </cell>
        </row>
        <row r="531">
          <cell r="A531">
            <v>63905</v>
          </cell>
          <cell r="B531" t="str">
            <v>TARJETA BASE CENTRADOR</v>
          </cell>
          <cell r="C531">
            <v>30000</v>
          </cell>
          <cell r="D531">
            <v>30000</v>
          </cell>
          <cell r="E531">
            <v>-30000</v>
          </cell>
        </row>
        <row r="532">
          <cell r="A532">
            <v>63907</v>
          </cell>
          <cell r="B532" t="str">
            <v>TARJETA CONTROL MOTOR CENTRADO</v>
          </cell>
          <cell r="C532">
            <v>50000</v>
          </cell>
          <cell r="D532">
            <v>50000</v>
          </cell>
          <cell r="E532">
            <v>-50000</v>
          </cell>
        </row>
        <row r="533">
          <cell r="A533">
            <v>70986</v>
          </cell>
          <cell r="B533" t="str">
            <v>TARJETA CONTROL MOTOR CENTRADO</v>
          </cell>
          <cell r="C533">
            <v>0</v>
          </cell>
          <cell r="D533">
            <v>0</v>
          </cell>
          <cell r="E533">
            <v>0</v>
          </cell>
        </row>
        <row r="534">
          <cell r="A534">
            <v>70989</v>
          </cell>
          <cell r="B534" t="str">
            <v>TARJETA ELECTRONICA RZ 10 A TO</v>
          </cell>
          <cell r="C534">
            <v>0.5</v>
          </cell>
          <cell r="D534">
            <v>0.5</v>
          </cell>
          <cell r="E534">
            <v>-0.5</v>
          </cell>
        </row>
        <row r="535">
          <cell r="A535">
            <v>63908</v>
          </cell>
          <cell r="B535" t="str">
            <v>TARJETA INTERRUPTORES CENTRADO</v>
          </cell>
          <cell r="C535">
            <v>40000</v>
          </cell>
          <cell r="D535">
            <v>40000</v>
          </cell>
          <cell r="E535">
            <v>-40000</v>
          </cell>
        </row>
        <row r="536">
          <cell r="A536">
            <v>102627</v>
          </cell>
          <cell r="B536" t="str">
            <v>TARJETA INTERRUPTORES CENTRADO</v>
          </cell>
          <cell r="C536">
            <v>0</v>
          </cell>
          <cell r="D536">
            <v>0</v>
          </cell>
          <cell r="E536">
            <v>0</v>
          </cell>
        </row>
        <row r="537">
          <cell r="A537">
            <v>4350</v>
          </cell>
          <cell r="B537" t="str">
            <v>TEE ACERO 1"</v>
          </cell>
          <cell r="C537">
            <v>9000</v>
          </cell>
          <cell r="D537">
            <v>9000</v>
          </cell>
          <cell r="E537">
            <v>-9000</v>
          </cell>
        </row>
        <row r="538">
          <cell r="A538">
            <v>4347</v>
          </cell>
          <cell r="B538" t="str">
            <v>TEE ACERO 1/2"</v>
          </cell>
          <cell r="C538">
            <v>14100</v>
          </cell>
          <cell r="D538">
            <v>5100</v>
          </cell>
          <cell r="E538">
            <v>-14100</v>
          </cell>
        </row>
        <row r="539">
          <cell r="B539" t="str">
            <v>TEE ACERO 1/2"</v>
          </cell>
          <cell r="D539">
            <v>9000</v>
          </cell>
          <cell r="E539">
            <v>0</v>
          </cell>
        </row>
        <row r="540">
          <cell r="A540">
            <v>4348</v>
          </cell>
          <cell r="B540" t="str">
            <v>TEE ACERO 3/4"</v>
          </cell>
          <cell r="C540">
            <v>8444.44</v>
          </cell>
          <cell r="D540">
            <v>8444.44</v>
          </cell>
          <cell r="E540">
            <v>-8444.44</v>
          </cell>
        </row>
        <row r="541">
          <cell r="A541">
            <v>5329</v>
          </cell>
          <cell r="B541" t="str">
            <v>TELA ESMERIL A-100 6"</v>
          </cell>
          <cell r="C541">
            <v>92879.88</v>
          </cell>
          <cell r="D541">
            <v>17199.990000000002</v>
          </cell>
          <cell r="E541">
            <v>-92879.88</v>
          </cell>
        </row>
        <row r="542">
          <cell r="B542" t="str">
            <v>TELA ESMERIL A-100 6"</v>
          </cell>
          <cell r="D542">
            <v>8599.99</v>
          </cell>
          <cell r="E542">
            <v>0</v>
          </cell>
        </row>
        <row r="543">
          <cell r="B543" t="str">
            <v>TELA ESMERIL A-100 6"</v>
          </cell>
          <cell r="D543">
            <v>8599.98</v>
          </cell>
          <cell r="E543">
            <v>0</v>
          </cell>
        </row>
        <row r="544">
          <cell r="B544" t="str">
            <v>TELA ESMERIL A-100 6"</v>
          </cell>
          <cell r="D544">
            <v>4299.99</v>
          </cell>
          <cell r="E544">
            <v>0</v>
          </cell>
        </row>
        <row r="545">
          <cell r="B545" t="str">
            <v>TELA ESMERIL A-100 6"</v>
          </cell>
          <cell r="D545">
            <v>4299.99</v>
          </cell>
          <cell r="E545">
            <v>0</v>
          </cell>
        </row>
        <row r="546">
          <cell r="B546" t="str">
            <v>TELA ESMERIL A-100 6"</v>
          </cell>
          <cell r="D546">
            <v>8599.99</v>
          </cell>
          <cell r="E546">
            <v>0</v>
          </cell>
        </row>
        <row r="547">
          <cell r="B547" t="str">
            <v>TELA ESMERIL A-100 6"</v>
          </cell>
          <cell r="D547">
            <v>4299.99</v>
          </cell>
          <cell r="E547">
            <v>0</v>
          </cell>
        </row>
        <row r="548">
          <cell r="B548" t="str">
            <v>TELA ESMERIL A-100 6"</v>
          </cell>
          <cell r="D548">
            <v>17199.990000000002</v>
          </cell>
          <cell r="E548">
            <v>0</v>
          </cell>
        </row>
        <row r="549">
          <cell r="B549" t="str">
            <v>TELA ESMERIL A-100 6"</v>
          </cell>
          <cell r="D549">
            <v>11179.98</v>
          </cell>
          <cell r="E549">
            <v>0</v>
          </cell>
        </row>
        <row r="550">
          <cell r="B550" t="str">
            <v>TELA ESMERIL A-100 6"</v>
          </cell>
          <cell r="D550">
            <v>8599.99</v>
          </cell>
          <cell r="E550">
            <v>0</v>
          </cell>
        </row>
        <row r="551">
          <cell r="A551">
            <v>2414</v>
          </cell>
          <cell r="B551" t="str">
            <v>TEMPORIZADO 0-20SEG 220V SIEME</v>
          </cell>
          <cell r="C551">
            <v>267000</v>
          </cell>
          <cell r="D551">
            <v>135000</v>
          </cell>
          <cell r="E551">
            <v>-267000</v>
          </cell>
        </row>
        <row r="552">
          <cell r="B552" t="str">
            <v>TEMPORIZADO 0-20SEG 220V SIEME</v>
          </cell>
          <cell r="D552">
            <v>132000</v>
          </cell>
          <cell r="E552">
            <v>0</v>
          </cell>
        </row>
        <row r="553">
          <cell r="A553">
            <v>6419</v>
          </cell>
          <cell r="B553" t="str">
            <v>TERMICO 16-25A 3UA52 SIEMENS</v>
          </cell>
          <cell r="C553">
            <v>112800</v>
          </cell>
          <cell r="D553">
            <v>112800</v>
          </cell>
          <cell r="E553">
            <v>-112800</v>
          </cell>
        </row>
        <row r="554">
          <cell r="A554">
            <v>105427</v>
          </cell>
          <cell r="B554" t="str">
            <v>TERMICO SIEMENS 3RB1056 50 - 2</v>
          </cell>
          <cell r="C554">
            <v>760033</v>
          </cell>
          <cell r="D554">
            <v>370000</v>
          </cell>
          <cell r="E554">
            <v>-760033</v>
          </cell>
        </row>
        <row r="555">
          <cell r="B555" t="str">
            <v>TERMICO SIEMENS 3RB1056 50 - 2</v>
          </cell>
          <cell r="D555">
            <v>390033</v>
          </cell>
          <cell r="E555">
            <v>0</v>
          </cell>
        </row>
        <row r="556">
          <cell r="A556">
            <v>309</v>
          </cell>
          <cell r="B556" t="str">
            <v>TERMINAL AMARILLO DE OJO 1/4"</v>
          </cell>
          <cell r="C556">
            <v>16899</v>
          </cell>
          <cell r="D556">
            <v>1290</v>
          </cell>
          <cell r="E556">
            <v>-16899</v>
          </cell>
        </row>
        <row r="557">
          <cell r="B557" t="str">
            <v>TERMINAL AMARILLO DE OJO 1/4"</v>
          </cell>
          <cell r="D557">
            <v>1548</v>
          </cell>
          <cell r="E557">
            <v>0</v>
          </cell>
        </row>
        <row r="558">
          <cell r="B558" t="str">
            <v>TERMINAL AMARILLO DE OJO 1/4"</v>
          </cell>
          <cell r="D558">
            <v>2580</v>
          </cell>
          <cell r="E558">
            <v>0</v>
          </cell>
        </row>
        <row r="559">
          <cell r="B559" t="str">
            <v>TERMINAL AMARILLO DE OJO 1/4"</v>
          </cell>
          <cell r="D559">
            <v>11481</v>
          </cell>
          <cell r="E559">
            <v>0</v>
          </cell>
        </row>
        <row r="560">
          <cell r="A560">
            <v>6361</v>
          </cell>
          <cell r="B560" t="str">
            <v>TERMINAL AMARILLO DE OJO 3/16"</v>
          </cell>
          <cell r="C560">
            <v>17335.419999999998</v>
          </cell>
          <cell r="D560">
            <v>5395.18</v>
          </cell>
          <cell r="E560">
            <v>-17335.419999999998</v>
          </cell>
        </row>
        <row r="561">
          <cell r="B561" t="str">
            <v>TERMINAL AMARILLO DE OJO 3/16"</v>
          </cell>
          <cell r="D561">
            <v>1637.93</v>
          </cell>
          <cell r="E561">
            <v>0</v>
          </cell>
        </row>
        <row r="562">
          <cell r="B562" t="str">
            <v>TERMINAL AMARILLO DE OJO 3/16"</v>
          </cell>
          <cell r="D562">
            <v>8991.9699999999993</v>
          </cell>
          <cell r="E562">
            <v>0</v>
          </cell>
        </row>
        <row r="563">
          <cell r="B563" t="str">
            <v>TERMINAL AMARILLO DE OJO 3/16"</v>
          </cell>
          <cell r="D563">
            <v>1310.3399999999999</v>
          </cell>
          <cell r="E563">
            <v>0</v>
          </cell>
        </row>
        <row r="564">
          <cell r="A564">
            <v>6360</v>
          </cell>
          <cell r="B564" t="str">
            <v>TERMINAL AMARILLO DE OJO 5/32"</v>
          </cell>
          <cell r="C564">
            <v>2250</v>
          </cell>
          <cell r="D564">
            <v>2250</v>
          </cell>
          <cell r="E564">
            <v>-2250</v>
          </cell>
        </row>
        <row r="565">
          <cell r="A565">
            <v>6365</v>
          </cell>
          <cell r="B565" t="str">
            <v>TERMINAL AMARILLO DE PIN</v>
          </cell>
          <cell r="C565">
            <v>32080.6</v>
          </cell>
          <cell r="D565">
            <v>3280.6</v>
          </cell>
          <cell r="E565">
            <v>-32080.6</v>
          </cell>
        </row>
        <row r="566">
          <cell r="B566" t="str">
            <v>TERMINAL AMARILLO DE PIN</v>
          </cell>
          <cell r="D566">
            <v>24000</v>
          </cell>
          <cell r="E566">
            <v>0</v>
          </cell>
        </row>
        <row r="567">
          <cell r="B567" t="str">
            <v>TERMINAL AMARILLO DE PIN</v>
          </cell>
          <cell r="D567">
            <v>4800</v>
          </cell>
          <cell r="E567">
            <v>0</v>
          </cell>
        </row>
        <row r="568">
          <cell r="A568">
            <v>6367</v>
          </cell>
          <cell r="B568" t="str">
            <v>TERMINAL AMARILLO HEMBRA</v>
          </cell>
          <cell r="C568">
            <v>720</v>
          </cell>
          <cell r="D568">
            <v>720</v>
          </cell>
          <cell r="E568">
            <v>-720</v>
          </cell>
        </row>
        <row r="569">
          <cell r="A569">
            <v>6363</v>
          </cell>
          <cell r="B569" t="str">
            <v>TERMINAL AZUL DE PIN</v>
          </cell>
          <cell r="C569">
            <v>17995.13</v>
          </cell>
          <cell r="D569">
            <v>2558.62</v>
          </cell>
          <cell r="E569">
            <v>-17995.13</v>
          </cell>
        </row>
        <row r="570">
          <cell r="B570" t="str">
            <v>TERMINAL AZUL DE PIN</v>
          </cell>
          <cell r="D570">
            <v>2558.62</v>
          </cell>
          <cell r="E570">
            <v>0</v>
          </cell>
        </row>
        <row r="571">
          <cell r="B571" t="str">
            <v>TERMINAL AZUL DE PIN</v>
          </cell>
          <cell r="D571">
            <v>6481.34</v>
          </cell>
          <cell r="E571">
            <v>0</v>
          </cell>
        </row>
        <row r="572">
          <cell r="B572" t="str">
            <v>TERMINAL AZUL DE PIN</v>
          </cell>
          <cell r="D572">
            <v>2558.62</v>
          </cell>
          <cell r="E572">
            <v>0</v>
          </cell>
        </row>
        <row r="573">
          <cell r="B573" t="str">
            <v>TERMINAL AZUL DE PIN</v>
          </cell>
          <cell r="D573">
            <v>3837.93</v>
          </cell>
          <cell r="E573">
            <v>0</v>
          </cell>
        </row>
        <row r="574">
          <cell r="A574">
            <v>54939</v>
          </cell>
          <cell r="B574" t="str">
            <v>TERMINAL E.M.T. CONDUIT 1/2"</v>
          </cell>
          <cell r="C574">
            <v>3500</v>
          </cell>
          <cell r="D574">
            <v>3500</v>
          </cell>
          <cell r="E574">
            <v>-3500</v>
          </cell>
        </row>
        <row r="575">
          <cell r="A575">
            <v>6357</v>
          </cell>
          <cell r="B575" t="str">
            <v>TERMINAL EN U AZUL</v>
          </cell>
          <cell r="C575">
            <v>9199.93</v>
          </cell>
          <cell r="D575">
            <v>2299.98</v>
          </cell>
          <cell r="E575">
            <v>-9199.93</v>
          </cell>
        </row>
        <row r="576">
          <cell r="B576" t="str">
            <v>TERMINAL EN U AZUL</v>
          </cell>
          <cell r="D576">
            <v>5749.96</v>
          </cell>
          <cell r="E576">
            <v>0</v>
          </cell>
        </row>
        <row r="577">
          <cell r="B577" t="str">
            <v>TERMINAL EN U AZUL</v>
          </cell>
          <cell r="D577">
            <v>1149.99</v>
          </cell>
          <cell r="E577">
            <v>0</v>
          </cell>
        </row>
        <row r="578">
          <cell r="A578">
            <v>4229</v>
          </cell>
          <cell r="B578" t="str">
            <v>TERMINAL OJO CU ELECTROPLA. P'</v>
          </cell>
          <cell r="C578">
            <v>19000</v>
          </cell>
          <cell r="D578">
            <v>19000</v>
          </cell>
          <cell r="E578">
            <v>-19000</v>
          </cell>
        </row>
        <row r="579">
          <cell r="A579">
            <v>43328</v>
          </cell>
          <cell r="B579" t="str">
            <v>TERMINAL OJO CU ELECTROPLATEAD</v>
          </cell>
          <cell r="C579">
            <v>79800</v>
          </cell>
          <cell r="D579">
            <v>79800</v>
          </cell>
          <cell r="E579">
            <v>-79800</v>
          </cell>
        </row>
        <row r="580">
          <cell r="A580">
            <v>50810</v>
          </cell>
          <cell r="B580" t="str">
            <v>TERMINAL REF. DZ5-CE010 TELEME</v>
          </cell>
          <cell r="C580">
            <v>70000</v>
          </cell>
          <cell r="D580">
            <v>70000</v>
          </cell>
          <cell r="E580">
            <v>-70000</v>
          </cell>
        </row>
        <row r="581">
          <cell r="A581">
            <v>6364</v>
          </cell>
          <cell r="B581" t="str">
            <v>TERMINAL ROJO DE PIN</v>
          </cell>
          <cell r="C581">
            <v>6496.45</v>
          </cell>
          <cell r="D581">
            <v>1082.74</v>
          </cell>
          <cell r="E581">
            <v>-6496.45</v>
          </cell>
        </row>
        <row r="582">
          <cell r="B582" t="str">
            <v>TERMINAL ROJO DE PIN</v>
          </cell>
          <cell r="D582">
            <v>5413.71</v>
          </cell>
          <cell r="E582">
            <v>0</v>
          </cell>
        </row>
        <row r="583">
          <cell r="A583">
            <v>6372</v>
          </cell>
          <cell r="B583" t="str">
            <v>TERMINAL ROJO EN U</v>
          </cell>
          <cell r="C583">
            <v>3107.09</v>
          </cell>
          <cell r="D583">
            <v>1165.1600000000001</v>
          </cell>
          <cell r="E583">
            <v>-3107.09</v>
          </cell>
        </row>
        <row r="584">
          <cell r="B584" t="str">
            <v>TERMINAL ROJO EN U</v>
          </cell>
          <cell r="D584">
            <v>1941.93</v>
          </cell>
          <cell r="E584">
            <v>0</v>
          </cell>
        </row>
        <row r="585">
          <cell r="A585">
            <v>40047</v>
          </cell>
          <cell r="B585" t="str">
            <v>TERMOCUPLA SUPERFICIE CURVA FL</v>
          </cell>
          <cell r="C585">
            <v>277210</v>
          </cell>
          <cell r="D585">
            <v>277210</v>
          </cell>
          <cell r="E585">
            <v>-277210</v>
          </cell>
        </row>
        <row r="586">
          <cell r="A586">
            <v>6484</v>
          </cell>
          <cell r="B586" t="str">
            <v>TOMA MONOFASICA 15A CAUCHO AER</v>
          </cell>
          <cell r="C586">
            <v>4200</v>
          </cell>
          <cell r="D586">
            <v>1400</v>
          </cell>
          <cell r="E586">
            <v>-4200</v>
          </cell>
        </row>
        <row r="587">
          <cell r="B587" t="str">
            <v>TOMA MONOFASICA 15A CAUCHO AER</v>
          </cell>
          <cell r="D587">
            <v>1400</v>
          </cell>
          <cell r="E587">
            <v>0</v>
          </cell>
        </row>
        <row r="588">
          <cell r="B588" t="str">
            <v>TOMA MONOFASICA 15A CAUCHO AER</v>
          </cell>
          <cell r="D588">
            <v>1400</v>
          </cell>
          <cell r="E588">
            <v>0</v>
          </cell>
        </row>
        <row r="589">
          <cell r="A589">
            <v>6580</v>
          </cell>
          <cell r="B589" t="str">
            <v>TOMACORRIENTE DOBLE/POLO A TIE</v>
          </cell>
          <cell r="C589">
            <v>46559.95</v>
          </cell>
          <cell r="D589">
            <v>46559.95</v>
          </cell>
          <cell r="E589">
            <v>-46559.95</v>
          </cell>
        </row>
        <row r="590">
          <cell r="A590">
            <v>101460</v>
          </cell>
          <cell r="B590" t="str">
            <v>TORNILLO BRISTOL C/A 10X30</v>
          </cell>
          <cell r="C590">
            <v>12729.6</v>
          </cell>
          <cell r="D590">
            <v>12729.6</v>
          </cell>
          <cell r="E590">
            <v>-12729.6</v>
          </cell>
        </row>
        <row r="591">
          <cell r="A591">
            <v>4997</v>
          </cell>
          <cell r="B591" t="str">
            <v>TORNILLO BRISTOL C/A 5/16"X1.1</v>
          </cell>
          <cell r="C591">
            <v>470.9</v>
          </cell>
          <cell r="D591">
            <v>470.9</v>
          </cell>
          <cell r="E591">
            <v>-470.9</v>
          </cell>
        </row>
        <row r="592">
          <cell r="A592">
            <v>4996</v>
          </cell>
          <cell r="B592" t="str">
            <v>TORNILLO BRISTOL C/A 5/16"X3/4</v>
          </cell>
          <cell r="C592">
            <v>3160.93</v>
          </cell>
          <cell r="D592">
            <v>3160.93</v>
          </cell>
          <cell r="E592">
            <v>-3160.93</v>
          </cell>
        </row>
        <row r="593">
          <cell r="A593">
            <v>4985</v>
          </cell>
          <cell r="B593" t="str">
            <v>TORNILLO BRISTOL C/A 5x20mm</v>
          </cell>
          <cell r="C593">
            <v>1645.6</v>
          </cell>
          <cell r="D593">
            <v>979.2</v>
          </cell>
          <cell r="E593">
            <v>-1645.6</v>
          </cell>
        </row>
        <row r="594">
          <cell r="B594" t="str">
            <v>TORNILLO BRISTOL C/A 5x20mm</v>
          </cell>
          <cell r="D594">
            <v>666.4</v>
          </cell>
          <cell r="E594">
            <v>0</v>
          </cell>
        </row>
        <row r="595">
          <cell r="A595">
            <v>4986</v>
          </cell>
          <cell r="B595" t="str">
            <v>TORNILLO BRISTOL C/A 6x20mm</v>
          </cell>
          <cell r="C595">
            <v>1458.9</v>
          </cell>
          <cell r="D595">
            <v>729.45</v>
          </cell>
          <cell r="E595">
            <v>-1458.9</v>
          </cell>
        </row>
        <row r="596">
          <cell r="B596" t="str">
            <v>TORNILLO BRISTOL C/A 6x20mm</v>
          </cell>
          <cell r="D596">
            <v>729.45</v>
          </cell>
          <cell r="E596">
            <v>0</v>
          </cell>
        </row>
        <row r="597">
          <cell r="A597">
            <v>4991</v>
          </cell>
          <cell r="B597" t="str">
            <v>TORNILLO BRISTOL C/A 8X25mm</v>
          </cell>
          <cell r="C597">
            <v>3236.18</v>
          </cell>
          <cell r="D597">
            <v>3236.18</v>
          </cell>
          <cell r="E597">
            <v>-3236.18</v>
          </cell>
        </row>
        <row r="598">
          <cell r="A598">
            <v>5089</v>
          </cell>
          <cell r="B598" t="str">
            <v>TORNILLO BRISTOL C/C 1/2"X2"</v>
          </cell>
          <cell r="C598">
            <v>4947</v>
          </cell>
          <cell r="D598">
            <v>3298</v>
          </cell>
          <cell r="E598">
            <v>-4947</v>
          </cell>
        </row>
        <row r="599">
          <cell r="B599" t="str">
            <v>TORNILLO BRISTOL C/C 1/2"X2"</v>
          </cell>
          <cell r="D599">
            <v>1649</v>
          </cell>
          <cell r="E599">
            <v>0</v>
          </cell>
        </row>
        <row r="600">
          <cell r="A600">
            <v>5067</v>
          </cell>
          <cell r="B600" t="str">
            <v>TORNILLO BRISTOL C/C 1/4"X3/4"</v>
          </cell>
          <cell r="C600">
            <v>3825</v>
          </cell>
          <cell r="D600">
            <v>3825</v>
          </cell>
          <cell r="E600">
            <v>-3825</v>
          </cell>
        </row>
        <row r="601">
          <cell r="A601">
            <v>5044</v>
          </cell>
          <cell r="B601" t="str">
            <v>TORNILLO BRISTOL C/C 12X30mm</v>
          </cell>
          <cell r="C601">
            <v>28322</v>
          </cell>
          <cell r="D601">
            <v>28322</v>
          </cell>
          <cell r="E601">
            <v>-28322</v>
          </cell>
        </row>
        <row r="602">
          <cell r="A602">
            <v>5045</v>
          </cell>
          <cell r="B602" t="str">
            <v>TORNILLO BRISTOL C/C 12X40mm</v>
          </cell>
          <cell r="C602">
            <v>681.96</v>
          </cell>
          <cell r="D602">
            <v>681.96</v>
          </cell>
          <cell r="E602">
            <v>-681.96</v>
          </cell>
        </row>
        <row r="603">
          <cell r="A603">
            <v>5095</v>
          </cell>
          <cell r="B603" t="str">
            <v>TORNILLO BRISTOL C/C 3/4"X2"</v>
          </cell>
          <cell r="C603">
            <v>1405.05</v>
          </cell>
          <cell r="D603">
            <v>1405.05</v>
          </cell>
          <cell r="E603">
            <v>-1405.05</v>
          </cell>
        </row>
        <row r="604">
          <cell r="A604">
            <v>5079</v>
          </cell>
          <cell r="B604" t="str">
            <v>TORNILLO BRISTOL C/C 3/8"X1"</v>
          </cell>
          <cell r="C604">
            <v>1444.21</v>
          </cell>
          <cell r="D604">
            <v>1444.21</v>
          </cell>
          <cell r="E604">
            <v>-1444.21</v>
          </cell>
        </row>
        <row r="605">
          <cell r="A605">
            <v>5080</v>
          </cell>
          <cell r="B605" t="str">
            <v>TORNILLO BRISTOL C/C 3/8"X1.1/</v>
          </cell>
          <cell r="C605">
            <v>5440</v>
          </cell>
          <cell r="D605">
            <v>1088</v>
          </cell>
          <cell r="E605">
            <v>-5440</v>
          </cell>
        </row>
        <row r="606">
          <cell r="B606" t="str">
            <v>TORNILLO BRISTOL C/C 3/8"X1.1/</v>
          </cell>
          <cell r="D606">
            <v>4352</v>
          </cell>
          <cell r="E606">
            <v>0</v>
          </cell>
        </row>
        <row r="607">
          <cell r="A607">
            <v>5082</v>
          </cell>
          <cell r="B607" t="str">
            <v>TORNILLO BRISTOL C/C 3/8"X2"</v>
          </cell>
          <cell r="C607">
            <v>1851.3</v>
          </cell>
          <cell r="D607">
            <v>1851.3</v>
          </cell>
          <cell r="E607">
            <v>-1851.3</v>
          </cell>
        </row>
        <row r="608">
          <cell r="A608">
            <v>5000</v>
          </cell>
          <cell r="B608" t="str">
            <v>TORNILLO BRISTOL C/C 4X15mm</v>
          </cell>
          <cell r="C608">
            <v>552.5</v>
          </cell>
          <cell r="D608">
            <v>552.5</v>
          </cell>
          <cell r="E608">
            <v>-552.5</v>
          </cell>
        </row>
        <row r="609">
          <cell r="A609">
            <v>5009</v>
          </cell>
          <cell r="B609" t="str">
            <v>TORNILLO BRISTOL C/C 5X40mm</v>
          </cell>
          <cell r="C609">
            <v>2628.46</v>
          </cell>
          <cell r="D609">
            <v>2628.46</v>
          </cell>
          <cell r="E609">
            <v>-2628.46</v>
          </cell>
        </row>
        <row r="610">
          <cell r="A610">
            <v>67488</v>
          </cell>
          <cell r="B610" t="str">
            <v>TORNILLO BRISTOL C/C 6 X 40 M.</v>
          </cell>
          <cell r="C610">
            <v>50</v>
          </cell>
          <cell r="D610">
            <v>50</v>
          </cell>
          <cell r="E610">
            <v>-50</v>
          </cell>
        </row>
        <row r="611">
          <cell r="A611">
            <v>5011</v>
          </cell>
          <cell r="B611" t="str">
            <v>TORNILLO BRISTOL C/C 6X15mm</v>
          </cell>
          <cell r="C611">
            <v>1326</v>
          </cell>
          <cell r="D611">
            <v>1326</v>
          </cell>
          <cell r="E611">
            <v>-1326</v>
          </cell>
        </row>
        <row r="612">
          <cell r="A612">
            <v>5012</v>
          </cell>
          <cell r="B612" t="str">
            <v>TORNILLO BRISTOL C/C 6X20mm</v>
          </cell>
          <cell r="C612">
            <v>520.20000000000005</v>
          </cell>
          <cell r="D612">
            <v>520.20000000000005</v>
          </cell>
          <cell r="E612">
            <v>-520.20000000000005</v>
          </cell>
        </row>
        <row r="613">
          <cell r="A613">
            <v>5017</v>
          </cell>
          <cell r="B613" t="str">
            <v>TORNILLO BRISTOL C/C 6X70mm</v>
          </cell>
          <cell r="C613">
            <v>857.34</v>
          </cell>
          <cell r="D613">
            <v>857.34</v>
          </cell>
          <cell r="E613">
            <v>-857.34</v>
          </cell>
        </row>
        <row r="614">
          <cell r="A614">
            <v>5022</v>
          </cell>
          <cell r="B614" t="str">
            <v>TORNILLO BRISTOL C/C 8X15mm</v>
          </cell>
          <cell r="C614">
            <v>1938</v>
          </cell>
          <cell r="D614">
            <v>1938</v>
          </cell>
          <cell r="E614">
            <v>-1938</v>
          </cell>
        </row>
        <row r="615">
          <cell r="A615">
            <v>5023</v>
          </cell>
          <cell r="B615" t="str">
            <v>TORNILLO BRISTOL C/C 8X20mm</v>
          </cell>
          <cell r="C615">
            <v>2149.0500000000002</v>
          </cell>
          <cell r="D615">
            <v>2149.0500000000002</v>
          </cell>
          <cell r="E615">
            <v>-2149.0500000000002</v>
          </cell>
        </row>
        <row r="616">
          <cell r="A616">
            <v>5024</v>
          </cell>
          <cell r="B616" t="str">
            <v>TORNILLO BRISTOL C/C 8X25mm</v>
          </cell>
          <cell r="C616">
            <v>1705.92</v>
          </cell>
          <cell r="D616">
            <v>1705.92</v>
          </cell>
          <cell r="E616">
            <v>-1705.92</v>
          </cell>
        </row>
        <row r="617">
          <cell r="A617">
            <v>5029</v>
          </cell>
          <cell r="B617" t="str">
            <v>TORNILLO BRISTOL C/C 8X70mm</v>
          </cell>
          <cell r="C617">
            <v>816</v>
          </cell>
          <cell r="D617">
            <v>816</v>
          </cell>
          <cell r="E617">
            <v>-816</v>
          </cell>
        </row>
        <row r="618">
          <cell r="A618">
            <v>4965</v>
          </cell>
          <cell r="B618" t="str">
            <v>TORNILLO C/A 3/16"X3/8"</v>
          </cell>
          <cell r="C618">
            <v>34</v>
          </cell>
          <cell r="D618">
            <v>34</v>
          </cell>
          <cell r="E618">
            <v>-34</v>
          </cell>
        </row>
        <row r="619">
          <cell r="A619">
            <v>4976</v>
          </cell>
          <cell r="B619" t="str">
            <v>TORNILLO C/A 5/16"X1.1/4"</v>
          </cell>
          <cell r="C619">
            <v>426.71</v>
          </cell>
          <cell r="D619">
            <v>426.71</v>
          </cell>
          <cell r="E619">
            <v>-426.71</v>
          </cell>
        </row>
        <row r="620">
          <cell r="A620">
            <v>4947</v>
          </cell>
          <cell r="B620" t="str">
            <v>TORNILLO C/A 5X35mm</v>
          </cell>
          <cell r="C620">
            <v>892.5</v>
          </cell>
          <cell r="D620">
            <v>892.5</v>
          </cell>
          <cell r="E620">
            <v>-892.5</v>
          </cell>
        </row>
        <row r="621">
          <cell r="A621">
            <v>4957</v>
          </cell>
          <cell r="B621" t="str">
            <v>TORNILLO C/A 8X35mm</v>
          </cell>
          <cell r="C621">
            <v>55.21</v>
          </cell>
          <cell r="D621">
            <v>55.21</v>
          </cell>
          <cell r="E621">
            <v>-55.21</v>
          </cell>
        </row>
        <row r="622">
          <cell r="A622">
            <v>4958</v>
          </cell>
          <cell r="B622" t="str">
            <v>TORNILLO C/A 8X50mm</v>
          </cell>
          <cell r="C622">
            <v>35</v>
          </cell>
          <cell r="D622">
            <v>35</v>
          </cell>
          <cell r="E622">
            <v>-35</v>
          </cell>
        </row>
        <row r="623">
          <cell r="A623">
            <v>4843</v>
          </cell>
          <cell r="B623" t="str">
            <v>TORNILLO C/G 1/4"X3/4"</v>
          </cell>
          <cell r="C623">
            <v>153</v>
          </cell>
          <cell r="D623">
            <v>153</v>
          </cell>
          <cell r="E623">
            <v>-153</v>
          </cell>
        </row>
        <row r="624">
          <cell r="A624">
            <v>4826</v>
          </cell>
          <cell r="B624" t="str">
            <v>TORNILLO C/G 1/8"X1.1/2"</v>
          </cell>
          <cell r="C624">
            <v>53.3</v>
          </cell>
          <cell r="D624">
            <v>53.3</v>
          </cell>
          <cell r="E624">
            <v>-53.3</v>
          </cell>
        </row>
        <row r="625">
          <cell r="A625">
            <v>4825</v>
          </cell>
          <cell r="B625" t="str">
            <v>TORNILLO C/G 1/8"X1.1/4"</v>
          </cell>
          <cell r="C625">
            <v>525</v>
          </cell>
          <cell r="D625">
            <v>350</v>
          </cell>
          <cell r="E625">
            <v>-525</v>
          </cell>
        </row>
        <row r="626">
          <cell r="B626" t="str">
            <v>TORNILLO C/G 1/8"X1.1/4"</v>
          </cell>
          <cell r="D626">
            <v>175</v>
          </cell>
          <cell r="E626">
            <v>0</v>
          </cell>
        </row>
        <row r="627">
          <cell r="A627">
            <v>4824</v>
          </cell>
          <cell r="B627" t="str">
            <v>TORNILLO C/G 1/8"X3/4"</v>
          </cell>
          <cell r="C627">
            <v>254.51</v>
          </cell>
          <cell r="D627">
            <v>254.51</v>
          </cell>
          <cell r="E627">
            <v>-254.51</v>
          </cell>
        </row>
        <row r="628">
          <cell r="A628">
            <v>4827</v>
          </cell>
          <cell r="B628" t="str">
            <v>TORNILLO C/G 5/32"X1/2"</v>
          </cell>
          <cell r="C628">
            <v>144.5</v>
          </cell>
          <cell r="D628">
            <v>144.5</v>
          </cell>
          <cell r="E628">
            <v>-144.5</v>
          </cell>
        </row>
        <row r="629">
          <cell r="A629">
            <v>4791</v>
          </cell>
          <cell r="B629" t="str">
            <v>TORNILLO C/H 1/2"X1"</v>
          </cell>
          <cell r="C629">
            <v>4212.6000000000004</v>
          </cell>
          <cell r="D629">
            <v>4212.6000000000004</v>
          </cell>
          <cell r="E629">
            <v>-4212.6000000000004</v>
          </cell>
        </row>
        <row r="630">
          <cell r="A630">
            <v>4792</v>
          </cell>
          <cell r="B630" t="str">
            <v>TORNILLO C/H 1/2"X1.1/4"</v>
          </cell>
          <cell r="C630">
            <v>2850.33</v>
          </cell>
          <cell r="D630">
            <v>2850.33</v>
          </cell>
          <cell r="E630">
            <v>-2850.33</v>
          </cell>
        </row>
        <row r="631">
          <cell r="A631">
            <v>4794</v>
          </cell>
          <cell r="B631" t="str">
            <v>TORNILLO C/H 1/2"X2"</v>
          </cell>
          <cell r="C631">
            <v>15797.720000000001</v>
          </cell>
          <cell r="D631">
            <v>6549.72</v>
          </cell>
          <cell r="E631">
            <v>-15797.720000000001</v>
          </cell>
        </row>
        <row r="632">
          <cell r="B632" t="str">
            <v>TORNILLO C/H 1/2"X2"</v>
          </cell>
          <cell r="D632">
            <v>6936</v>
          </cell>
          <cell r="E632">
            <v>0</v>
          </cell>
        </row>
        <row r="633">
          <cell r="B633" t="str">
            <v>TORNILLO C/H 1/2"X2"</v>
          </cell>
          <cell r="D633">
            <v>2312</v>
          </cell>
          <cell r="E633">
            <v>0</v>
          </cell>
        </row>
        <row r="634">
          <cell r="A634">
            <v>4798</v>
          </cell>
          <cell r="B634" t="str">
            <v>TORNILLO C/H 1/2"X4"</v>
          </cell>
          <cell r="C634">
            <v>1693.18</v>
          </cell>
          <cell r="D634">
            <v>1693.18</v>
          </cell>
          <cell r="E634">
            <v>-1693.18</v>
          </cell>
        </row>
        <row r="635">
          <cell r="A635">
            <v>4761</v>
          </cell>
          <cell r="B635" t="str">
            <v>TORNILLO C/H 1/4"X1"</v>
          </cell>
          <cell r="C635">
            <v>9996</v>
          </cell>
          <cell r="D635">
            <v>816</v>
          </cell>
          <cell r="E635">
            <v>-9996</v>
          </cell>
        </row>
        <row r="636">
          <cell r="B636" t="str">
            <v>TORNILLO C/H 1/4"X1"</v>
          </cell>
          <cell r="D636">
            <v>2040</v>
          </cell>
          <cell r="E636">
            <v>0</v>
          </cell>
        </row>
        <row r="637">
          <cell r="B637" t="str">
            <v>TORNILLO C/H 1/4"X1"</v>
          </cell>
          <cell r="D637">
            <v>2040</v>
          </cell>
          <cell r="E637">
            <v>0</v>
          </cell>
        </row>
        <row r="638">
          <cell r="B638" t="str">
            <v>TORNILLO C/H 1/4"X1"</v>
          </cell>
          <cell r="D638">
            <v>1020</v>
          </cell>
          <cell r="E638">
            <v>0</v>
          </cell>
        </row>
        <row r="639">
          <cell r="B639" t="str">
            <v>TORNILLO C/H 1/4"X1"</v>
          </cell>
          <cell r="D639">
            <v>4080</v>
          </cell>
          <cell r="E639">
            <v>0</v>
          </cell>
        </row>
        <row r="640">
          <cell r="A640">
            <v>4762</v>
          </cell>
          <cell r="B640" t="str">
            <v>TORNILLO C/H 1/4"X1.1/4"</v>
          </cell>
          <cell r="C640">
            <v>1032.75</v>
          </cell>
          <cell r="D640">
            <v>459</v>
          </cell>
          <cell r="E640">
            <v>-1032.75</v>
          </cell>
        </row>
        <row r="641">
          <cell r="B641" t="str">
            <v>TORNILLO C/H 1/4"X1.1/4"</v>
          </cell>
          <cell r="D641">
            <v>573.75</v>
          </cell>
          <cell r="E641">
            <v>0</v>
          </cell>
        </row>
        <row r="642">
          <cell r="A642">
            <v>4759</v>
          </cell>
          <cell r="B642" t="str">
            <v>TORNILLO C/H 1/4"X1/2"</v>
          </cell>
          <cell r="C642">
            <v>4886.6699999999992</v>
          </cell>
          <cell r="D642">
            <v>922.01</v>
          </cell>
          <cell r="E642">
            <v>-4886.6699999999992</v>
          </cell>
        </row>
        <row r="643">
          <cell r="B643" t="str">
            <v>TORNILLO C/H 1/4"X1/2"</v>
          </cell>
          <cell r="D643">
            <v>737.61</v>
          </cell>
          <cell r="E643">
            <v>0</v>
          </cell>
        </row>
        <row r="644">
          <cell r="B644" t="str">
            <v>TORNILLO C/H 1/4"X1/2"</v>
          </cell>
          <cell r="D644">
            <v>1383.02</v>
          </cell>
          <cell r="E644">
            <v>0</v>
          </cell>
        </row>
        <row r="645">
          <cell r="B645" t="str">
            <v>TORNILLO C/H 1/4"X1/2"</v>
          </cell>
          <cell r="D645">
            <v>1106.42</v>
          </cell>
          <cell r="E645">
            <v>0</v>
          </cell>
        </row>
        <row r="646">
          <cell r="B646" t="str">
            <v>TORNILLO C/H 1/4"X1/2"</v>
          </cell>
          <cell r="D646">
            <v>737.61</v>
          </cell>
          <cell r="E646">
            <v>0</v>
          </cell>
        </row>
        <row r="647">
          <cell r="A647">
            <v>4765</v>
          </cell>
          <cell r="B647" t="str">
            <v>TORNILLO C/H 1/4"X2"</v>
          </cell>
          <cell r="C647">
            <v>479.53</v>
          </cell>
          <cell r="D647">
            <v>479.53</v>
          </cell>
          <cell r="E647">
            <v>-479.53</v>
          </cell>
        </row>
        <row r="648">
          <cell r="A648">
            <v>4766</v>
          </cell>
          <cell r="B648" t="str">
            <v>TORNILLO C/H 1/4"X2.1/2"</v>
          </cell>
          <cell r="C648">
            <v>1825.6299999999999</v>
          </cell>
          <cell r="D648">
            <v>1217.0899999999999</v>
          </cell>
          <cell r="E648">
            <v>-1825.6299999999999</v>
          </cell>
        </row>
        <row r="649">
          <cell r="B649" t="str">
            <v>TORNILLO C/H 1/4"X2.1/2"</v>
          </cell>
          <cell r="D649">
            <v>608.54</v>
          </cell>
          <cell r="E649">
            <v>0</v>
          </cell>
        </row>
        <row r="650">
          <cell r="A650">
            <v>4760</v>
          </cell>
          <cell r="B650" t="str">
            <v>TORNILLO C/H 1/4"X3/4"</v>
          </cell>
          <cell r="C650">
            <v>10608</v>
          </cell>
          <cell r="D650">
            <v>3060</v>
          </cell>
          <cell r="E650">
            <v>-10608</v>
          </cell>
        </row>
        <row r="651">
          <cell r="B651" t="str">
            <v>TORNILLO C/H 1/4"X3/4"</v>
          </cell>
          <cell r="D651">
            <v>408</v>
          </cell>
          <cell r="E651">
            <v>0</v>
          </cell>
        </row>
        <row r="652">
          <cell r="B652" t="str">
            <v>TORNILLO C/H 1/4"X3/4"</v>
          </cell>
          <cell r="D652">
            <v>2040</v>
          </cell>
          <cell r="E652">
            <v>0</v>
          </cell>
        </row>
        <row r="653">
          <cell r="B653" t="str">
            <v>TORNILLO C/H 1/4"X3/4"</v>
          </cell>
          <cell r="D653">
            <v>5100</v>
          </cell>
          <cell r="E653">
            <v>0</v>
          </cell>
        </row>
        <row r="654">
          <cell r="A654">
            <v>4736</v>
          </cell>
          <cell r="B654" t="str">
            <v>TORNILLO C/H 10X25MM</v>
          </cell>
          <cell r="C654">
            <v>1255.3</v>
          </cell>
          <cell r="D654">
            <v>1255.3</v>
          </cell>
          <cell r="E654">
            <v>-1255.3</v>
          </cell>
        </row>
        <row r="655">
          <cell r="A655">
            <v>4739</v>
          </cell>
          <cell r="B655" t="str">
            <v>TORNILLO C/H 10X40MM</v>
          </cell>
          <cell r="C655">
            <v>2127.33</v>
          </cell>
          <cell r="D655">
            <v>2127.33</v>
          </cell>
          <cell r="E655">
            <v>-2127.33</v>
          </cell>
        </row>
        <row r="656">
          <cell r="A656">
            <v>4741</v>
          </cell>
          <cell r="B656" t="str">
            <v>TORNILLO C/H 10X50MM</v>
          </cell>
          <cell r="C656">
            <v>3508.59</v>
          </cell>
          <cell r="D656">
            <v>3508.59</v>
          </cell>
          <cell r="E656">
            <v>-3508.59</v>
          </cell>
        </row>
        <row r="657">
          <cell r="A657">
            <v>47710</v>
          </cell>
          <cell r="B657" t="str">
            <v>TORNILLO C/H 12X130MM</v>
          </cell>
          <cell r="C657">
            <v>7820</v>
          </cell>
          <cell r="D657">
            <v>7820</v>
          </cell>
          <cell r="E657">
            <v>-7820</v>
          </cell>
        </row>
        <row r="658">
          <cell r="A658">
            <v>4745</v>
          </cell>
          <cell r="B658" t="str">
            <v>TORNILLO C/H 12X25MM</v>
          </cell>
          <cell r="C658">
            <v>1734</v>
          </cell>
          <cell r="D658">
            <v>1734</v>
          </cell>
          <cell r="E658">
            <v>-1734</v>
          </cell>
        </row>
        <row r="659">
          <cell r="A659">
            <v>4746</v>
          </cell>
          <cell r="B659" t="str">
            <v>TORNILLO C/H 12X30MM</v>
          </cell>
          <cell r="C659">
            <v>2797.54</v>
          </cell>
          <cell r="D659">
            <v>1398.77</v>
          </cell>
          <cell r="E659">
            <v>-2797.54</v>
          </cell>
        </row>
        <row r="660">
          <cell r="B660" t="str">
            <v>TORNILLO C/H 12X30MM</v>
          </cell>
          <cell r="D660">
            <v>1398.77</v>
          </cell>
          <cell r="E660">
            <v>0</v>
          </cell>
        </row>
        <row r="661">
          <cell r="A661">
            <v>4747</v>
          </cell>
          <cell r="B661" t="str">
            <v>TORNILLO C/H 12X35MM</v>
          </cell>
          <cell r="C661">
            <v>18891.36</v>
          </cell>
          <cell r="D661">
            <v>18891.36</v>
          </cell>
          <cell r="E661">
            <v>-18891.36</v>
          </cell>
        </row>
        <row r="662">
          <cell r="A662">
            <v>4748</v>
          </cell>
          <cell r="B662" t="str">
            <v>TORNILLO C/H 12X40MM</v>
          </cell>
          <cell r="C662">
            <v>7240.14</v>
          </cell>
          <cell r="D662">
            <v>2413.38</v>
          </cell>
          <cell r="E662">
            <v>-7240.14</v>
          </cell>
        </row>
        <row r="663">
          <cell r="B663" t="str">
            <v>TORNILLO C/H 12X40MM</v>
          </cell>
          <cell r="D663">
            <v>2413.38</v>
          </cell>
          <cell r="E663">
            <v>0</v>
          </cell>
        </row>
        <row r="664">
          <cell r="B664" t="str">
            <v>TORNILLO C/H 12X40MM</v>
          </cell>
          <cell r="D664">
            <v>2413.38</v>
          </cell>
          <cell r="E664">
            <v>0</v>
          </cell>
        </row>
        <row r="665">
          <cell r="A665">
            <v>4749</v>
          </cell>
          <cell r="B665" t="str">
            <v>TORNILLO C/H 12X45MM</v>
          </cell>
          <cell r="C665">
            <v>3242.1</v>
          </cell>
          <cell r="D665">
            <v>1945.26</v>
          </cell>
          <cell r="E665">
            <v>-3242.1</v>
          </cell>
        </row>
        <row r="666">
          <cell r="B666" t="str">
            <v>TORNILLO C/H 12X45MM</v>
          </cell>
          <cell r="D666">
            <v>1296.8399999999999</v>
          </cell>
          <cell r="E666">
            <v>0</v>
          </cell>
        </row>
        <row r="667">
          <cell r="A667">
            <v>4754</v>
          </cell>
          <cell r="B667" t="str">
            <v>TORNILLO C/H 16X70MM</v>
          </cell>
          <cell r="C667">
            <v>4814.97</v>
          </cell>
          <cell r="D667">
            <v>4814.97</v>
          </cell>
          <cell r="E667">
            <v>-4814.97</v>
          </cell>
        </row>
        <row r="668">
          <cell r="A668">
            <v>4780</v>
          </cell>
          <cell r="B668" t="str">
            <v>TORNILLO C/H 3/8"X1"</v>
          </cell>
          <cell r="C668">
            <v>5935.57</v>
          </cell>
          <cell r="D668">
            <v>678.35</v>
          </cell>
          <cell r="E668">
            <v>-5935.57</v>
          </cell>
        </row>
        <row r="669">
          <cell r="B669" t="str">
            <v>TORNILLO C/H 3/8"X1"</v>
          </cell>
          <cell r="D669">
            <v>1695.88</v>
          </cell>
          <cell r="E669">
            <v>0</v>
          </cell>
        </row>
        <row r="670">
          <cell r="B670" t="str">
            <v>TORNILLO C/H 3/8"X1"</v>
          </cell>
          <cell r="D670">
            <v>1017.52</v>
          </cell>
          <cell r="E670">
            <v>0</v>
          </cell>
        </row>
        <row r="671">
          <cell r="B671" t="str">
            <v>TORNILLO C/H 3/8"X1"</v>
          </cell>
          <cell r="D671">
            <v>2543.8200000000002</v>
          </cell>
          <cell r="E671">
            <v>0</v>
          </cell>
        </row>
        <row r="672">
          <cell r="A672">
            <v>4782</v>
          </cell>
          <cell r="B672" t="str">
            <v>TORNILLO C/H 3/8"X1.1/2"</v>
          </cell>
          <cell r="C672">
            <v>3553</v>
          </cell>
          <cell r="D672">
            <v>748</v>
          </cell>
          <cell r="E672">
            <v>-3553</v>
          </cell>
        </row>
        <row r="673">
          <cell r="B673" t="str">
            <v>TORNILLO C/H 3/8"X1.1/2"</v>
          </cell>
          <cell r="D673">
            <v>1870</v>
          </cell>
          <cell r="E673">
            <v>0</v>
          </cell>
        </row>
        <row r="674">
          <cell r="B674" t="str">
            <v>TORNILLO C/H 3/8"X1.1/2"</v>
          </cell>
          <cell r="D674">
            <v>187</v>
          </cell>
          <cell r="E674">
            <v>0</v>
          </cell>
        </row>
        <row r="675">
          <cell r="B675" t="str">
            <v>TORNILLO C/H 3/8"X1.1/2"</v>
          </cell>
          <cell r="D675">
            <v>748</v>
          </cell>
          <cell r="E675">
            <v>0</v>
          </cell>
        </row>
        <row r="676">
          <cell r="A676">
            <v>4781</v>
          </cell>
          <cell r="B676" t="str">
            <v>TORNILLO C/H 3/8"X1.1/4"</v>
          </cell>
          <cell r="C676">
            <v>2505.58</v>
          </cell>
          <cell r="D676">
            <v>1789.7</v>
          </cell>
          <cell r="E676">
            <v>-2505.58</v>
          </cell>
        </row>
        <row r="677">
          <cell r="B677" t="str">
            <v>TORNILLO C/H 3/8"X1.1/4"</v>
          </cell>
          <cell r="D677">
            <v>715.88</v>
          </cell>
          <cell r="E677">
            <v>0</v>
          </cell>
        </row>
        <row r="678">
          <cell r="A678">
            <v>4783</v>
          </cell>
          <cell r="B678" t="str">
            <v>TORNILLO C/H 3/8"X2"</v>
          </cell>
          <cell r="C678">
            <v>3041.11</v>
          </cell>
          <cell r="D678">
            <v>3041.11</v>
          </cell>
          <cell r="E678">
            <v>-3041.11</v>
          </cell>
        </row>
        <row r="679">
          <cell r="A679">
            <v>4784</v>
          </cell>
          <cell r="B679" t="str">
            <v>TORNILLO C/H 3/8"X2.1/2"</v>
          </cell>
          <cell r="C679">
            <v>2830.5</v>
          </cell>
          <cell r="D679">
            <v>2830.5</v>
          </cell>
          <cell r="E679">
            <v>-2830.5</v>
          </cell>
        </row>
        <row r="680">
          <cell r="A680">
            <v>4785</v>
          </cell>
          <cell r="B680" t="str">
            <v>TORNILLO C/H 3/8"X3"</v>
          </cell>
          <cell r="C680">
            <v>1672.58</v>
          </cell>
          <cell r="D680">
            <v>1672.58</v>
          </cell>
          <cell r="E680">
            <v>-1672.58</v>
          </cell>
        </row>
        <row r="681">
          <cell r="A681">
            <v>4772</v>
          </cell>
          <cell r="B681" t="str">
            <v>TORNILLO C/H 5/16"X1"</v>
          </cell>
          <cell r="C681">
            <v>1428</v>
          </cell>
          <cell r="D681">
            <v>1428</v>
          </cell>
          <cell r="E681">
            <v>-1428</v>
          </cell>
        </row>
        <row r="682">
          <cell r="A682">
            <v>4773</v>
          </cell>
          <cell r="B682" t="str">
            <v>TORNILLO C/H 5/16"X1.1/4"</v>
          </cell>
          <cell r="C682">
            <v>1420.7</v>
          </cell>
          <cell r="D682">
            <v>1420.7</v>
          </cell>
          <cell r="E682">
            <v>-1420.7</v>
          </cell>
        </row>
        <row r="683">
          <cell r="A683">
            <v>4770</v>
          </cell>
          <cell r="B683" t="str">
            <v>TORNILLO C/H 5/16"X1/2"</v>
          </cell>
          <cell r="C683">
            <v>920</v>
          </cell>
          <cell r="D683">
            <v>184</v>
          </cell>
          <cell r="E683">
            <v>-920</v>
          </cell>
        </row>
        <row r="684">
          <cell r="B684" t="str">
            <v>TORNILLO C/H 5/16"X1/2"</v>
          </cell>
          <cell r="D684">
            <v>736</v>
          </cell>
          <cell r="E684">
            <v>0</v>
          </cell>
        </row>
        <row r="685">
          <cell r="A685">
            <v>4776</v>
          </cell>
          <cell r="B685" t="str">
            <v>TORNILLO C/H 5/16"X2.1/2"</v>
          </cell>
          <cell r="C685">
            <v>212.5</v>
          </cell>
          <cell r="D685">
            <v>212.5</v>
          </cell>
          <cell r="E685">
            <v>-212.5</v>
          </cell>
        </row>
        <row r="686">
          <cell r="A686">
            <v>4771</v>
          </cell>
          <cell r="B686" t="str">
            <v>TORNILLO C/H 5/16"X3/4"</v>
          </cell>
          <cell r="C686">
            <v>4406.3999999999996</v>
          </cell>
          <cell r="D686">
            <v>1142.4000000000001</v>
          </cell>
          <cell r="E686">
            <v>-4406.3999999999996</v>
          </cell>
        </row>
        <row r="687">
          <cell r="B687" t="str">
            <v>TORNILLO C/H 5/16"X3/4"</v>
          </cell>
          <cell r="D687">
            <v>3264</v>
          </cell>
          <cell r="E687">
            <v>0</v>
          </cell>
        </row>
        <row r="688">
          <cell r="A688">
            <v>4808</v>
          </cell>
          <cell r="B688" t="str">
            <v>TORNILLO C/H 5/8"X3.1/2"</v>
          </cell>
          <cell r="C688">
            <v>17680</v>
          </cell>
          <cell r="D688">
            <v>17680</v>
          </cell>
          <cell r="E688">
            <v>-17680</v>
          </cell>
        </row>
        <row r="689">
          <cell r="A689">
            <v>4716</v>
          </cell>
          <cell r="B689" t="str">
            <v>TORNILLO C/H 5X20MM</v>
          </cell>
          <cell r="C689">
            <v>204</v>
          </cell>
          <cell r="D689">
            <v>204</v>
          </cell>
          <cell r="E689">
            <v>-204</v>
          </cell>
        </row>
        <row r="690">
          <cell r="A690">
            <v>4721</v>
          </cell>
          <cell r="B690" t="str">
            <v>TORNILLO C/H 6X15MM</v>
          </cell>
          <cell r="C690">
            <v>2701.6099999999997</v>
          </cell>
          <cell r="D690">
            <v>2251.35</v>
          </cell>
          <cell r="E690">
            <v>-2701.6099999999997</v>
          </cell>
        </row>
        <row r="691">
          <cell r="B691" t="str">
            <v>TORNILLO C/H 6X15MM</v>
          </cell>
          <cell r="D691">
            <v>450.26</v>
          </cell>
          <cell r="E691">
            <v>0</v>
          </cell>
        </row>
        <row r="692">
          <cell r="A692">
            <v>4722</v>
          </cell>
          <cell r="B692" t="str">
            <v>TORNILLO C/H 6X20MM</v>
          </cell>
          <cell r="C692">
            <v>2379.88</v>
          </cell>
          <cell r="D692">
            <v>169.99</v>
          </cell>
          <cell r="E692">
            <v>-2379.88</v>
          </cell>
        </row>
        <row r="693">
          <cell r="A693">
            <v>4722</v>
          </cell>
          <cell r="B693" t="str">
            <v>TORNILLO C/H 6X20MM</v>
          </cell>
          <cell r="D693">
            <v>849.98</v>
          </cell>
          <cell r="E693">
            <v>0</v>
          </cell>
        </row>
        <row r="694">
          <cell r="A694">
            <v>4722</v>
          </cell>
          <cell r="B694" t="str">
            <v>TORNILLO C/H 6X20MM</v>
          </cell>
          <cell r="D694">
            <v>1359.91</v>
          </cell>
          <cell r="E694">
            <v>0</v>
          </cell>
        </row>
        <row r="695">
          <cell r="A695">
            <v>4723</v>
          </cell>
          <cell r="B695" t="str">
            <v>TORNILLO C/H 6X25MM</v>
          </cell>
          <cell r="C695">
            <v>1485.29</v>
          </cell>
          <cell r="D695">
            <v>1485.29</v>
          </cell>
          <cell r="E695">
            <v>-1485.29</v>
          </cell>
        </row>
        <row r="696">
          <cell r="A696">
            <v>4725</v>
          </cell>
          <cell r="B696" t="str">
            <v>TORNILLO C/H 6X35MM</v>
          </cell>
          <cell r="C696">
            <v>238</v>
          </cell>
          <cell r="D696">
            <v>238</v>
          </cell>
          <cell r="E696">
            <v>-238</v>
          </cell>
        </row>
        <row r="697">
          <cell r="A697">
            <v>4728</v>
          </cell>
          <cell r="B697" t="str">
            <v>TORNILLO C/H 8X15mm</v>
          </cell>
          <cell r="C697">
            <v>2050.0700000000002</v>
          </cell>
          <cell r="D697">
            <v>2050.0700000000002</v>
          </cell>
          <cell r="E697">
            <v>-2050.0700000000002</v>
          </cell>
        </row>
        <row r="698">
          <cell r="A698">
            <v>4729</v>
          </cell>
          <cell r="B698" t="str">
            <v>TORNILLO C/H 8X20mm</v>
          </cell>
          <cell r="C698">
            <v>6451.5</v>
          </cell>
          <cell r="D698">
            <v>3506.25</v>
          </cell>
          <cell r="E698">
            <v>-6451.5</v>
          </cell>
        </row>
        <row r="699">
          <cell r="B699" t="str">
            <v>TORNILLO C/H 8X20mm</v>
          </cell>
          <cell r="D699">
            <v>2945.25</v>
          </cell>
          <cell r="E699">
            <v>0</v>
          </cell>
        </row>
        <row r="700">
          <cell r="A700">
            <v>4730</v>
          </cell>
          <cell r="B700" t="str">
            <v>TORNILLO C/H 8X25mm</v>
          </cell>
          <cell r="C700">
            <v>4929.78</v>
          </cell>
          <cell r="D700">
            <v>1643.26</v>
          </cell>
          <cell r="E700">
            <v>-4929.78</v>
          </cell>
        </row>
        <row r="701">
          <cell r="B701" t="str">
            <v>TORNILLO C/H 8X25mm</v>
          </cell>
          <cell r="D701">
            <v>3286.52</v>
          </cell>
          <cell r="E701">
            <v>0</v>
          </cell>
        </row>
        <row r="702">
          <cell r="A702">
            <v>4731</v>
          </cell>
          <cell r="B702" t="str">
            <v>TORNILLO C/H 8X30mm</v>
          </cell>
          <cell r="C702">
            <v>665.49</v>
          </cell>
          <cell r="D702">
            <v>665.49</v>
          </cell>
          <cell r="E702">
            <v>-665.49</v>
          </cell>
        </row>
        <row r="703">
          <cell r="A703">
            <v>4702</v>
          </cell>
          <cell r="B703" t="str">
            <v>TORNILLO CARRIAJE 1/4"X3/4"</v>
          </cell>
          <cell r="C703">
            <v>1020</v>
          </cell>
          <cell r="D703">
            <v>1020</v>
          </cell>
          <cell r="E703">
            <v>-1020</v>
          </cell>
        </row>
        <row r="704">
          <cell r="A704">
            <v>4860</v>
          </cell>
          <cell r="B704" t="str">
            <v>TORNILLO LAMINA 10X3/4"</v>
          </cell>
          <cell r="C704">
            <v>408.17</v>
          </cell>
          <cell r="D704">
            <v>408.17</v>
          </cell>
          <cell r="E704">
            <v>-408.17</v>
          </cell>
        </row>
        <row r="705">
          <cell r="A705">
            <v>4851</v>
          </cell>
          <cell r="B705" t="str">
            <v>TORNILLO LAMINA 6X1/2"</v>
          </cell>
          <cell r="C705">
            <v>238</v>
          </cell>
          <cell r="D705">
            <v>238</v>
          </cell>
          <cell r="E705">
            <v>-238</v>
          </cell>
        </row>
        <row r="706">
          <cell r="A706">
            <v>4855</v>
          </cell>
          <cell r="B706" t="str">
            <v>TORNILLO LAMINA 8X3/4"</v>
          </cell>
          <cell r="C706">
            <v>408</v>
          </cell>
          <cell r="D706">
            <v>408</v>
          </cell>
          <cell r="E706">
            <v>-408</v>
          </cell>
        </row>
        <row r="707">
          <cell r="A707">
            <v>4913</v>
          </cell>
          <cell r="B707" t="str">
            <v>TORNILLO PRISIONERO 1/4"X1/2"</v>
          </cell>
          <cell r="C707">
            <v>755.7</v>
          </cell>
          <cell r="D707">
            <v>412.2</v>
          </cell>
          <cell r="E707">
            <v>-755.7</v>
          </cell>
        </row>
        <row r="708">
          <cell r="B708" t="str">
            <v>TORNILLO PRISIONERO 1/4"X1/2"</v>
          </cell>
          <cell r="D708">
            <v>343.5</v>
          </cell>
          <cell r="E708">
            <v>0</v>
          </cell>
        </row>
        <row r="709">
          <cell r="A709">
            <v>4911</v>
          </cell>
          <cell r="B709" t="str">
            <v>TORNILLO PRISIONERO 1/4"X1/4"</v>
          </cell>
          <cell r="C709">
            <v>424.51</v>
          </cell>
          <cell r="D709">
            <v>424.51</v>
          </cell>
          <cell r="E709">
            <v>-424.51</v>
          </cell>
        </row>
        <row r="710">
          <cell r="A710">
            <v>4914</v>
          </cell>
          <cell r="B710" t="str">
            <v>TORNILLO PRISIONERO 1/4"X3/4"</v>
          </cell>
          <cell r="C710">
            <v>551.76</v>
          </cell>
          <cell r="D710">
            <v>551.76</v>
          </cell>
          <cell r="E710">
            <v>-551.76</v>
          </cell>
        </row>
        <row r="711">
          <cell r="A711">
            <v>4898</v>
          </cell>
          <cell r="B711" t="str">
            <v>TORNILLO PRISIONERO 10X15MM</v>
          </cell>
          <cell r="C711">
            <v>11934</v>
          </cell>
          <cell r="D711">
            <v>3978</v>
          </cell>
          <cell r="E711">
            <v>-11934</v>
          </cell>
        </row>
        <row r="712">
          <cell r="B712" t="str">
            <v>TORNILLO PRISIONERO 10X15MM</v>
          </cell>
          <cell r="D712">
            <v>1326</v>
          </cell>
          <cell r="E712">
            <v>0</v>
          </cell>
        </row>
        <row r="713">
          <cell r="B713" t="str">
            <v>TORNILLO PRISIONERO 10X15MM</v>
          </cell>
          <cell r="D713">
            <v>6630</v>
          </cell>
          <cell r="E713">
            <v>0</v>
          </cell>
        </row>
        <row r="714">
          <cell r="A714">
            <v>4899</v>
          </cell>
          <cell r="B714" t="str">
            <v>TORNILLO PRISIONERO 10X20mm</v>
          </cell>
          <cell r="C714">
            <v>1328.97</v>
          </cell>
          <cell r="D714">
            <v>1328.97</v>
          </cell>
          <cell r="E714">
            <v>-1328.97</v>
          </cell>
        </row>
        <row r="715">
          <cell r="A715">
            <v>4902</v>
          </cell>
          <cell r="B715" t="str">
            <v>TORNILLO PRISIONERO 10X45mm</v>
          </cell>
          <cell r="C715">
            <v>950.4</v>
          </cell>
          <cell r="D715">
            <v>950.4</v>
          </cell>
          <cell r="E715">
            <v>-950.4</v>
          </cell>
        </row>
        <row r="716">
          <cell r="A716">
            <v>4905</v>
          </cell>
          <cell r="B716" t="str">
            <v>TORNILLO PRISIONERO 12X30mm</v>
          </cell>
          <cell r="C716">
            <v>729.3</v>
          </cell>
          <cell r="D716">
            <v>729.3</v>
          </cell>
          <cell r="E716">
            <v>-729.3</v>
          </cell>
        </row>
        <row r="717">
          <cell r="A717">
            <v>4908</v>
          </cell>
          <cell r="B717" t="str">
            <v>TORNILLO PRISIONERO 3/16"X3/8"</v>
          </cell>
          <cell r="C717">
            <v>434.77</v>
          </cell>
          <cell r="D717">
            <v>434.77</v>
          </cell>
          <cell r="E717">
            <v>-434.77</v>
          </cell>
        </row>
        <row r="718">
          <cell r="A718">
            <v>4928</v>
          </cell>
          <cell r="B718" t="str">
            <v>TORNILLO PRISIONERO 3/8"X1.1/2</v>
          </cell>
          <cell r="C718">
            <v>512.6</v>
          </cell>
          <cell r="D718">
            <v>512.6</v>
          </cell>
          <cell r="E718">
            <v>-512.6</v>
          </cell>
        </row>
        <row r="719">
          <cell r="A719">
            <v>4927</v>
          </cell>
          <cell r="B719" t="str">
            <v>TORNILLO PRISIONERO 3/8"X1.1/4</v>
          </cell>
          <cell r="C719">
            <v>797.08</v>
          </cell>
          <cell r="D719">
            <v>797.08</v>
          </cell>
          <cell r="E719">
            <v>-797.08</v>
          </cell>
        </row>
        <row r="720">
          <cell r="A720">
            <v>4924</v>
          </cell>
          <cell r="B720" t="str">
            <v>TORNILLO PRISIONERO 3/8"X1/2"</v>
          </cell>
          <cell r="C720">
            <v>1606.5</v>
          </cell>
          <cell r="D720">
            <v>963.9</v>
          </cell>
          <cell r="E720">
            <v>-1606.5</v>
          </cell>
        </row>
        <row r="721">
          <cell r="B721" t="str">
            <v>TORNILLO PRISIONERO 3/8"X1/2"</v>
          </cell>
          <cell r="D721">
            <v>642.6</v>
          </cell>
          <cell r="E721">
            <v>0</v>
          </cell>
        </row>
        <row r="722">
          <cell r="A722">
            <v>4925</v>
          </cell>
          <cell r="B722" t="str">
            <v>TORNILLO PRISIONERO 3/8"X3/4"</v>
          </cell>
          <cell r="C722">
            <v>1071</v>
          </cell>
          <cell r="D722">
            <v>1071</v>
          </cell>
          <cell r="E722">
            <v>-1071</v>
          </cell>
        </row>
        <row r="723">
          <cell r="A723">
            <v>4918</v>
          </cell>
          <cell r="B723" t="str">
            <v>TORNILLO PRISIONERO 5/16"X1/2"</v>
          </cell>
          <cell r="C723">
            <v>765</v>
          </cell>
          <cell r="D723">
            <v>765</v>
          </cell>
          <cell r="E723">
            <v>-765</v>
          </cell>
        </row>
        <row r="724">
          <cell r="A724">
            <v>4919</v>
          </cell>
          <cell r="B724" t="str">
            <v>TORNILLO PRISIONERO 5/16"X3/4"</v>
          </cell>
          <cell r="C724">
            <v>979.2</v>
          </cell>
          <cell r="D724">
            <v>979.2</v>
          </cell>
          <cell r="E724">
            <v>-979.2</v>
          </cell>
        </row>
        <row r="725">
          <cell r="A725">
            <v>4890</v>
          </cell>
          <cell r="B725" t="str">
            <v>TORNILLO PRISIONERO 6X16mm</v>
          </cell>
          <cell r="C725">
            <v>10696</v>
          </cell>
          <cell r="D725">
            <v>10696</v>
          </cell>
          <cell r="E725">
            <v>-10696</v>
          </cell>
        </row>
        <row r="726">
          <cell r="A726">
            <v>4894</v>
          </cell>
          <cell r="B726" t="str">
            <v>TORNILLO PRISIONERO 8X10mm</v>
          </cell>
          <cell r="C726">
            <v>2176</v>
          </cell>
          <cell r="D726">
            <v>544</v>
          </cell>
          <cell r="E726">
            <v>-2176</v>
          </cell>
        </row>
        <row r="727">
          <cell r="B727" t="str">
            <v>TORNILLO PRISIONERO 8X10mm</v>
          </cell>
          <cell r="D727">
            <v>1088</v>
          </cell>
          <cell r="E727">
            <v>0</v>
          </cell>
        </row>
        <row r="728">
          <cell r="B728" t="str">
            <v>TORNILLO PRISIONERO 8X10mm</v>
          </cell>
          <cell r="D728">
            <v>544</v>
          </cell>
          <cell r="E728">
            <v>0</v>
          </cell>
        </row>
        <row r="729">
          <cell r="A729">
            <v>4895</v>
          </cell>
          <cell r="B729" t="str">
            <v>TORNILLO PRISIONERO 8X15mm</v>
          </cell>
          <cell r="C729">
            <v>8415</v>
          </cell>
          <cell r="D729">
            <v>7012.5</v>
          </cell>
          <cell r="E729">
            <v>-8415</v>
          </cell>
        </row>
        <row r="730">
          <cell r="B730" t="str">
            <v>TORNILLO PRISIONERO 8X15mm</v>
          </cell>
          <cell r="D730">
            <v>1402.5</v>
          </cell>
          <cell r="E730">
            <v>0</v>
          </cell>
        </row>
        <row r="731">
          <cell r="A731">
            <v>4896</v>
          </cell>
          <cell r="B731" t="str">
            <v>TORNILLO PRISIONERO 8X20mm</v>
          </cell>
          <cell r="C731">
            <v>9098.4000000000015</v>
          </cell>
          <cell r="D731">
            <v>758.2</v>
          </cell>
          <cell r="E731">
            <v>-9098.4000000000015</v>
          </cell>
        </row>
        <row r="732">
          <cell r="B732" t="str">
            <v>TORNILLO PRISIONERO 8X20mm</v>
          </cell>
          <cell r="D732">
            <v>7582</v>
          </cell>
          <cell r="E732">
            <v>0</v>
          </cell>
        </row>
        <row r="733">
          <cell r="B733" t="str">
            <v>TORNILLO PRISIONERO 8X20mm</v>
          </cell>
          <cell r="D733">
            <v>758.2</v>
          </cell>
          <cell r="E733">
            <v>0</v>
          </cell>
        </row>
        <row r="734">
          <cell r="A734">
            <v>46060</v>
          </cell>
          <cell r="B734" t="str">
            <v>TUBO AGUA NEGRA 3"</v>
          </cell>
          <cell r="C734">
            <v>271680</v>
          </cell>
          <cell r="D734">
            <v>271680</v>
          </cell>
          <cell r="E734">
            <v>-271680</v>
          </cell>
        </row>
        <row r="735">
          <cell r="A735">
            <v>100683</v>
          </cell>
          <cell r="B735" t="str">
            <v>TUBO CONDUIT IMC 1"</v>
          </cell>
          <cell r="C735">
            <v>107460</v>
          </cell>
          <cell r="D735">
            <v>107460</v>
          </cell>
          <cell r="E735">
            <v>-107460</v>
          </cell>
        </row>
        <row r="736">
          <cell r="A736">
            <v>100682</v>
          </cell>
          <cell r="B736" t="str">
            <v>TUBO CONDUIT IMC 1/2"</v>
          </cell>
          <cell r="C736">
            <v>319080</v>
          </cell>
          <cell r="D736">
            <v>319080</v>
          </cell>
          <cell r="E736">
            <v>-319080</v>
          </cell>
        </row>
        <row r="737">
          <cell r="A737">
            <v>105163</v>
          </cell>
          <cell r="B737" t="str">
            <v>TUBO CONDUIT IMC 2"</v>
          </cell>
          <cell r="C737">
            <v>343440</v>
          </cell>
          <cell r="D737">
            <v>343440</v>
          </cell>
          <cell r="E737">
            <v>-343440</v>
          </cell>
        </row>
        <row r="738">
          <cell r="A738">
            <v>54942</v>
          </cell>
          <cell r="B738" t="str">
            <v>TUBO E.M.T. CONDUIT 1/2"</v>
          </cell>
          <cell r="C738">
            <v>26500</v>
          </cell>
          <cell r="D738">
            <v>26500</v>
          </cell>
          <cell r="E738">
            <v>-26500</v>
          </cell>
        </row>
        <row r="739">
          <cell r="A739">
            <v>105331</v>
          </cell>
          <cell r="B739" t="str">
            <v>TUBO EMT CONDUIT 1"</v>
          </cell>
          <cell r="C739">
            <v>35100</v>
          </cell>
          <cell r="D739">
            <v>35100</v>
          </cell>
          <cell r="E739">
            <v>-35100</v>
          </cell>
        </row>
        <row r="740">
          <cell r="A740">
            <v>6531</v>
          </cell>
          <cell r="B740" t="str">
            <v>TUBO FLUORESCENTE 40W</v>
          </cell>
          <cell r="C740">
            <v>22400</v>
          </cell>
          <cell r="D740">
            <v>3200</v>
          </cell>
          <cell r="E740">
            <v>-22400</v>
          </cell>
        </row>
        <row r="741">
          <cell r="B741" t="str">
            <v>TUBO FLUORESCENTE 40W</v>
          </cell>
          <cell r="D741">
            <v>19200</v>
          </cell>
          <cell r="E741">
            <v>0</v>
          </cell>
        </row>
        <row r="742">
          <cell r="A742">
            <v>103441</v>
          </cell>
          <cell r="B742" t="str">
            <v>TUBO FLUORESCENTE F32T8-SPX35</v>
          </cell>
          <cell r="C742">
            <v>26986.66</v>
          </cell>
          <cell r="D742">
            <v>26986.66</v>
          </cell>
          <cell r="E742">
            <v>-26986.66</v>
          </cell>
        </row>
        <row r="743">
          <cell r="A743">
            <v>4639</v>
          </cell>
          <cell r="B743" t="str">
            <v>TUBO GALVANIZADO 1/2"</v>
          </cell>
          <cell r="C743">
            <v>91200</v>
          </cell>
          <cell r="D743">
            <v>91200</v>
          </cell>
          <cell r="E743">
            <v>-91200</v>
          </cell>
        </row>
        <row r="744">
          <cell r="A744">
            <v>4633</v>
          </cell>
          <cell r="B744" t="str">
            <v>TUBO METALICO CONDUIT 3/4"GRIS</v>
          </cell>
          <cell r="C744">
            <v>74844</v>
          </cell>
          <cell r="D744">
            <v>74844</v>
          </cell>
          <cell r="E744">
            <v>-74844</v>
          </cell>
        </row>
        <row r="745">
          <cell r="A745">
            <v>6530</v>
          </cell>
          <cell r="B745" t="str">
            <v>TUBO SLIM LINE DAYLIGHT 39W X</v>
          </cell>
          <cell r="C745">
            <v>112010.17</v>
          </cell>
          <cell r="D745">
            <v>21002.62</v>
          </cell>
          <cell r="E745">
            <v>-112010.17</v>
          </cell>
        </row>
        <row r="746">
          <cell r="B746" t="str">
            <v>TUBO SLIM LINE DAYLIGHT 39W X</v>
          </cell>
          <cell r="D746">
            <v>42001.99</v>
          </cell>
          <cell r="E746">
            <v>0</v>
          </cell>
        </row>
        <row r="747">
          <cell r="B747" t="str">
            <v>TUBO SLIM LINE DAYLIGHT 39W X</v>
          </cell>
          <cell r="D747">
            <v>14001.75</v>
          </cell>
          <cell r="E747">
            <v>0</v>
          </cell>
        </row>
        <row r="748">
          <cell r="B748" t="str">
            <v>TUBO SLIM LINE DAYLIGHT 39W X</v>
          </cell>
          <cell r="D748">
            <v>21002.61</v>
          </cell>
          <cell r="E748">
            <v>0</v>
          </cell>
        </row>
        <row r="749">
          <cell r="B749" t="str">
            <v>TUBO SLIM LINE DAYLIGHT 39W X</v>
          </cell>
          <cell r="D749">
            <v>7000.33</v>
          </cell>
          <cell r="E749">
            <v>0</v>
          </cell>
        </row>
        <row r="750">
          <cell r="B750" t="str">
            <v>TUBO SLIM LINE DAYLIGHT 39W X</v>
          </cell>
          <cell r="D750">
            <v>7000.87</v>
          </cell>
          <cell r="E750">
            <v>0</v>
          </cell>
        </row>
        <row r="751">
          <cell r="A751">
            <v>6532</v>
          </cell>
          <cell r="B751" t="str">
            <v>TUBO SLIM LINE DAYLIGHT 75W X</v>
          </cell>
          <cell r="C751">
            <v>967500</v>
          </cell>
          <cell r="D751">
            <v>45000</v>
          </cell>
          <cell r="E751">
            <v>-967500</v>
          </cell>
        </row>
        <row r="752">
          <cell r="B752" t="str">
            <v>TUBO SLIM LINE DAYLIGHT 75W X</v>
          </cell>
          <cell r="D752">
            <v>54000</v>
          </cell>
          <cell r="E752">
            <v>0</v>
          </cell>
        </row>
        <row r="753">
          <cell r="B753" t="str">
            <v>TUBO SLIM LINE DAYLIGHT 75W X</v>
          </cell>
          <cell r="D753">
            <v>18000</v>
          </cell>
          <cell r="E753">
            <v>0</v>
          </cell>
        </row>
        <row r="754">
          <cell r="B754" t="str">
            <v>TUBO SLIM LINE DAYLIGHT 75W X</v>
          </cell>
          <cell r="D754">
            <v>567000</v>
          </cell>
          <cell r="E754">
            <v>0</v>
          </cell>
        </row>
        <row r="755">
          <cell r="B755" t="str">
            <v>TUBO SLIM LINE DAYLIGHT 75W X</v>
          </cell>
          <cell r="D755">
            <v>283500</v>
          </cell>
          <cell r="E755">
            <v>0</v>
          </cell>
        </row>
        <row r="756">
          <cell r="A756">
            <v>5142</v>
          </cell>
          <cell r="B756" t="str">
            <v>TUERCA 1/2"</v>
          </cell>
          <cell r="C756">
            <v>2244.3000000000002</v>
          </cell>
          <cell r="D756">
            <v>2244.3000000000002</v>
          </cell>
          <cell r="E756">
            <v>-2244.3000000000002</v>
          </cell>
        </row>
        <row r="757">
          <cell r="A757">
            <v>5138</v>
          </cell>
          <cell r="B757" t="str">
            <v>TUERCA 1/4"</v>
          </cell>
          <cell r="C757">
            <v>5440</v>
          </cell>
          <cell r="D757">
            <v>297.5</v>
          </cell>
          <cell r="E757">
            <v>-5440</v>
          </cell>
        </row>
        <row r="758">
          <cell r="B758" t="str">
            <v>TUERCA 1/4"</v>
          </cell>
          <cell r="D758">
            <v>255</v>
          </cell>
          <cell r="E758">
            <v>0</v>
          </cell>
        </row>
        <row r="759">
          <cell r="B759" t="str">
            <v>TUERCA 1/4"</v>
          </cell>
          <cell r="D759">
            <v>425</v>
          </cell>
          <cell r="E759">
            <v>0</v>
          </cell>
        </row>
        <row r="760">
          <cell r="B760" t="str">
            <v>TUERCA 1/4"</v>
          </cell>
          <cell r="D760">
            <v>425</v>
          </cell>
          <cell r="E760">
            <v>0</v>
          </cell>
        </row>
        <row r="761">
          <cell r="B761" t="str">
            <v>TUERCA 1/4"</v>
          </cell>
          <cell r="D761">
            <v>170</v>
          </cell>
          <cell r="E761">
            <v>0</v>
          </cell>
        </row>
        <row r="762">
          <cell r="B762" t="str">
            <v>TUERCA 1/4"</v>
          </cell>
          <cell r="D762">
            <v>637.5</v>
          </cell>
          <cell r="E762">
            <v>0</v>
          </cell>
        </row>
        <row r="763">
          <cell r="B763" t="str">
            <v>TUERCA 1/4"</v>
          </cell>
          <cell r="D763">
            <v>85</v>
          </cell>
          <cell r="E763">
            <v>0</v>
          </cell>
        </row>
        <row r="764">
          <cell r="B764" t="str">
            <v>TUERCA 1/4"</v>
          </cell>
          <cell r="D764">
            <v>318.75</v>
          </cell>
          <cell r="E764">
            <v>0</v>
          </cell>
        </row>
        <row r="765">
          <cell r="B765" t="str">
            <v>TUERCA 1/4"</v>
          </cell>
          <cell r="D765">
            <v>425</v>
          </cell>
          <cell r="E765">
            <v>0</v>
          </cell>
        </row>
        <row r="766">
          <cell r="B766" t="str">
            <v>TUERCA 1/4"</v>
          </cell>
          <cell r="D766">
            <v>212.5</v>
          </cell>
          <cell r="E766">
            <v>0</v>
          </cell>
        </row>
        <row r="767">
          <cell r="B767" t="str">
            <v>TUERCA 1/4"</v>
          </cell>
          <cell r="D767">
            <v>1487.5</v>
          </cell>
          <cell r="E767">
            <v>0</v>
          </cell>
        </row>
        <row r="768">
          <cell r="B768" t="str">
            <v>TUERCA 1/4"</v>
          </cell>
          <cell r="D768">
            <v>595</v>
          </cell>
          <cell r="E768">
            <v>0</v>
          </cell>
        </row>
        <row r="769">
          <cell r="B769" t="str">
            <v>TUERCA 1/4"</v>
          </cell>
          <cell r="D769">
            <v>106.25</v>
          </cell>
          <cell r="E769">
            <v>0</v>
          </cell>
        </row>
        <row r="770">
          <cell r="A770">
            <v>5133</v>
          </cell>
          <cell r="B770" t="str">
            <v>TUERCA 1/8"</v>
          </cell>
          <cell r="C770">
            <v>297.5</v>
          </cell>
          <cell r="D770">
            <v>127.5</v>
          </cell>
          <cell r="E770">
            <v>-297.5</v>
          </cell>
        </row>
        <row r="771">
          <cell r="B771" t="str">
            <v>TUERCA 1/8"</v>
          </cell>
          <cell r="D771">
            <v>170</v>
          </cell>
          <cell r="E771">
            <v>0</v>
          </cell>
        </row>
        <row r="772">
          <cell r="A772">
            <v>5128</v>
          </cell>
          <cell r="B772" t="str">
            <v>TUERCA 10mm</v>
          </cell>
          <cell r="C772">
            <v>932.42</v>
          </cell>
          <cell r="D772">
            <v>932.42</v>
          </cell>
          <cell r="E772">
            <v>-932.42</v>
          </cell>
        </row>
        <row r="773">
          <cell r="A773">
            <v>5129</v>
          </cell>
          <cell r="B773" t="str">
            <v>TUERCA 12mm</v>
          </cell>
          <cell r="C773">
            <v>607.04</v>
          </cell>
          <cell r="D773">
            <v>607.04</v>
          </cell>
          <cell r="E773">
            <v>-607.04</v>
          </cell>
        </row>
        <row r="774">
          <cell r="A774">
            <v>5131</v>
          </cell>
          <cell r="B774" t="str">
            <v>TUERCA 16mm</v>
          </cell>
          <cell r="C774">
            <v>1288.7</v>
          </cell>
          <cell r="D774">
            <v>644.35</v>
          </cell>
          <cell r="E774">
            <v>-1288.7</v>
          </cell>
        </row>
        <row r="775">
          <cell r="B775" t="str">
            <v>TUERCA 16mm</v>
          </cell>
          <cell r="D775">
            <v>644.35</v>
          </cell>
          <cell r="E775">
            <v>0</v>
          </cell>
        </row>
        <row r="776">
          <cell r="A776">
            <v>5140</v>
          </cell>
          <cell r="B776" t="str">
            <v>TUERCA 3/8"</v>
          </cell>
          <cell r="C776">
            <v>3459.5</v>
          </cell>
          <cell r="D776">
            <v>187</v>
          </cell>
          <cell r="E776">
            <v>-3459.5</v>
          </cell>
        </row>
        <row r="777">
          <cell r="B777" t="str">
            <v>TUERCA 3/8"</v>
          </cell>
          <cell r="D777">
            <v>187</v>
          </cell>
          <cell r="E777">
            <v>0</v>
          </cell>
        </row>
        <row r="778">
          <cell r="B778" t="str">
            <v>TUERCA 3/8"</v>
          </cell>
          <cell r="D778">
            <v>467.5</v>
          </cell>
          <cell r="E778">
            <v>0</v>
          </cell>
        </row>
        <row r="779">
          <cell r="B779" t="str">
            <v>TUERCA 3/8"</v>
          </cell>
          <cell r="D779">
            <v>1122</v>
          </cell>
          <cell r="E779">
            <v>0</v>
          </cell>
        </row>
        <row r="780">
          <cell r="B780" t="str">
            <v>TUERCA 3/8"</v>
          </cell>
          <cell r="D780">
            <v>187</v>
          </cell>
          <cell r="E780">
            <v>0</v>
          </cell>
        </row>
        <row r="781">
          <cell r="B781" t="str">
            <v>TUERCA 3/8"</v>
          </cell>
          <cell r="D781">
            <v>748</v>
          </cell>
          <cell r="E781">
            <v>0</v>
          </cell>
        </row>
        <row r="782">
          <cell r="B782" t="str">
            <v>TUERCA 3/8"</v>
          </cell>
          <cell r="D782">
            <v>561</v>
          </cell>
          <cell r="E782">
            <v>0</v>
          </cell>
        </row>
        <row r="783">
          <cell r="A783">
            <v>5124</v>
          </cell>
          <cell r="B783" t="str">
            <v>TUERCA 4mm</v>
          </cell>
          <cell r="C783">
            <v>304.36</v>
          </cell>
          <cell r="D783">
            <v>304.36</v>
          </cell>
          <cell r="E783">
            <v>-304.36</v>
          </cell>
        </row>
        <row r="784">
          <cell r="A784">
            <v>5139</v>
          </cell>
          <cell r="B784" t="str">
            <v>TUERCA 5/16"</v>
          </cell>
          <cell r="C784">
            <v>212.54</v>
          </cell>
          <cell r="D784">
            <v>212.54</v>
          </cell>
          <cell r="E784">
            <v>-212.54</v>
          </cell>
        </row>
        <row r="785">
          <cell r="A785">
            <v>5143</v>
          </cell>
          <cell r="B785" t="str">
            <v>TUERCA 5/8"</v>
          </cell>
          <cell r="C785">
            <v>3157.04</v>
          </cell>
          <cell r="D785">
            <v>3157.04</v>
          </cell>
          <cell r="E785">
            <v>-3157.04</v>
          </cell>
        </row>
        <row r="786">
          <cell r="A786">
            <v>5125</v>
          </cell>
          <cell r="B786" t="str">
            <v>TUERCA 5mm</v>
          </cell>
          <cell r="C786">
            <v>372.9</v>
          </cell>
          <cell r="D786">
            <v>372.9</v>
          </cell>
          <cell r="E786">
            <v>-372.9</v>
          </cell>
        </row>
        <row r="787">
          <cell r="A787">
            <v>5126</v>
          </cell>
          <cell r="B787" t="str">
            <v>TUERCA 6mm</v>
          </cell>
          <cell r="C787">
            <v>1292</v>
          </cell>
          <cell r="D787">
            <v>340</v>
          </cell>
          <cell r="E787">
            <v>-1292</v>
          </cell>
        </row>
        <row r="788">
          <cell r="B788" t="str">
            <v>TUERCA 6mm</v>
          </cell>
          <cell r="D788">
            <v>272</v>
          </cell>
          <cell r="E788">
            <v>0</v>
          </cell>
        </row>
        <row r="789">
          <cell r="B789" t="str">
            <v>TUERCA 6mm</v>
          </cell>
          <cell r="D789">
            <v>680</v>
          </cell>
          <cell r="E789">
            <v>0</v>
          </cell>
        </row>
        <row r="790">
          <cell r="A790">
            <v>5127</v>
          </cell>
          <cell r="B790" t="str">
            <v>TUERCA 8mm</v>
          </cell>
          <cell r="C790">
            <v>1020</v>
          </cell>
          <cell r="D790">
            <v>510</v>
          </cell>
          <cell r="E790">
            <v>-1020</v>
          </cell>
        </row>
        <row r="791">
          <cell r="B791" t="str">
            <v>TUERCA 8mm</v>
          </cell>
          <cell r="D791">
            <v>510</v>
          </cell>
          <cell r="E791">
            <v>0</v>
          </cell>
        </row>
        <row r="792">
          <cell r="A792">
            <v>5137</v>
          </cell>
          <cell r="B792" t="str">
            <v>TUERCA MARIPOSA 1/4"</v>
          </cell>
          <cell r="C792">
            <v>2710.8</v>
          </cell>
          <cell r="D792">
            <v>2710.8</v>
          </cell>
          <cell r="E792">
            <v>-2710.8</v>
          </cell>
        </row>
        <row r="793">
          <cell r="A793">
            <v>4370</v>
          </cell>
          <cell r="B793" t="str">
            <v>UNION ACERO 1"</v>
          </cell>
          <cell r="C793">
            <v>3940</v>
          </cell>
          <cell r="D793">
            <v>3940</v>
          </cell>
          <cell r="E793">
            <v>-3940</v>
          </cell>
        </row>
        <row r="794">
          <cell r="A794">
            <v>4366</v>
          </cell>
          <cell r="B794" t="str">
            <v>UNION ACERO 1/2"</v>
          </cell>
          <cell r="C794">
            <v>4847.32</v>
          </cell>
          <cell r="D794">
            <v>4847.32</v>
          </cell>
          <cell r="E794">
            <v>-4847.32</v>
          </cell>
        </row>
        <row r="795">
          <cell r="A795">
            <v>4368</v>
          </cell>
          <cell r="B795" t="str">
            <v>UNION ACERO 3/4"</v>
          </cell>
          <cell r="C795">
            <v>1908.97</v>
          </cell>
          <cell r="D795">
            <v>1908.97</v>
          </cell>
          <cell r="E795">
            <v>-1908.97</v>
          </cell>
        </row>
        <row r="796">
          <cell r="A796">
            <v>39707</v>
          </cell>
          <cell r="B796" t="str">
            <v>UNION CADENA DOBLE P5/8"</v>
          </cell>
          <cell r="C796">
            <v>7698.02</v>
          </cell>
          <cell r="D796">
            <v>7698.02</v>
          </cell>
          <cell r="E796">
            <v>-7698.02</v>
          </cell>
        </row>
        <row r="797">
          <cell r="A797">
            <v>6626</v>
          </cell>
          <cell r="B797" t="str">
            <v>UNION CONDUIT 3/4"</v>
          </cell>
          <cell r="C797">
            <v>3724</v>
          </cell>
          <cell r="D797">
            <v>3724</v>
          </cell>
          <cell r="E797">
            <v>-3724</v>
          </cell>
        </row>
        <row r="798">
          <cell r="A798">
            <v>100687</v>
          </cell>
          <cell r="B798" t="str">
            <v>UNION CONDUIT IMC 1"</v>
          </cell>
          <cell r="C798">
            <v>13144</v>
          </cell>
          <cell r="D798">
            <v>13144</v>
          </cell>
          <cell r="E798">
            <v>-13144</v>
          </cell>
        </row>
        <row r="799">
          <cell r="A799">
            <v>100686</v>
          </cell>
          <cell r="B799" t="str">
            <v>UNION CONDUIT IMC 1/2"</v>
          </cell>
          <cell r="C799">
            <v>41150</v>
          </cell>
          <cell r="D799">
            <v>41150</v>
          </cell>
          <cell r="E799">
            <v>-41150</v>
          </cell>
        </row>
        <row r="800">
          <cell r="A800">
            <v>105332</v>
          </cell>
          <cell r="B800" t="str">
            <v>UNION EMT CONDUIT 1"</v>
          </cell>
          <cell r="C800">
            <v>6300</v>
          </cell>
          <cell r="D800">
            <v>6300</v>
          </cell>
          <cell r="E800">
            <v>-6300</v>
          </cell>
        </row>
        <row r="801">
          <cell r="A801">
            <v>105307</v>
          </cell>
          <cell r="B801" t="str">
            <v>UNION EMT CONDUIT 3/4"</v>
          </cell>
          <cell r="C801">
            <v>3900</v>
          </cell>
          <cell r="D801">
            <v>3900</v>
          </cell>
          <cell r="E801">
            <v>-3900</v>
          </cell>
        </row>
        <row r="802">
          <cell r="A802">
            <v>3182</v>
          </cell>
          <cell r="B802" t="str">
            <v>UNION PARA CADENA P1/2"</v>
          </cell>
          <cell r="C802">
            <v>12800</v>
          </cell>
          <cell r="D802">
            <v>1600</v>
          </cell>
          <cell r="E802">
            <v>-12800</v>
          </cell>
        </row>
        <row r="803">
          <cell r="B803" t="str">
            <v>UNION PARA CADENA P1/2"</v>
          </cell>
          <cell r="D803">
            <v>1600</v>
          </cell>
          <cell r="E803">
            <v>0</v>
          </cell>
        </row>
        <row r="804">
          <cell r="B804" t="str">
            <v>UNION PARA CADENA P1/2"</v>
          </cell>
          <cell r="D804">
            <v>9600</v>
          </cell>
          <cell r="E804">
            <v>0</v>
          </cell>
        </row>
        <row r="805">
          <cell r="A805">
            <v>3183</v>
          </cell>
          <cell r="B805" t="str">
            <v>UNION PARA CADENA P3/4"</v>
          </cell>
          <cell r="C805">
            <v>8671.42</v>
          </cell>
          <cell r="D805">
            <v>8671.42</v>
          </cell>
          <cell r="E805">
            <v>-8671.42</v>
          </cell>
        </row>
        <row r="806">
          <cell r="A806">
            <v>3184</v>
          </cell>
          <cell r="B806" t="str">
            <v>UNION PARA CADENA P5/8"</v>
          </cell>
          <cell r="C806">
            <v>13454.52</v>
          </cell>
          <cell r="D806">
            <v>2690.9</v>
          </cell>
          <cell r="E806">
            <v>-13454.52</v>
          </cell>
        </row>
        <row r="807">
          <cell r="B807" t="str">
            <v>UNION PARA CADENA P5/8"</v>
          </cell>
          <cell r="D807">
            <v>5381.81</v>
          </cell>
          <cell r="E807">
            <v>0</v>
          </cell>
        </row>
        <row r="808">
          <cell r="B808" t="str">
            <v>UNION PARA CADENA P5/8"</v>
          </cell>
          <cell r="D808">
            <v>5381.81</v>
          </cell>
          <cell r="E808">
            <v>0</v>
          </cell>
        </row>
        <row r="809">
          <cell r="A809">
            <v>53020</v>
          </cell>
          <cell r="B809" t="str">
            <v>UNION ROTATIVA 1/2" NPT DERECH</v>
          </cell>
          <cell r="C809">
            <v>780000</v>
          </cell>
          <cell r="D809">
            <v>780000</v>
          </cell>
          <cell r="E809">
            <v>-780000</v>
          </cell>
        </row>
        <row r="810">
          <cell r="A810">
            <v>102806</v>
          </cell>
          <cell r="B810" t="str">
            <v>UNION ROTATIVA 1/2" NPT IZQUIE</v>
          </cell>
          <cell r="C810">
            <v>780000</v>
          </cell>
          <cell r="D810">
            <v>780000</v>
          </cell>
          <cell r="E810">
            <v>-780000</v>
          </cell>
        </row>
        <row r="811">
          <cell r="A811">
            <v>4358</v>
          </cell>
          <cell r="B811" t="str">
            <v>UNIVERSAL ACERO 1/2"</v>
          </cell>
          <cell r="C811">
            <v>27800.33</v>
          </cell>
          <cell r="D811">
            <v>27800.33</v>
          </cell>
          <cell r="E811">
            <v>-27800.33</v>
          </cell>
        </row>
        <row r="812">
          <cell r="A812">
            <v>105180</v>
          </cell>
          <cell r="B812" t="str">
            <v>UNIVERSAL XP 1"  XUFHH-3</v>
          </cell>
          <cell r="C812">
            <v>51660</v>
          </cell>
          <cell r="D812">
            <v>51660</v>
          </cell>
          <cell r="E812">
            <v>-51660</v>
          </cell>
        </row>
        <row r="813">
          <cell r="A813">
            <v>102587</v>
          </cell>
          <cell r="B813" t="str">
            <v>UNIVERSAL XP XUFMH-1  1/2" * 6</v>
          </cell>
          <cell r="C813">
            <v>338184</v>
          </cell>
          <cell r="D813">
            <v>338184</v>
          </cell>
          <cell r="E813">
            <v>-338184</v>
          </cell>
        </row>
        <row r="814">
          <cell r="A814">
            <v>4224</v>
          </cell>
          <cell r="B814" t="str">
            <v>VALV.DE GLOBO 1/2"ACEITE TERMI</v>
          </cell>
          <cell r="C814">
            <v>62000</v>
          </cell>
          <cell r="D814">
            <v>62000</v>
          </cell>
          <cell r="E814">
            <v>-62000</v>
          </cell>
        </row>
        <row r="815">
          <cell r="A815">
            <v>4178</v>
          </cell>
          <cell r="B815" t="str">
            <v>VALVULA DE BOLA 1/2"</v>
          </cell>
          <cell r="C815">
            <v>79500</v>
          </cell>
          <cell r="D815">
            <v>31800</v>
          </cell>
          <cell r="E815">
            <v>-79500</v>
          </cell>
        </row>
        <row r="816">
          <cell r="B816" t="str">
            <v>VALVULA DE BOLA 1/2"</v>
          </cell>
          <cell r="D816">
            <v>47700</v>
          </cell>
          <cell r="E816">
            <v>0</v>
          </cell>
        </row>
        <row r="817">
          <cell r="A817">
            <v>4176</v>
          </cell>
          <cell r="B817" t="str">
            <v>VALVULA DE BOLA 1/4"</v>
          </cell>
          <cell r="C817">
            <v>10784</v>
          </cell>
          <cell r="D817">
            <v>10784</v>
          </cell>
          <cell r="E817">
            <v>-10784</v>
          </cell>
        </row>
        <row r="818">
          <cell r="A818">
            <v>5360</v>
          </cell>
          <cell r="B818" t="str">
            <v>VARILLA 3/16" ACERO PLATA</v>
          </cell>
          <cell r="C818">
            <v>2986.21</v>
          </cell>
          <cell r="D818">
            <v>2986.21</v>
          </cell>
          <cell r="E818">
            <v>-2986.21</v>
          </cell>
        </row>
        <row r="819">
          <cell r="A819">
            <v>5363</v>
          </cell>
          <cell r="B819" t="str">
            <v>VARILLA 3/8" ACERO PLATA</v>
          </cell>
          <cell r="C819">
            <v>838.8</v>
          </cell>
          <cell r="D819">
            <v>838.8</v>
          </cell>
          <cell r="E819">
            <v>-838.8</v>
          </cell>
        </row>
        <row r="820">
          <cell r="A820">
            <v>5359</v>
          </cell>
          <cell r="B820" t="str">
            <v>VARILLA 5/32" ACERO PLATA</v>
          </cell>
          <cell r="C820">
            <v>600</v>
          </cell>
          <cell r="D820">
            <v>600</v>
          </cell>
          <cell r="E820">
            <v>-600</v>
          </cell>
        </row>
        <row r="821">
          <cell r="A821">
            <v>4671</v>
          </cell>
          <cell r="B821" t="str">
            <v>VARILLA CUADRADA RECTIFICADA C</v>
          </cell>
          <cell r="C821">
            <v>357120</v>
          </cell>
          <cell r="D821">
            <v>109120</v>
          </cell>
          <cell r="E821">
            <v>-357120</v>
          </cell>
        </row>
        <row r="822">
          <cell r="B822" t="str">
            <v>VARILLA CUADRADA RECTIFICADA C</v>
          </cell>
          <cell r="D822">
            <v>248000</v>
          </cell>
          <cell r="E822">
            <v>0</v>
          </cell>
        </row>
        <row r="823">
          <cell r="A823">
            <v>42696</v>
          </cell>
          <cell r="B823" t="str">
            <v>VARILLA ROSCADA 1/4" UNC GALV.</v>
          </cell>
          <cell r="C823">
            <v>6120</v>
          </cell>
          <cell r="D823">
            <v>765</v>
          </cell>
          <cell r="E823">
            <v>-6120</v>
          </cell>
        </row>
        <row r="824">
          <cell r="B824" t="str">
            <v>VARILLA ROSCADA 1/4" UNC GALV.</v>
          </cell>
          <cell r="D824">
            <v>1530</v>
          </cell>
          <cell r="E824">
            <v>0</v>
          </cell>
        </row>
        <row r="825">
          <cell r="B825" t="str">
            <v>VARILLA ROSCADA 1/4" UNC GALV.</v>
          </cell>
          <cell r="D825">
            <v>1530</v>
          </cell>
          <cell r="E825">
            <v>0</v>
          </cell>
        </row>
        <row r="826">
          <cell r="B826" t="str">
            <v>VARILLA ROSCADA 1/4" UNC GALV.</v>
          </cell>
          <cell r="D826">
            <v>1530</v>
          </cell>
          <cell r="E826">
            <v>0</v>
          </cell>
        </row>
        <row r="827">
          <cell r="B827" t="str">
            <v>VARILLA ROSCADA 1/4" UNC GALV.</v>
          </cell>
          <cell r="D827">
            <v>765</v>
          </cell>
          <cell r="E827">
            <v>0</v>
          </cell>
        </row>
        <row r="828">
          <cell r="A828">
            <v>38693</v>
          </cell>
          <cell r="B828" t="str">
            <v>VARILLA ROSCADA 3/8" UNC GALV.</v>
          </cell>
          <cell r="C828">
            <v>6800</v>
          </cell>
          <cell r="D828">
            <v>2720</v>
          </cell>
          <cell r="E828">
            <v>-6800</v>
          </cell>
        </row>
        <row r="829">
          <cell r="B829" t="str">
            <v>VARILLA ROSCADA 3/8" UNC GALV.</v>
          </cell>
          <cell r="D829">
            <v>2720</v>
          </cell>
          <cell r="E829">
            <v>0</v>
          </cell>
        </row>
        <row r="830">
          <cell r="B830" t="str">
            <v>VARILLA ROSCADA 3/8" UNC GALV.</v>
          </cell>
          <cell r="D830">
            <v>1360</v>
          </cell>
          <cell r="E830">
            <v>0</v>
          </cell>
        </row>
      </sheetData>
      <sheetData sheetId="4" refreshError="1"/>
      <sheetData sheetId="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itácora"/>
      <sheetName val="Idiomas"/>
      <sheetName val="ConsMethods"/>
      <sheetName val="Scenarios"/>
      <sheetName val="Entities"/>
      <sheetName val="Accounts"/>
      <sheetName val="Movements"/>
      <sheetName val="Custom"/>
      <sheetName val="Custom2"/>
      <sheetName val="BALANCE"/>
      <sheetName val="Custom4"/>
      <sheetName val="Custom3"/>
      <sheetName val="Generación"/>
    </sheetNames>
    <sheetDataSet>
      <sheetData sheetId="0">
        <row r="28">
          <cell r="W28" t="str">
            <v>FY29</v>
          </cell>
        </row>
        <row r="29">
          <cell r="W29" t="str">
            <v>GBP</v>
          </cell>
        </row>
        <row r="30">
          <cell r="W30" t="str">
            <v>EUR</v>
          </cell>
        </row>
        <row r="31">
          <cell r="W31" t="str">
            <v>EUR</v>
          </cell>
        </row>
        <row r="32">
          <cell r="W32" t="str">
            <v>MXN</v>
          </cell>
        </row>
        <row r="33">
          <cell r="W33" t="str">
            <v>COP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tácora"/>
      <sheetName val="Idiomas"/>
      <sheetName val="ConsMethods"/>
      <sheetName val="Scenarios"/>
      <sheetName val="Entities"/>
      <sheetName val="Accounts"/>
      <sheetName val="Movements"/>
      <sheetName val="Custom"/>
      <sheetName val="Custom2"/>
      <sheetName val="BALANCE"/>
      <sheetName val="Custom4"/>
      <sheetName val="Custom3"/>
      <sheetName val="Generación"/>
    </sheetNames>
    <sheetDataSet>
      <sheetData sheetId="0">
        <row r="28">
          <cell r="W28" t="str">
            <v>FY29</v>
          </cell>
        </row>
        <row r="29">
          <cell r="W29" t="str">
            <v>GBP</v>
          </cell>
        </row>
        <row r="30">
          <cell r="W30" t="str">
            <v>EUR</v>
          </cell>
        </row>
        <row r="31">
          <cell r="W31" t="str">
            <v>EUR</v>
          </cell>
        </row>
        <row r="32">
          <cell r="W32" t="str">
            <v>MXN</v>
          </cell>
        </row>
        <row r="33">
          <cell r="W33" t="str">
            <v>COP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aldo_incapacidad_201410"/>
      <sheetName val="EPS"/>
      <sheetName val="DICIEMBRE 2015"/>
      <sheetName val="NOVIEMBRE 015"/>
      <sheetName val="OCTUBRE"/>
      <sheetName val="SEPTIEMBRE"/>
      <sheetName val="AGOSTO"/>
      <sheetName val="RECON AGOSTO"/>
      <sheetName val="Hoja6"/>
      <sheetName val="JULIO"/>
      <sheetName val="JUNIO "/>
      <sheetName val="MAYO"/>
      <sheetName val="ABRIL"/>
      <sheetName val="SALDO INCAP 201503"/>
      <sheetName val="INCAPACIDADES PQN"/>
      <sheetName val="NOVIEMBRE"/>
      <sheetName val="DICIEMBRE"/>
      <sheetName val="Hoja1"/>
      <sheetName val="Hoja2"/>
      <sheetName val="Hoja3"/>
      <sheetName val="RECON MAYO"/>
      <sheetName val="RECON JUNIO"/>
    </sheetNames>
    <sheetDataSet>
      <sheetData sheetId="0"/>
      <sheetData sheetId="1">
        <row r="1">
          <cell r="A1" t="str">
            <v>DATOS EMPLEADOS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</row>
        <row r="2">
          <cell r="A2" t="str">
            <v>CODIGO</v>
          </cell>
          <cell r="B2" t="str">
            <v>CEDULA</v>
          </cell>
          <cell r="C2" t="str">
            <v>Nombre del Empleado</v>
          </cell>
          <cell r="D2" t="str">
            <v>SUELDO</v>
          </cell>
          <cell r="E2" t="str">
            <v>fondo</v>
          </cell>
        </row>
        <row r="3">
          <cell r="A3">
            <v>200019</v>
          </cell>
          <cell r="B3">
            <v>6688386</v>
          </cell>
          <cell r="C3" t="str">
            <v>PALOMINO GOMEZ VICTOR JULIO</v>
          </cell>
          <cell r="D3">
            <v>1091600</v>
          </cell>
          <cell r="E3" t="str">
            <v>FAMISANAR E.P.S.</v>
          </cell>
        </row>
        <row r="4">
          <cell r="A4">
            <v>200020</v>
          </cell>
          <cell r="B4">
            <v>80280630</v>
          </cell>
          <cell r="C4" t="str">
            <v>RIANO ROJAS JUAN MANUEL</v>
          </cell>
          <cell r="D4">
            <v>1904400</v>
          </cell>
          <cell r="E4" t="str">
            <v>FAMISANAR E.P.S.</v>
          </cell>
        </row>
        <row r="5">
          <cell r="A5">
            <v>200034</v>
          </cell>
          <cell r="B5">
            <v>79645179</v>
          </cell>
          <cell r="C5" t="str">
            <v>AMAYA REYES LUIS EDUARDO</v>
          </cell>
          <cell r="D5">
            <v>1545200</v>
          </cell>
          <cell r="E5" t="str">
            <v>SANITAS EPS</v>
          </cell>
        </row>
        <row r="6">
          <cell r="A6">
            <v>200102</v>
          </cell>
          <cell r="B6">
            <v>79984629</v>
          </cell>
          <cell r="C6" t="str">
            <v>JIMENEZ VELASQUEZ CARLOS FERNANDO</v>
          </cell>
          <cell r="D6">
            <v>1545200</v>
          </cell>
          <cell r="E6" t="str">
            <v>FAMISANAR E.P.S.</v>
          </cell>
        </row>
        <row r="7">
          <cell r="A7">
            <v>200106</v>
          </cell>
          <cell r="B7">
            <v>79624518</v>
          </cell>
          <cell r="C7" t="str">
            <v>IBAGUE BARRAGAN JOHN JAIRO</v>
          </cell>
          <cell r="D7">
            <v>1545200</v>
          </cell>
          <cell r="E7" t="str">
            <v>FAMISANAR E.P.S.</v>
          </cell>
        </row>
        <row r="8">
          <cell r="A8">
            <v>200111</v>
          </cell>
          <cell r="B8">
            <v>79527248</v>
          </cell>
          <cell r="C8" t="str">
            <v>COPETE RODRIGUEZ ORLANDO YOBANI</v>
          </cell>
          <cell r="D8">
            <v>1407900</v>
          </cell>
          <cell r="E8" t="str">
            <v>FAMISANAR E.P.S.</v>
          </cell>
        </row>
        <row r="9">
          <cell r="A9">
            <v>200121</v>
          </cell>
          <cell r="B9">
            <v>13017860</v>
          </cell>
          <cell r="C9" t="str">
            <v>ARCINIEGAS IBARRA PEDRO NEL HUMBERTO</v>
          </cell>
          <cell r="D9">
            <v>1545200</v>
          </cell>
          <cell r="E9" t="str">
            <v>FAMISANAR E.P.S.</v>
          </cell>
        </row>
        <row r="10">
          <cell r="A10">
            <v>200208</v>
          </cell>
          <cell r="B10">
            <v>52197931</v>
          </cell>
          <cell r="C10" t="str">
            <v>JANSEN MENDEZ MYZENTH</v>
          </cell>
          <cell r="D10">
            <v>3072600</v>
          </cell>
          <cell r="E10" t="str">
            <v>COMPENSAR EPS</v>
          </cell>
        </row>
        <row r="11">
          <cell r="A11">
            <v>200223</v>
          </cell>
          <cell r="B11">
            <v>80228853</v>
          </cell>
          <cell r="C11" t="str">
            <v>PINTO VASQUEZ PABLO ENRIQUE</v>
          </cell>
          <cell r="D11">
            <v>5038600</v>
          </cell>
          <cell r="E11" t="str">
            <v>COMPENSAR EPS</v>
          </cell>
        </row>
        <row r="12">
          <cell r="A12">
            <v>200312</v>
          </cell>
          <cell r="B12">
            <v>52583022</v>
          </cell>
          <cell r="C12" t="str">
            <v>DIAZ ESTRADA MARIA CAROLINA</v>
          </cell>
          <cell r="D12">
            <v>10115000</v>
          </cell>
          <cell r="E12" t="str">
            <v>SANITAS EPS</v>
          </cell>
        </row>
        <row r="13">
          <cell r="A13">
            <v>200313</v>
          </cell>
          <cell r="B13">
            <v>79132908</v>
          </cell>
          <cell r="C13" t="str">
            <v>FORERO CRUZ ALFREDO NOBEL</v>
          </cell>
          <cell r="D13">
            <v>2115300</v>
          </cell>
          <cell r="E13" t="str">
            <v>COMPENSAR EPS</v>
          </cell>
        </row>
        <row r="14">
          <cell r="A14">
            <v>200317</v>
          </cell>
          <cell r="B14">
            <v>79996607</v>
          </cell>
          <cell r="C14" t="str">
            <v>MOGOLLON DIAZ YHON HENRY</v>
          </cell>
          <cell r="D14">
            <v>9616500</v>
          </cell>
          <cell r="E14" t="str">
            <v>SANITAS EPS</v>
          </cell>
        </row>
        <row r="15">
          <cell r="A15">
            <v>200318</v>
          </cell>
          <cell r="B15">
            <v>52262398</v>
          </cell>
          <cell r="C15" t="str">
            <v>LOPEZ GARZON ANGELA SUANNY</v>
          </cell>
          <cell r="D15">
            <v>3200300</v>
          </cell>
          <cell r="E15" t="str">
            <v>SURAMERICANA EPS</v>
          </cell>
        </row>
        <row r="16">
          <cell r="A16">
            <v>200404</v>
          </cell>
          <cell r="B16">
            <v>52875644</v>
          </cell>
          <cell r="C16" t="str">
            <v>BERNAL GOMEZ MERCEDES YAZMIN</v>
          </cell>
          <cell r="D16">
            <v>3700000</v>
          </cell>
          <cell r="E16" t="str">
            <v>SANITAS EPS</v>
          </cell>
        </row>
        <row r="17">
          <cell r="A17">
            <v>200501</v>
          </cell>
          <cell r="B17">
            <v>52534838</v>
          </cell>
          <cell r="C17" t="str">
            <v>SILVA VELASCO LUZ MARY</v>
          </cell>
          <cell r="D17">
            <v>1898100</v>
          </cell>
          <cell r="E17" t="str">
            <v>SANITAS EPS</v>
          </cell>
        </row>
        <row r="18">
          <cell r="A18">
            <v>200502</v>
          </cell>
          <cell r="B18">
            <v>52331561</v>
          </cell>
          <cell r="C18" t="str">
            <v>AREVALO LOPEZ ALEXANDRA</v>
          </cell>
          <cell r="D18">
            <v>1898100</v>
          </cell>
          <cell r="E18" t="str">
            <v>FAMISANAR E.P.S.</v>
          </cell>
        </row>
        <row r="19">
          <cell r="A19">
            <v>200506</v>
          </cell>
          <cell r="B19">
            <v>80058572</v>
          </cell>
          <cell r="C19" t="str">
            <v>MORENO CHINGATE DIEGO ARMANDO</v>
          </cell>
          <cell r="D19">
            <v>2031900</v>
          </cell>
          <cell r="E19" t="str">
            <v>COMPENSAR EPS</v>
          </cell>
        </row>
        <row r="20">
          <cell r="A20">
            <v>200554</v>
          </cell>
          <cell r="B20">
            <v>79755575</v>
          </cell>
          <cell r="C20" t="str">
            <v>PARRA RODRIGUEZ JAIME ALBERTO</v>
          </cell>
          <cell r="D20">
            <v>22500000</v>
          </cell>
          <cell r="E20" t="str">
            <v>SANITAS EPS</v>
          </cell>
        </row>
        <row r="21">
          <cell r="A21">
            <v>200603</v>
          </cell>
          <cell r="B21">
            <v>79997200</v>
          </cell>
          <cell r="C21" t="str">
            <v>SALGADO GONZALEZ JUAN CARLOS</v>
          </cell>
          <cell r="D21">
            <v>1289000</v>
          </cell>
          <cell r="E21" t="str">
            <v>COMPENSAR EPS</v>
          </cell>
        </row>
        <row r="22">
          <cell r="A22">
            <v>200616</v>
          </cell>
          <cell r="B22">
            <v>52955093</v>
          </cell>
          <cell r="C22" t="str">
            <v>MARTIN VALBUENA TERESA</v>
          </cell>
          <cell r="D22">
            <v>3469900</v>
          </cell>
          <cell r="E22" t="str">
            <v>SANITAS EPS</v>
          </cell>
        </row>
        <row r="23">
          <cell r="A23">
            <v>200623</v>
          </cell>
          <cell r="B23">
            <v>52515050</v>
          </cell>
          <cell r="C23" t="str">
            <v>OJEDA OLIVEROS DIANA PATRICIA</v>
          </cell>
          <cell r="D23">
            <v>2631500</v>
          </cell>
          <cell r="E23" t="str">
            <v>SANITAS EPS</v>
          </cell>
        </row>
        <row r="24">
          <cell r="A24">
            <v>200630</v>
          </cell>
          <cell r="B24">
            <v>79752007</v>
          </cell>
          <cell r="C24" t="str">
            <v>VALENCIA GARCIA JUAN CARLOS</v>
          </cell>
          <cell r="D24">
            <v>5375000</v>
          </cell>
          <cell r="E24" t="str">
            <v>SANITAS EPS</v>
          </cell>
        </row>
        <row r="25">
          <cell r="A25">
            <v>200647</v>
          </cell>
          <cell r="B25">
            <v>52552656</v>
          </cell>
          <cell r="C25" t="str">
            <v>CARDOZO CASTIBLANCO ALEIDA</v>
          </cell>
          <cell r="D25">
            <v>3432500</v>
          </cell>
          <cell r="E25" t="str">
            <v>COMPENSAR EPS</v>
          </cell>
        </row>
        <row r="26">
          <cell r="A26">
            <v>200711</v>
          </cell>
          <cell r="B26">
            <v>80034247</v>
          </cell>
          <cell r="C26" t="str">
            <v>SARMIENTO OBANDO JULIAN ENRIQUE</v>
          </cell>
          <cell r="D26">
            <v>1807300</v>
          </cell>
          <cell r="E26" t="str">
            <v>COMPENSAR EPS</v>
          </cell>
        </row>
        <row r="27">
          <cell r="A27">
            <v>200725</v>
          </cell>
          <cell r="B27">
            <v>52836017</v>
          </cell>
          <cell r="C27" t="str">
            <v>CUERVO VARGAS CAROLINA</v>
          </cell>
          <cell r="D27">
            <v>3300000</v>
          </cell>
          <cell r="E27" t="str">
            <v>COMPENSAR EPS</v>
          </cell>
        </row>
        <row r="28">
          <cell r="A28">
            <v>200774</v>
          </cell>
          <cell r="B28">
            <v>79806469</v>
          </cell>
          <cell r="C28" t="str">
            <v>FORIGUA QUIROGA VICTOR  JOHN</v>
          </cell>
          <cell r="D28">
            <v>1602500</v>
          </cell>
          <cell r="E28" t="str">
            <v>COMPENSAR EPS</v>
          </cell>
        </row>
        <row r="29">
          <cell r="A29">
            <v>200775</v>
          </cell>
          <cell r="B29">
            <v>79959579</v>
          </cell>
          <cell r="C29" t="str">
            <v>MESA VERA HECTOR  HORACIO</v>
          </cell>
          <cell r="D29">
            <v>1602500</v>
          </cell>
          <cell r="E29" t="str">
            <v>FAMISANAR E.P.S.</v>
          </cell>
        </row>
        <row r="30">
          <cell r="A30">
            <v>200776</v>
          </cell>
          <cell r="B30">
            <v>80141266</v>
          </cell>
          <cell r="C30" t="str">
            <v>DONCEL GUARNIZO ANYELO</v>
          </cell>
          <cell r="D30">
            <v>1405200</v>
          </cell>
          <cell r="E30" t="str">
            <v>FAMISANAR E.P.S.</v>
          </cell>
        </row>
        <row r="31">
          <cell r="A31">
            <v>200783</v>
          </cell>
          <cell r="B31">
            <v>80207012</v>
          </cell>
          <cell r="C31" t="str">
            <v>LAITON RODRIGUEZ FREDY ARMANDO</v>
          </cell>
          <cell r="D31">
            <v>1440300</v>
          </cell>
          <cell r="E31" t="str">
            <v>COMPENSAR EPS</v>
          </cell>
        </row>
        <row r="32">
          <cell r="A32">
            <v>200785</v>
          </cell>
          <cell r="B32">
            <v>80809746</v>
          </cell>
          <cell r="C32" t="str">
            <v>ROMERO GONZALEZ JOHN FREDY</v>
          </cell>
          <cell r="D32">
            <v>1366400</v>
          </cell>
          <cell r="E32" t="str">
            <v>CRUZ BLANCA E.P.S.</v>
          </cell>
        </row>
        <row r="33">
          <cell r="A33">
            <v>200787</v>
          </cell>
          <cell r="B33">
            <v>79910307</v>
          </cell>
          <cell r="C33" t="str">
            <v>AGUIRRE OSORIO EDUARDO ANDRES</v>
          </cell>
          <cell r="D33">
            <v>1289000</v>
          </cell>
          <cell r="E33" t="str">
            <v>FAMISANAR E.P.S.</v>
          </cell>
        </row>
        <row r="34">
          <cell r="A34">
            <v>200789</v>
          </cell>
          <cell r="B34">
            <v>53133712</v>
          </cell>
          <cell r="C34" t="str">
            <v>FUENTES VELASQUEZ DADMAR  MAGALY</v>
          </cell>
          <cell r="D34">
            <v>1612500</v>
          </cell>
          <cell r="E34" t="str">
            <v>COMPENSAR EPS</v>
          </cell>
        </row>
        <row r="35">
          <cell r="A35">
            <v>200790</v>
          </cell>
          <cell r="B35">
            <v>80181765</v>
          </cell>
          <cell r="C35" t="str">
            <v>REINA CRUZ FABIAN YESID</v>
          </cell>
          <cell r="D35">
            <v>1318200</v>
          </cell>
          <cell r="E35" t="str">
            <v>CRUZ BLANCA E.P.S.</v>
          </cell>
        </row>
        <row r="36">
          <cell r="A36">
            <v>200794</v>
          </cell>
          <cell r="B36">
            <v>80919551</v>
          </cell>
          <cell r="C36" t="str">
            <v>MORENO MARTIN OSCAR JAVIER</v>
          </cell>
          <cell r="D36">
            <v>1545200</v>
          </cell>
          <cell r="E36" t="str">
            <v>SALUD TOTAL EPS</v>
          </cell>
        </row>
        <row r="37">
          <cell r="A37">
            <v>200796</v>
          </cell>
          <cell r="B37">
            <v>80766649</v>
          </cell>
          <cell r="C37" t="str">
            <v>RIOS MENESES MILTON EDUARDO</v>
          </cell>
          <cell r="D37">
            <v>1375800</v>
          </cell>
          <cell r="E37" t="str">
            <v>CAFESALUD E.P.S.</v>
          </cell>
        </row>
        <row r="38">
          <cell r="A38">
            <v>200798</v>
          </cell>
          <cell r="B38">
            <v>79670686</v>
          </cell>
          <cell r="C38" t="str">
            <v>HERNANDEZ GUEVARA GIOVANNI EFREN</v>
          </cell>
          <cell r="D38">
            <v>1380300</v>
          </cell>
          <cell r="E38" t="str">
            <v>SANITAS EPS</v>
          </cell>
        </row>
        <row r="39">
          <cell r="A39">
            <v>200818</v>
          </cell>
          <cell r="B39">
            <v>19369311</v>
          </cell>
          <cell r="C39" t="str">
            <v>TORRES GUTIERREZ HECTOR FRANCISCO</v>
          </cell>
          <cell r="D39">
            <v>26158000</v>
          </cell>
          <cell r="E39" t="str">
            <v>CAFESALUD E.P.S.</v>
          </cell>
        </row>
        <row r="40">
          <cell r="A40">
            <v>200829</v>
          </cell>
          <cell r="B40">
            <v>52910656</v>
          </cell>
          <cell r="C40" t="str">
            <v>VELASCO CHACON MARIELA DEL PILAR</v>
          </cell>
          <cell r="D40">
            <v>1953800</v>
          </cell>
          <cell r="E40" t="str">
            <v>SURAMERICANA EPS</v>
          </cell>
        </row>
        <row r="41">
          <cell r="A41">
            <v>200868</v>
          </cell>
          <cell r="B41">
            <v>52539537</v>
          </cell>
          <cell r="C41" t="str">
            <v>CUERVO GAMBOA FANNY ANDREA</v>
          </cell>
          <cell r="D41">
            <v>3030900</v>
          </cell>
          <cell r="E41" t="str">
            <v>COMPENSAR EPS</v>
          </cell>
        </row>
        <row r="42">
          <cell r="A42">
            <v>200870</v>
          </cell>
          <cell r="B42">
            <v>79985567</v>
          </cell>
          <cell r="C42" t="str">
            <v>GAITAN ROMERO CARLOS ANDRES</v>
          </cell>
          <cell r="D42">
            <v>2731400</v>
          </cell>
          <cell r="E42" t="str">
            <v>FAMISANAR E.P.S.</v>
          </cell>
        </row>
        <row r="43">
          <cell r="A43">
            <v>200880</v>
          </cell>
          <cell r="B43">
            <v>14253828</v>
          </cell>
          <cell r="C43" t="str">
            <v>ROJAS HERRERA NILSON</v>
          </cell>
          <cell r="D43">
            <v>1375800</v>
          </cell>
          <cell r="E43" t="str">
            <v>SURAMERICANA EPS</v>
          </cell>
        </row>
        <row r="44">
          <cell r="A44">
            <v>200881</v>
          </cell>
          <cell r="B44">
            <v>79872895</v>
          </cell>
          <cell r="C44" t="str">
            <v>ARIAS MONROY JAIME EDILSON</v>
          </cell>
          <cell r="D44">
            <v>1065400</v>
          </cell>
          <cell r="E44" t="str">
            <v>SANITAS EPS</v>
          </cell>
        </row>
        <row r="45">
          <cell r="A45">
            <v>200899</v>
          </cell>
          <cell r="B45">
            <v>39693837</v>
          </cell>
          <cell r="C45" t="str">
            <v>CARINI IMPERI SANDRA</v>
          </cell>
          <cell r="D45">
            <v>6339300</v>
          </cell>
          <cell r="E45" t="str">
            <v>ALIANSALUD EPS</v>
          </cell>
        </row>
        <row r="46">
          <cell r="A46">
            <v>200915</v>
          </cell>
          <cell r="B46">
            <v>94520667</v>
          </cell>
          <cell r="C46" t="str">
            <v>HURTADO CAICEDO JUAN MANUEL</v>
          </cell>
          <cell r="D46">
            <v>3378500</v>
          </cell>
          <cell r="E46" t="str">
            <v>SURAMERICANA EPS</v>
          </cell>
        </row>
        <row r="47">
          <cell r="A47">
            <v>200925</v>
          </cell>
          <cell r="B47">
            <v>1032435119</v>
          </cell>
          <cell r="C47" t="str">
            <v>MENDEZ SANCHEZ JULIETH CAROLINA</v>
          </cell>
          <cell r="D47">
            <v>1895600</v>
          </cell>
          <cell r="E47" t="str">
            <v>SURAMERICANA EPS</v>
          </cell>
        </row>
        <row r="48">
          <cell r="A48">
            <v>200942</v>
          </cell>
          <cell r="B48">
            <v>52773730</v>
          </cell>
          <cell r="C48" t="str">
            <v>CONTRERAS JUYAR PAOLA ANDREA</v>
          </cell>
          <cell r="D48">
            <v>2000000</v>
          </cell>
          <cell r="E48" t="str">
            <v>SALUD TOTAL EPS</v>
          </cell>
        </row>
        <row r="49">
          <cell r="A49">
            <v>200945</v>
          </cell>
          <cell r="B49">
            <v>11316388</v>
          </cell>
          <cell r="C49" t="str">
            <v>SEPULVEDA LOZANO IVAN FERNANDO</v>
          </cell>
          <cell r="D49">
            <v>12779000</v>
          </cell>
          <cell r="E49" t="str">
            <v>SANITAS EPS</v>
          </cell>
        </row>
        <row r="50">
          <cell r="A50">
            <v>200986</v>
          </cell>
          <cell r="B50">
            <v>79578079</v>
          </cell>
          <cell r="C50" t="str">
            <v>SANCHEZ   CRISTIAN NELSON</v>
          </cell>
          <cell r="D50">
            <v>1289000</v>
          </cell>
          <cell r="E50" t="str">
            <v>CAFESALUD E.P.S.</v>
          </cell>
        </row>
        <row r="51">
          <cell r="A51">
            <v>200992</v>
          </cell>
          <cell r="B51">
            <v>1018406817</v>
          </cell>
          <cell r="C51" t="str">
            <v>AVILAN MORENO ANDREA CAROLINA</v>
          </cell>
          <cell r="D51">
            <v>2164300</v>
          </cell>
          <cell r="E51" t="str">
            <v>COMPENSAR EPS</v>
          </cell>
        </row>
        <row r="52">
          <cell r="A52">
            <v>200999</v>
          </cell>
          <cell r="B52">
            <v>80870718</v>
          </cell>
          <cell r="C52" t="str">
            <v>ESPINOSA FRANCO JAIME ANDRES</v>
          </cell>
          <cell r="D52">
            <v>7619000</v>
          </cell>
          <cell r="E52" t="str">
            <v>FAMISANAR E.P.S.</v>
          </cell>
        </row>
        <row r="53">
          <cell r="A53">
            <v>201003</v>
          </cell>
          <cell r="B53">
            <v>79997734</v>
          </cell>
          <cell r="C53" t="str">
            <v>BETANCOURT   MARIO GIOVANNI</v>
          </cell>
          <cell r="D53">
            <v>1457200</v>
          </cell>
          <cell r="E53" t="str">
            <v>COMPENSAR EPS</v>
          </cell>
        </row>
        <row r="54">
          <cell r="A54">
            <v>201004</v>
          </cell>
          <cell r="B54">
            <v>80164997</v>
          </cell>
          <cell r="C54" t="str">
            <v>TORRES MARTINEZ DANIEL ANDRES</v>
          </cell>
          <cell r="D54">
            <v>1601600</v>
          </cell>
          <cell r="E54" t="str">
            <v>CRUZ BLANCA E.P.S.</v>
          </cell>
        </row>
        <row r="55">
          <cell r="A55">
            <v>201029</v>
          </cell>
          <cell r="B55">
            <v>80493512</v>
          </cell>
          <cell r="C55" t="str">
            <v>PUENTES   JOHN EDWIN</v>
          </cell>
          <cell r="D55">
            <v>1500000</v>
          </cell>
          <cell r="E55" t="str">
            <v>CRUZ BLANCA E.P.S.</v>
          </cell>
        </row>
        <row r="56">
          <cell r="A56">
            <v>201061</v>
          </cell>
          <cell r="B56">
            <v>1032420529</v>
          </cell>
          <cell r="C56" t="str">
            <v>OROZCO RODRIGUEZ CESAR EDUARDO</v>
          </cell>
          <cell r="D56">
            <v>1610500</v>
          </cell>
          <cell r="E56" t="str">
            <v>COMPENSAR EPS</v>
          </cell>
        </row>
        <row r="57">
          <cell r="A57">
            <v>201088</v>
          </cell>
          <cell r="B57">
            <v>79995150</v>
          </cell>
          <cell r="C57" t="str">
            <v>URREGO CARABALLO JOSE ANDRES</v>
          </cell>
          <cell r="D57">
            <v>993000</v>
          </cell>
          <cell r="E57" t="str">
            <v>FAMISANAR E.P.S.</v>
          </cell>
        </row>
        <row r="58">
          <cell r="A58">
            <v>201089</v>
          </cell>
          <cell r="B58">
            <v>11410565</v>
          </cell>
          <cell r="C58" t="str">
            <v>CLAVIJO GUTIERREZ JOSE LEOPOLDO</v>
          </cell>
          <cell r="D58">
            <v>899900</v>
          </cell>
          <cell r="E58" t="str">
            <v>CAFESALUD E.P.S.</v>
          </cell>
        </row>
        <row r="59">
          <cell r="A59">
            <v>201255</v>
          </cell>
          <cell r="B59">
            <v>1030615573</v>
          </cell>
          <cell r="C59" t="str">
            <v>VARGAS ROMERO SERGIO</v>
          </cell>
          <cell r="D59">
            <v>1380300</v>
          </cell>
          <cell r="E59" t="str">
            <v>COMPENSAR EPS</v>
          </cell>
        </row>
        <row r="60">
          <cell r="A60">
            <v>201302</v>
          </cell>
          <cell r="B60">
            <v>1030565352</v>
          </cell>
          <cell r="C60" t="str">
            <v>SALINAS SOLER JONATAN JAVIER</v>
          </cell>
          <cell r="D60">
            <v>1545200</v>
          </cell>
          <cell r="E60" t="str">
            <v>FAMISANAR E.P.S.</v>
          </cell>
        </row>
        <row r="61">
          <cell r="A61">
            <v>201303</v>
          </cell>
          <cell r="B61">
            <v>1030625163</v>
          </cell>
          <cell r="C61" t="str">
            <v>LOZADA BLANCO ANDREA NATALIA</v>
          </cell>
          <cell r="D61">
            <v>1440300</v>
          </cell>
          <cell r="E61" t="str">
            <v>SANITAS EPS</v>
          </cell>
        </row>
        <row r="62">
          <cell r="A62">
            <v>201304</v>
          </cell>
          <cell r="B62">
            <v>80826493</v>
          </cell>
          <cell r="C62" t="str">
            <v>MAHECHA MORENO JUAN CARLOS</v>
          </cell>
          <cell r="D62">
            <v>899900</v>
          </cell>
          <cell r="E62" t="str">
            <v>FAMISANAR E.P.S.</v>
          </cell>
        </row>
        <row r="63">
          <cell r="A63">
            <v>201305</v>
          </cell>
          <cell r="B63">
            <v>1022942773</v>
          </cell>
          <cell r="C63" t="str">
            <v>LOPEZ CARVAJAL OSCAR ALBERTO</v>
          </cell>
          <cell r="D63">
            <v>1545200</v>
          </cell>
          <cell r="E63" t="str">
            <v>CAFESALUD E.P.S.</v>
          </cell>
        </row>
        <row r="64">
          <cell r="A64">
            <v>201309</v>
          </cell>
          <cell r="B64">
            <v>80206800</v>
          </cell>
          <cell r="C64" t="str">
            <v>CASALLAS GONZALEZ ELKIN FERNANDO</v>
          </cell>
          <cell r="D64">
            <v>1895600</v>
          </cell>
          <cell r="E64" t="str">
            <v>CAFESALUD E.P.S.</v>
          </cell>
        </row>
        <row r="65">
          <cell r="A65">
            <v>201310</v>
          </cell>
          <cell r="B65">
            <v>7574096</v>
          </cell>
          <cell r="C65" t="str">
            <v>BARROS FERNANDEZ JORGE IVAN</v>
          </cell>
          <cell r="D65">
            <v>2494400</v>
          </cell>
          <cell r="E65" t="str">
            <v>SALUD TOTAL EPS</v>
          </cell>
        </row>
        <row r="66">
          <cell r="A66">
            <v>201325</v>
          </cell>
          <cell r="B66">
            <v>71709061</v>
          </cell>
          <cell r="C66" t="str">
            <v>MORENO DIAZ JAIRO ALEXANDER</v>
          </cell>
          <cell r="D66">
            <v>32230000</v>
          </cell>
          <cell r="E66" t="str">
            <v>SURAMERICANA EPS</v>
          </cell>
        </row>
        <row r="67">
          <cell r="A67">
            <v>201339</v>
          </cell>
          <cell r="B67">
            <v>52713137</v>
          </cell>
          <cell r="C67" t="str">
            <v>ARDILA CONTENTO ROSARIO DEL PILAR</v>
          </cell>
          <cell r="D67">
            <v>3179500</v>
          </cell>
          <cell r="E67" t="str">
            <v>SALUD TOTAL EPS</v>
          </cell>
        </row>
        <row r="68">
          <cell r="A68">
            <v>201353</v>
          </cell>
          <cell r="B68">
            <v>1023930880</v>
          </cell>
          <cell r="C68" t="str">
            <v>ALARCON CANTE ANGIE NATHALY</v>
          </cell>
          <cell r="D68">
            <v>1364900</v>
          </cell>
          <cell r="E68" t="str">
            <v>SURAMERICANA EPS</v>
          </cell>
        </row>
        <row r="69">
          <cell r="A69">
            <v>201359</v>
          </cell>
          <cell r="B69">
            <v>1030557388</v>
          </cell>
          <cell r="C69" t="str">
            <v>PARRA PEREZ HEIDY ROCIO</v>
          </cell>
          <cell r="D69">
            <v>1898700</v>
          </cell>
          <cell r="E69" t="str">
            <v>FAMISANAR E.P.S.</v>
          </cell>
        </row>
        <row r="70">
          <cell r="A70">
            <v>201369</v>
          </cell>
          <cell r="B70">
            <v>1013581261</v>
          </cell>
          <cell r="C70" t="str">
            <v>GALVIS POVEDA HUGO ERNESTO</v>
          </cell>
          <cell r="D70">
            <v>1895600</v>
          </cell>
          <cell r="E70" t="str">
            <v>COMPENSAR EPS</v>
          </cell>
        </row>
        <row r="71">
          <cell r="A71">
            <v>201395</v>
          </cell>
          <cell r="B71">
            <v>79573219</v>
          </cell>
          <cell r="C71" t="str">
            <v>CONTRERAS HERRERA CARLOS ALBERTO</v>
          </cell>
          <cell r="D71">
            <v>2886600</v>
          </cell>
          <cell r="E71" t="str">
            <v>FAMISANAR E.P.S.</v>
          </cell>
        </row>
        <row r="72">
          <cell r="A72">
            <v>201401</v>
          </cell>
          <cell r="B72">
            <v>79618753</v>
          </cell>
          <cell r="C72" t="str">
            <v>YUCUMA MONJE JAVIER</v>
          </cell>
          <cell r="D72">
            <v>3628100</v>
          </cell>
          <cell r="E72" t="str">
            <v>SURAMERICANA EPS</v>
          </cell>
        </row>
        <row r="73">
          <cell r="A73">
            <v>201417</v>
          </cell>
          <cell r="B73">
            <v>1012417914</v>
          </cell>
          <cell r="C73" t="str">
            <v>GONZALEZ GUTIERREZ WENDY DANIELA</v>
          </cell>
          <cell r="D73">
            <v>1223000</v>
          </cell>
          <cell r="E73" t="str">
            <v>CRUZ BLANCA E.P.S.</v>
          </cell>
        </row>
        <row r="74">
          <cell r="A74">
            <v>201421</v>
          </cell>
          <cell r="B74">
            <v>80233587</v>
          </cell>
          <cell r="C74" t="str">
            <v>FIERRO LOZANO DIEGO FERNANDO</v>
          </cell>
          <cell r="D74">
            <v>3628100</v>
          </cell>
          <cell r="E74" t="str">
            <v>COMPENSAR EPS</v>
          </cell>
        </row>
        <row r="75">
          <cell r="A75">
            <v>201422</v>
          </cell>
          <cell r="B75">
            <v>80149388</v>
          </cell>
          <cell r="C75" t="str">
            <v>SANCHEZ MATIZ YAIR</v>
          </cell>
          <cell r="D75">
            <v>4881100</v>
          </cell>
          <cell r="E75" t="str">
            <v>ALIANSALUD EPS</v>
          </cell>
        </row>
        <row r="76">
          <cell r="A76">
            <v>201423</v>
          </cell>
          <cell r="B76">
            <v>52991114</v>
          </cell>
          <cell r="C76" t="str">
            <v>SOTOMONTE BULA NATALIA</v>
          </cell>
          <cell r="D76">
            <v>3689700</v>
          </cell>
          <cell r="E76" t="str">
            <v>SANITAS EPS</v>
          </cell>
        </row>
        <row r="77">
          <cell r="A77">
            <v>201448</v>
          </cell>
          <cell r="B77">
            <v>79997775</v>
          </cell>
          <cell r="C77" t="str">
            <v>ARAGON MEDINA ANDRES FELIPE</v>
          </cell>
          <cell r="D77">
            <v>1022800</v>
          </cell>
          <cell r="E77" t="str">
            <v>SALUD TOTAL EPS</v>
          </cell>
        </row>
        <row r="78">
          <cell r="A78">
            <v>201449</v>
          </cell>
          <cell r="B78">
            <v>79827100</v>
          </cell>
          <cell r="C78" t="str">
            <v>LEIVA ROMERO FREDY EDUARDO</v>
          </cell>
          <cell r="D78">
            <v>1193100</v>
          </cell>
          <cell r="E78" t="str">
            <v>SALUD TOTAL EPS</v>
          </cell>
        </row>
        <row r="79">
          <cell r="A79">
            <v>201450</v>
          </cell>
          <cell r="B79">
            <v>53014875</v>
          </cell>
          <cell r="C79" t="str">
            <v>MARINO BEDOYA SHIRLEY MILENA</v>
          </cell>
          <cell r="D79">
            <v>1484500</v>
          </cell>
          <cell r="E79" t="str">
            <v>SANITAS EPS</v>
          </cell>
        </row>
        <row r="80">
          <cell r="A80">
            <v>201460</v>
          </cell>
          <cell r="B80">
            <v>1015997275</v>
          </cell>
          <cell r="C80" t="str">
            <v>HERNANDEZ   JUAN GUILLERMO</v>
          </cell>
          <cell r="D80">
            <v>1193100</v>
          </cell>
          <cell r="E80" t="str">
            <v>COMPENSAR EPS</v>
          </cell>
        </row>
        <row r="81">
          <cell r="A81">
            <v>201469</v>
          </cell>
          <cell r="B81">
            <v>1018452312</v>
          </cell>
          <cell r="C81" t="str">
            <v>REYES GUERRERO DANIELA</v>
          </cell>
          <cell r="D81">
            <v>1440300</v>
          </cell>
          <cell r="E81" t="str">
            <v>FAMISANAR E.P.S.</v>
          </cell>
        </row>
        <row r="82">
          <cell r="A82">
            <v>201470</v>
          </cell>
          <cell r="B82">
            <v>1072466834</v>
          </cell>
          <cell r="C82" t="str">
            <v>GARZON SANDOVAL IVAN ARLEY</v>
          </cell>
          <cell r="D82">
            <v>882600</v>
          </cell>
          <cell r="E82" t="str">
            <v>COMPENSAR EPS</v>
          </cell>
        </row>
        <row r="83">
          <cell r="A83">
            <v>201471</v>
          </cell>
          <cell r="B83">
            <v>1032370665</v>
          </cell>
          <cell r="C83" t="str">
            <v>PARRA LEON JOHN EDISSON</v>
          </cell>
          <cell r="D83">
            <v>1440300</v>
          </cell>
          <cell r="E83" t="str">
            <v>SURAMERICANA EPS</v>
          </cell>
        </row>
        <row r="84">
          <cell r="A84">
            <v>201479</v>
          </cell>
          <cell r="B84">
            <v>41657445</v>
          </cell>
          <cell r="C84" t="str">
            <v>CANO DURAN OLGA INES</v>
          </cell>
          <cell r="D84">
            <v>51830000</v>
          </cell>
          <cell r="E84" t="str">
            <v>SANITAS EPS</v>
          </cell>
        </row>
        <row r="85">
          <cell r="A85">
            <v>201482</v>
          </cell>
          <cell r="B85">
            <v>1012339952</v>
          </cell>
          <cell r="C85" t="str">
            <v>MORA GARCIA JOSE LUIS</v>
          </cell>
          <cell r="D85">
            <v>899900</v>
          </cell>
          <cell r="E85" t="str">
            <v>FAMISANAR E.P.S.</v>
          </cell>
        </row>
        <row r="86">
          <cell r="A86">
            <v>201506</v>
          </cell>
          <cell r="B86">
            <v>1018441650</v>
          </cell>
          <cell r="C86" t="str">
            <v>ROJAS VALDERRAMA JULIANA  ANDREA</v>
          </cell>
          <cell r="D86">
            <v>1500000</v>
          </cell>
          <cell r="E86" t="str">
            <v>COOMEVA EPS</v>
          </cell>
        </row>
        <row r="87">
          <cell r="A87">
            <v>201524</v>
          </cell>
          <cell r="B87">
            <v>1016040697</v>
          </cell>
          <cell r="C87" t="str">
            <v>RODRIGUEZ MOGOLLON ZILEFNI FRANLIANA</v>
          </cell>
          <cell r="D87">
            <v>1680000</v>
          </cell>
          <cell r="E87" t="str">
            <v>FAMISANAR E.P.S.</v>
          </cell>
        </row>
        <row r="88">
          <cell r="A88">
            <v>201526</v>
          </cell>
          <cell r="B88">
            <v>1083558449</v>
          </cell>
          <cell r="C88" t="str">
            <v>BARRIOS MUNOZ YEIMY PAOLA</v>
          </cell>
          <cell r="D88">
            <v>841700</v>
          </cell>
          <cell r="E88" t="str">
            <v>NUEVA EPS</v>
          </cell>
        </row>
        <row r="89">
          <cell r="A89">
            <v>201527</v>
          </cell>
          <cell r="B89">
            <v>1110513167</v>
          </cell>
          <cell r="C89" t="str">
            <v>LLANOS   HEIDY JULIETH</v>
          </cell>
          <cell r="D89">
            <v>841700</v>
          </cell>
          <cell r="E89" t="str">
            <v>SALUD TOTAL EPS</v>
          </cell>
        </row>
        <row r="90">
          <cell r="A90">
            <v>201528</v>
          </cell>
          <cell r="B90">
            <v>1013665381</v>
          </cell>
          <cell r="C90" t="str">
            <v>FARFAN FIERRO PAULA CAROLINA</v>
          </cell>
          <cell r="D90">
            <v>720000</v>
          </cell>
          <cell r="E90" t="str">
            <v>SANITAS EPS</v>
          </cell>
        </row>
        <row r="91">
          <cell r="A91">
            <v>201535</v>
          </cell>
          <cell r="B91">
            <v>1018414204</v>
          </cell>
          <cell r="C91" t="str">
            <v>MENDOZA GUTIERREZ MARIA FERNANDA</v>
          </cell>
          <cell r="D91">
            <v>644400</v>
          </cell>
          <cell r="E91" t="str">
            <v>FAMISANAR E.P.S.</v>
          </cell>
        </row>
        <row r="92">
          <cell r="A92">
            <v>201551</v>
          </cell>
          <cell r="B92">
            <v>91301824</v>
          </cell>
          <cell r="C92" t="str">
            <v>RODRIGUEZ TELLEZ FREDY HERNEL</v>
          </cell>
          <cell r="D92">
            <v>800000</v>
          </cell>
          <cell r="E92" t="str">
            <v>FAMISANAR E.P.S.</v>
          </cell>
        </row>
        <row r="93">
          <cell r="A93">
            <v>201553</v>
          </cell>
          <cell r="B93">
            <v>85272222</v>
          </cell>
          <cell r="C93" t="str">
            <v>KETTYL CANTILLO HEIDER</v>
          </cell>
          <cell r="D93">
            <v>800000</v>
          </cell>
          <cell r="E93" t="str">
            <v>CAFESALUD E.P.S.</v>
          </cell>
        </row>
        <row r="94">
          <cell r="A94">
            <v>201554</v>
          </cell>
          <cell r="B94">
            <v>1074415328</v>
          </cell>
          <cell r="C94" t="str">
            <v>URREGO   JOSE EDILBERTO</v>
          </cell>
          <cell r="D94">
            <v>800000</v>
          </cell>
          <cell r="E94" t="str">
            <v>SALUD TOTAL EPS</v>
          </cell>
        </row>
        <row r="95">
          <cell r="A95">
            <v>201555</v>
          </cell>
          <cell r="B95">
            <v>1022955238</v>
          </cell>
          <cell r="C95" t="str">
            <v>MORA MORA JAIRO</v>
          </cell>
          <cell r="D95">
            <v>800000</v>
          </cell>
          <cell r="E95" t="str">
            <v>FAMISANAR E.P.S.</v>
          </cell>
        </row>
        <row r="96">
          <cell r="A96">
            <v>201556</v>
          </cell>
          <cell r="B96">
            <v>79832608</v>
          </cell>
          <cell r="C96" t="str">
            <v>MUNETON GARZON LUIS ESNEIDER</v>
          </cell>
          <cell r="D96">
            <v>899900</v>
          </cell>
          <cell r="E96" t="str">
            <v>FAMISANAR E.P.S.</v>
          </cell>
        </row>
        <row r="97">
          <cell r="A97">
            <v>201557</v>
          </cell>
          <cell r="B97">
            <v>1000985384</v>
          </cell>
          <cell r="C97" t="str">
            <v>RAMIREZ SILVA JOHAN STIVEN</v>
          </cell>
          <cell r="D97">
            <v>644400</v>
          </cell>
          <cell r="E97" t="str">
            <v>FAMISANAR E.P.S.</v>
          </cell>
        </row>
        <row r="98">
          <cell r="A98">
            <v>201559</v>
          </cell>
          <cell r="B98">
            <v>79995981</v>
          </cell>
          <cell r="C98" t="str">
            <v>HERNANDEZ BERNAL GONZALO ANDRES</v>
          </cell>
          <cell r="D98">
            <v>800000</v>
          </cell>
          <cell r="E98" t="str">
            <v>COMPENSAR EPS</v>
          </cell>
        </row>
        <row r="99">
          <cell r="A99">
            <v>201560</v>
          </cell>
          <cell r="B99">
            <v>52732304</v>
          </cell>
          <cell r="C99" t="str">
            <v>CRUZ ARCHILA DIANA ELIZABETH</v>
          </cell>
          <cell r="D99">
            <v>1300000</v>
          </cell>
          <cell r="E99" t="str">
            <v>COMPENSAR EPS</v>
          </cell>
        </row>
        <row r="100">
          <cell r="A100">
            <v>201563</v>
          </cell>
          <cell r="B100">
            <v>1019133988</v>
          </cell>
          <cell r="C100" t="str">
            <v>RUIZ AVILA ANGIE XIMENA</v>
          </cell>
          <cell r="D100">
            <v>644400</v>
          </cell>
          <cell r="E100" t="str">
            <v>COOMEVA EPS</v>
          </cell>
        </row>
        <row r="101">
          <cell r="A101">
            <v>201564</v>
          </cell>
          <cell r="B101">
            <v>1016087334</v>
          </cell>
          <cell r="C101" t="str">
            <v>VARGAS QUINTERO YINETH MARCELA</v>
          </cell>
          <cell r="D101">
            <v>644400</v>
          </cell>
          <cell r="E101" t="str">
            <v>CAFESALUD E.P.S.</v>
          </cell>
        </row>
        <row r="102">
          <cell r="A102">
            <v>201565</v>
          </cell>
          <cell r="B102">
            <v>1024543694</v>
          </cell>
          <cell r="C102" t="str">
            <v>MORENO CARO MIGUEL ANGEL</v>
          </cell>
          <cell r="D102">
            <v>644400</v>
          </cell>
          <cell r="E102" t="str">
            <v>SANITAS EPS</v>
          </cell>
        </row>
        <row r="103">
          <cell r="A103">
            <v>201586</v>
          </cell>
          <cell r="B103">
            <v>80099476</v>
          </cell>
          <cell r="C103" t="str">
            <v>MORA VARGAS JOAN SEBASTIAN</v>
          </cell>
          <cell r="D103">
            <v>2000000</v>
          </cell>
          <cell r="E103" t="str">
            <v>COMPENSAR EPS</v>
          </cell>
        </row>
        <row r="104">
          <cell r="A104">
            <v>201587</v>
          </cell>
          <cell r="B104">
            <v>1000505155</v>
          </cell>
          <cell r="C104" t="str">
            <v>BAEZ   MARIEM JOSSIANY</v>
          </cell>
          <cell r="D104">
            <v>644400</v>
          </cell>
          <cell r="E104" t="str">
            <v>CRUZ BLANCA E.P.S.</v>
          </cell>
        </row>
        <row r="105">
          <cell r="A105">
            <v>201588</v>
          </cell>
          <cell r="B105">
            <v>1019125620</v>
          </cell>
          <cell r="C105" t="str">
            <v>ALDANA SANCHEZ FABIAN ANDRES</v>
          </cell>
          <cell r="D105">
            <v>644400</v>
          </cell>
          <cell r="E105" t="str">
            <v>COMPENSAR EPS</v>
          </cell>
        </row>
        <row r="106">
          <cell r="A106">
            <v>201589</v>
          </cell>
          <cell r="B106">
            <v>1014275509</v>
          </cell>
          <cell r="C106" t="str">
            <v>ARAGON HERAZO CESAR ARTURO</v>
          </cell>
          <cell r="D106">
            <v>644400</v>
          </cell>
          <cell r="E106" t="str">
            <v>COMPENSAR EPS</v>
          </cell>
        </row>
        <row r="107">
          <cell r="A107">
            <v>201591</v>
          </cell>
          <cell r="B107">
            <v>80747946</v>
          </cell>
          <cell r="C107" t="str">
            <v>VARGAS GARCIA LUIS HERNANDO</v>
          </cell>
          <cell r="D107">
            <v>841700</v>
          </cell>
          <cell r="E107" t="str">
            <v>SALUD TOTAL EPS</v>
          </cell>
        </row>
        <row r="108">
          <cell r="A108">
            <v>208109</v>
          </cell>
          <cell r="B108">
            <v>79244874</v>
          </cell>
          <cell r="C108" t="str">
            <v>BRAVO TORRES VICTOR HUGO</v>
          </cell>
          <cell r="D108">
            <v>1675400</v>
          </cell>
          <cell r="E108" t="str">
            <v>COMPENSAR EPS</v>
          </cell>
        </row>
        <row r="109">
          <cell r="A109">
            <v>208122</v>
          </cell>
          <cell r="B109">
            <v>43628385</v>
          </cell>
          <cell r="C109" t="str">
            <v>CADAVID ESCOBAR ANA LUCIA</v>
          </cell>
          <cell r="D109">
            <v>5293000</v>
          </cell>
          <cell r="E109" t="e">
            <v>#N/A</v>
          </cell>
        </row>
        <row r="110">
          <cell r="A110">
            <v>208148</v>
          </cell>
          <cell r="B110">
            <v>94458535</v>
          </cell>
          <cell r="C110" t="str">
            <v>MALDONADO HERNANDEZ JAIRO</v>
          </cell>
          <cell r="D110">
            <v>9491300</v>
          </cell>
          <cell r="E110" t="str">
            <v>SURAMERICANA EPS</v>
          </cell>
        </row>
        <row r="111">
          <cell r="A111">
            <v>210114</v>
          </cell>
          <cell r="B111">
            <v>80219137</v>
          </cell>
          <cell r="C111" t="str">
            <v>ROMERO RODRIGUEZ HECTOR GUILLERMO</v>
          </cell>
          <cell r="D111">
            <v>1182300</v>
          </cell>
          <cell r="E111" t="str">
            <v>COMPENSAR EPS</v>
          </cell>
        </row>
        <row r="112">
          <cell r="A112">
            <v>210115</v>
          </cell>
          <cell r="B112">
            <v>15876616</v>
          </cell>
          <cell r="C112" t="str">
            <v>CORDERO MORALES JOHAN ANTHUAN</v>
          </cell>
          <cell r="D112">
            <v>2751500</v>
          </cell>
          <cell r="E112" t="str">
            <v>CAFESALUD E.P.S.</v>
          </cell>
        </row>
        <row r="113">
          <cell r="A113">
            <v>210118</v>
          </cell>
          <cell r="B113">
            <v>80062762</v>
          </cell>
          <cell r="C113" t="str">
            <v>ROMERO GORDILLO FREDDY ALEJANDRO</v>
          </cell>
          <cell r="D113">
            <v>2584000</v>
          </cell>
          <cell r="E113" t="str">
            <v>SURAMERICANA EPS</v>
          </cell>
        </row>
        <row r="114">
          <cell r="A114">
            <v>210155</v>
          </cell>
          <cell r="B114">
            <v>80008146</v>
          </cell>
          <cell r="C114" t="str">
            <v>GONZALEZ TORRES OSCAR FERNANDO</v>
          </cell>
          <cell r="D114">
            <v>1545200</v>
          </cell>
          <cell r="E114" t="str">
            <v>SALUD TOTAL EPS</v>
          </cell>
        </row>
        <row r="115">
          <cell r="A115">
            <v>210156</v>
          </cell>
          <cell r="B115">
            <v>4188813</v>
          </cell>
          <cell r="C115" t="str">
            <v>ROJAS BUITRAGO FERNANDO</v>
          </cell>
          <cell r="D115">
            <v>1545200</v>
          </cell>
          <cell r="E115" t="str">
            <v>CAFESALUD E.P.S.</v>
          </cell>
        </row>
        <row r="116">
          <cell r="A116">
            <v>210158</v>
          </cell>
          <cell r="B116">
            <v>80122308</v>
          </cell>
          <cell r="C116" t="str">
            <v>CASTIBLANCO TRUJILLO JHON ALEXANDER</v>
          </cell>
          <cell r="D116">
            <v>1595600</v>
          </cell>
          <cell r="E116" t="str">
            <v>FAMISANAR E.P.S.</v>
          </cell>
        </row>
        <row r="117">
          <cell r="A117">
            <v>210159</v>
          </cell>
          <cell r="B117">
            <v>79993397</v>
          </cell>
          <cell r="C117" t="str">
            <v>ROZO GALINDO MANUEL ESTEBAN</v>
          </cell>
          <cell r="D117">
            <v>1807300</v>
          </cell>
          <cell r="E117" t="str">
            <v>SURAMERICANA EPS</v>
          </cell>
        </row>
        <row r="118">
          <cell r="A118">
            <v>210160</v>
          </cell>
          <cell r="B118">
            <v>80209073</v>
          </cell>
          <cell r="C118" t="str">
            <v>GARZON MENDOZA EDWIN</v>
          </cell>
          <cell r="D118">
            <v>1289000</v>
          </cell>
          <cell r="E118" t="str">
            <v>SALUD TOTAL EPS</v>
          </cell>
        </row>
        <row r="119">
          <cell r="A119">
            <v>210161</v>
          </cell>
          <cell r="B119">
            <v>80138455</v>
          </cell>
          <cell r="C119" t="str">
            <v>SANTIAGO PEREZ JAIME ANDRES</v>
          </cell>
          <cell r="D119">
            <v>1289000</v>
          </cell>
          <cell r="E119" t="str">
            <v>CAFESALUD E.P.S.</v>
          </cell>
        </row>
        <row r="120">
          <cell r="A120">
            <v>210163</v>
          </cell>
          <cell r="B120">
            <v>3057273</v>
          </cell>
          <cell r="C120" t="str">
            <v>CASTRO RODRIGUEZ SEBASTIAN ALBERTO</v>
          </cell>
          <cell r="D120">
            <v>1405200</v>
          </cell>
          <cell r="E120" t="str">
            <v>COMPENSAR EPS</v>
          </cell>
        </row>
        <row r="121">
          <cell r="A121">
            <v>210171</v>
          </cell>
          <cell r="B121">
            <v>79619638</v>
          </cell>
          <cell r="C121" t="str">
            <v>GONZALEZ TORRALBA NELSON ORLANDO</v>
          </cell>
          <cell r="D121">
            <v>1545200</v>
          </cell>
          <cell r="E121" t="str">
            <v>CRUZ BLANCA E.P.S.</v>
          </cell>
        </row>
        <row r="122">
          <cell r="A122">
            <v>210175</v>
          </cell>
          <cell r="B122">
            <v>79770683</v>
          </cell>
          <cell r="C122" t="str">
            <v>BARBOSA TORRES JOSE ALEJANDRO</v>
          </cell>
          <cell r="D122">
            <v>1545200</v>
          </cell>
          <cell r="E122" t="str">
            <v>FAMISANAR E.P.S.</v>
          </cell>
        </row>
        <row r="123">
          <cell r="A123">
            <v>210185</v>
          </cell>
          <cell r="B123">
            <v>79782033</v>
          </cell>
          <cell r="C123" t="str">
            <v>WILCHEZ FLOREZ ALIRIO</v>
          </cell>
          <cell r="D123">
            <v>1064500</v>
          </cell>
          <cell r="E123" t="str">
            <v>CRUZ BLANCA E.P.S.</v>
          </cell>
        </row>
        <row r="124">
          <cell r="A124">
            <v>210200</v>
          </cell>
          <cell r="B124">
            <v>80113409</v>
          </cell>
          <cell r="C124" t="str">
            <v>MARTINEZ BRICENO FREDY ANTONIO</v>
          </cell>
          <cell r="D124">
            <v>1440300</v>
          </cell>
          <cell r="E124" t="str">
            <v>CAFESALUD E.P.S.</v>
          </cell>
        </row>
        <row r="125">
          <cell r="A125">
            <v>210214</v>
          </cell>
          <cell r="B125">
            <v>74363211</v>
          </cell>
          <cell r="C125" t="str">
            <v>CASTANEDA CUESTA JUAN LEOPOLDO</v>
          </cell>
          <cell r="D125">
            <v>1332600</v>
          </cell>
          <cell r="E125" t="str">
            <v>CRUZ BLANCA E.P.S.</v>
          </cell>
        </row>
        <row r="126">
          <cell r="A126">
            <v>210231</v>
          </cell>
          <cell r="B126">
            <v>1105681982</v>
          </cell>
          <cell r="C126" t="str">
            <v>VELA LOZANO JOSE MILLER</v>
          </cell>
          <cell r="D126">
            <v>1500000</v>
          </cell>
          <cell r="E126" t="str">
            <v>SANITAS EPS</v>
          </cell>
        </row>
        <row r="127">
          <cell r="A127">
            <v>210232</v>
          </cell>
          <cell r="B127">
            <v>52656863</v>
          </cell>
          <cell r="C127" t="str">
            <v>RAMIREZ OLARTE LIDA YANETH</v>
          </cell>
          <cell r="D127">
            <v>1591700</v>
          </cell>
          <cell r="E127" t="str">
            <v>SANITAS EPS</v>
          </cell>
        </row>
        <row r="128">
          <cell r="A128">
            <v>210235</v>
          </cell>
          <cell r="B128">
            <v>72189328</v>
          </cell>
          <cell r="C128" t="str">
            <v>BARRAGAN QUINTERO JOHN ENRIQUE</v>
          </cell>
          <cell r="D128">
            <v>1136000</v>
          </cell>
          <cell r="E128" t="str">
            <v>SALUD TOTAL EPS</v>
          </cell>
        </row>
        <row r="129">
          <cell r="A129">
            <v>210240</v>
          </cell>
          <cell r="B129">
            <v>72234059</v>
          </cell>
          <cell r="C129" t="str">
            <v>MIRANDA BACA MARCO AURELIO</v>
          </cell>
          <cell r="D129">
            <v>2795300</v>
          </cell>
          <cell r="E129" t="str">
            <v>SURAMERICANA EPS</v>
          </cell>
        </row>
        <row r="130">
          <cell r="A130">
            <v>211054</v>
          </cell>
          <cell r="B130">
            <v>1013629326</v>
          </cell>
          <cell r="C130" t="str">
            <v>PALACIO LOPEZ YISED MARISOL</v>
          </cell>
          <cell r="D130">
            <v>1542300</v>
          </cell>
          <cell r="E130" t="str">
            <v>SANITAS EPS</v>
          </cell>
        </row>
        <row r="131">
          <cell r="A131">
            <v>211059</v>
          </cell>
          <cell r="B131">
            <v>93285977</v>
          </cell>
          <cell r="C131" t="str">
            <v>DUENAS SANCHEZ PEDRO LEONEL</v>
          </cell>
          <cell r="D131">
            <v>1331500</v>
          </cell>
          <cell r="E131" t="str">
            <v>SALUD TOTAL EPS</v>
          </cell>
        </row>
        <row r="132">
          <cell r="A132">
            <v>211078</v>
          </cell>
          <cell r="B132">
            <v>52897631</v>
          </cell>
          <cell r="C132" t="str">
            <v>RIVERA MUNOZ MAGDA CAROLINA</v>
          </cell>
          <cell r="D132">
            <v>6398800</v>
          </cell>
          <cell r="E132" t="str">
            <v>CAFESALUD E.P.S.</v>
          </cell>
        </row>
        <row r="133">
          <cell r="A133">
            <v>211106</v>
          </cell>
          <cell r="B133">
            <v>52553877</v>
          </cell>
          <cell r="C133" t="str">
            <v>PAEZ CORTES ROSARIO</v>
          </cell>
          <cell r="D133">
            <v>1318800</v>
          </cell>
          <cell r="E133" t="str">
            <v>SURAMERICANA EPS</v>
          </cell>
        </row>
        <row r="134">
          <cell r="A134">
            <v>211107</v>
          </cell>
          <cell r="B134">
            <v>52275914</v>
          </cell>
          <cell r="C134" t="str">
            <v>ROJAS CARDENAS AUDREY</v>
          </cell>
          <cell r="D134">
            <v>3121800</v>
          </cell>
          <cell r="E134" t="str">
            <v>COMPENSAR EPS</v>
          </cell>
        </row>
        <row r="135">
          <cell r="A135">
            <v>211115</v>
          </cell>
          <cell r="B135">
            <v>52764790</v>
          </cell>
          <cell r="C135" t="str">
            <v>GONZALEZ GONZALEZ KAREN</v>
          </cell>
          <cell r="D135">
            <v>910100</v>
          </cell>
          <cell r="E135" t="str">
            <v>SANITAS EPS</v>
          </cell>
        </row>
        <row r="136">
          <cell r="A136">
            <v>211124</v>
          </cell>
          <cell r="B136">
            <v>11232863</v>
          </cell>
          <cell r="C136" t="str">
            <v>ALVARADO RIVEROS JUAN PABLO</v>
          </cell>
          <cell r="D136">
            <v>1597600</v>
          </cell>
          <cell r="E136" t="str">
            <v>CAFESALUD E.P.S.</v>
          </cell>
        </row>
        <row r="137">
          <cell r="A137">
            <v>211125</v>
          </cell>
          <cell r="B137">
            <v>1015992709</v>
          </cell>
          <cell r="C137" t="str">
            <v>MOYA RUBIO FREDY DUBAN</v>
          </cell>
          <cell r="D137">
            <v>993300</v>
          </cell>
          <cell r="E137" t="str">
            <v>CAFESALUD E.P.S.</v>
          </cell>
        </row>
        <row r="138">
          <cell r="A138">
            <v>211127</v>
          </cell>
          <cell r="B138">
            <v>1140830522</v>
          </cell>
          <cell r="C138" t="str">
            <v>CARRASCO CUMPLIDO ELKIN DAVID</v>
          </cell>
          <cell r="D138">
            <v>1250000</v>
          </cell>
          <cell r="E138" t="str">
            <v>COOMEVA EPS</v>
          </cell>
        </row>
        <row r="139">
          <cell r="A139">
            <v>211153</v>
          </cell>
          <cell r="B139">
            <v>1022949678</v>
          </cell>
          <cell r="C139" t="str">
            <v>HERRERA RIVEROS LUIS FABIAN ALFONSO</v>
          </cell>
          <cell r="D139">
            <v>2200000</v>
          </cell>
          <cell r="E139" t="str">
            <v>FAMISANAR E.P.S.</v>
          </cell>
        </row>
        <row r="140">
          <cell r="A140">
            <v>211157</v>
          </cell>
          <cell r="B140">
            <v>39791949</v>
          </cell>
          <cell r="C140" t="str">
            <v>OSPINA MARTINEZ ADRIANA</v>
          </cell>
          <cell r="D140">
            <v>7378500</v>
          </cell>
          <cell r="E140" t="str">
            <v>SANITAS EPS</v>
          </cell>
        </row>
        <row r="141">
          <cell r="A141">
            <v>211200</v>
          </cell>
          <cell r="B141">
            <v>1014204612</v>
          </cell>
          <cell r="C141" t="str">
            <v>RODRIGUEZ HERRERA PAOLA XIMENA</v>
          </cell>
          <cell r="D141">
            <v>1542300</v>
          </cell>
          <cell r="E141" t="str">
            <v>FAMISANAR E.P.S.</v>
          </cell>
        </row>
        <row r="142">
          <cell r="A142">
            <v>211239</v>
          </cell>
          <cell r="B142">
            <v>52957237</v>
          </cell>
          <cell r="C142" t="str">
            <v>MARTINEZ   ANGELICA MARIA</v>
          </cell>
          <cell r="D142">
            <v>1699100</v>
          </cell>
          <cell r="E142" t="str">
            <v>FAMISANAR E.P.S.</v>
          </cell>
        </row>
        <row r="143">
          <cell r="A143">
            <v>211254</v>
          </cell>
          <cell r="B143">
            <v>1026553424</v>
          </cell>
          <cell r="C143" t="str">
            <v>PINZON BARRETO LEIDY</v>
          </cell>
          <cell r="D143">
            <v>2647900</v>
          </cell>
          <cell r="E143" t="str">
            <v>COMPENSAR EPS</v>
          </cell>
        </row>
        <row r="144">
          <cell r="A144">
            <v>212002</v>
          </cell>
          <cell r="B144">
            <v>1010172644</v>
          </cell>
          <cell r="C144" t="str">
            <v>IDARRAGA DIAZ ANA MARIA</v>
          </cell>
          <cell r="D144">
            <v>2500000</v>
          </cell>
          <cell r="E144" t="str">
            <v>SANITAS EPS</v>
          </cell>
        </row>
        <row r="145">
          <cell r="A145">
            <v>212003</v>
          </cell>
          <cell r="B145">
            <v>86009420</v>
          </cell>
          <cell r="C145" t="str">
            <v>QUINTANA TABARES JAIRO ALBERTO</v>
          </cell>
          <cell r="D145">
            <v>1440300</v>
          </cell>
          <cell r="E145" t="str">
            <v>FAMISANAR E.P.S.</v>
          </cell>
        </row>
        <row r="146">
          <cell r="A146">
            <v>212026</v>
          </cell>
          <cell r="B146">
            <v>80161887</v>
          </cell>
          <cell r="C146" t="str">
            <v>BARRETO GUZMAN LUCIANO</v>
          </cell>
          <cell r="D146">
            <v>1440300</v>
          </cell>
          <cell r="E146" t="str">
            <v>SALUD TOTAL EPS</v>
          </cell>
        </row>
        <row r="147">
          <cell r="A147">
            <v>212068</v>
          </cell>
          <cell r="B147">
            <v>53046591</v>
          </cell>
          <cell r="C147" t="str">
            <v>SARAY ALBA MARTHA CATALINA</v>
          </cell>
          <cell r="D147">
            <v>1895600</v>
          </cell>
          <cell r="E147" t="str">
            <v>COMPENSAR EPS</v>
          </cell>
        </row>
        <row r="148">
          <cell r="A148">
            <v>212069</v>
          </cell>
          <cell r="B148">
            <v>53153670</v>
          </cell>
          <cell r="C148" t="str">
            <v>CASTRO IGLESIAS DIANA MARCELA</v>
          </cell>
          <cell r="D148">
            <v>2000000</v>
          </cell>
          <cell r="E148" t="str">
            <v>COMPENSAR EPS</v>
          </cell>
        </row>
        <row r="149">
          <cell r="A149">
            <v>212078</v>
          </cell>
          <cell r="B149">
            <v>53081175</v>
          </cell>
          <cell r="C149" t="str">
            <v>PENAFORT NINO ANGELICA</v>
          </cell>
          <cell r="D149">
            <v>4066400</v>
          </cell>
          <cell r="E149" t="str">
            <v>SANITAS EPS</v>
          </cell>
        </row>
        <row r="150">
          <cell r="A150">
            <v>212088</v>
          </cell>
          <cell r="B150">
            <v>51917798</v>
          </cell>
          <cell r="C150" t="str">
            <v>BERNAL RUIZ ADRIANA</v>
          </cell>
          <cell r="D150">
            <v>1627200</v>
          </cell>
          <cell r="E150" t="str">
            <v>SANITAS EPS</v>
          </cell>
        </row>
        <row r="151">
          <cell r="A151">
            <v>212098</v>
          </cell>
          <cell r="B151">
            <v>1012320547</v>
          </cell>
          <cell r="C151" t="str">
            <v>ALDANA GUEVARA JUAN EDUARDO</v>
          </cell>
          <cell r="D151">
            <v>3115200</v>
          </cell>
          <cell r="E151" t="str">
            <v>SANITAS EPS</v>
          </cell>
        </row>
        <row r="152">
          <cell r="A152">
            <v>212101</v>
          </cell>
          <cell r="B152">
            <v>80881770</v>
          </cell>
          <cell r="C152" t="str">
            <v>ARIZA CALDERON HAROL FERNANDO</v>
          </cell>
          <cell r="D152">
            <v>1545200</v>
          </cell>
          <cell r="E152" t="str">
            <v>FAMISANAR E.P.S.</v>
          </cell>
        </row>
        <row r="153">
          <cell r="A153">
            <v>212102</v>
          </cell>
          <cell r="B153">
            <v>1101685069</v>
          </cell>
          <cell r="C153" t="str">
            <v>AVILA BERMUDEZ JOSE ANTOLINO</v>
          </cell>
          <cell r="D153">
            <v>1193100</v>
          </cell>
          <cell r="E153" t="str">
            <v>SANITAS EPS</v>
          </cell>
        </row>
        <row r="154">
          <cell r="A154">
            <v>212103</v>
          </cell>
          <cell r="B154">
            <v>1073032320</v>
          </cell>
          <cell r="C154" t="str">
            <v>CARABALLO GONZALEZ HUMBERTO</v>
          </cell>
          <cell r="D154">
            <v>1193100</v>
          </cell>
          <cell r="E154" t="str">
            <v>CRUZ BLANCA E.P.S.</v>
          </cell>
        </row>
        <row r="155">
          <cell r="A155">
            <v>212104</v>
          </cell>
          <cell r="B155">
            <v>1024476985</v>
          </cell>
          <cell r="C155" t="str">
            <v>BEJARANO GRANADOS EDISSON FERNEY</v>
          </cell>
          <cell r="D155">
            <v>1289000</v>
          </cell>
          <cell r="E155" t="str">
            <v>COMPENSAR EPS</v>
          </cell>
        </row>
        <row r="156">
          <cell r="A156">
            <v>212105</v>
          </cell>
          <cell r="B156">
            <v>1015394749</v>
          </cell>
          <cell r="C156" t="str">
            <v>NARVAEZ GALINDO ANDRES JULIAN</v>
          </cell>
          <cell r="D156">
            <v>1545200</v>
          </cell>
          <cell r="E156" t="str">
            <v>FAMISANAR E.P.S.</v>
          </cell>
        </row>
        <row r="157">
          <cell r="A157">
            <v>212106</v>
          </cell>
          <cell r="B157">
            <v>80738951</v>
          </cell>
          <cell r="C157" t="str">
            <v>GARZON BEJARANO JOSE ARLEY</v>
          </cell>
          <cell r="D157">
            <v>1440300</v>
          </cell>
          <cell r="E157" t="str">
            <v>COMPENSAR EPS</v>
          </cell>
        </row>
        <row r="158">
          <cell r="A158">
            <v>212107</v>
          </cell>
          <cell r="B158">
            <v>80896932</v>
          </cell>
          <cell r="C158" t="str">
            <v>QUITIAN ESCAMILLA FREDY LEONARDO</v>
          </cell>
          <cell r="D158">
            <v>1193100</v>
          </cell>
          <cell r="E158" t="str">
            <v>COMPENSAR EPS</v>
          </cell>
        </row>
        <row r="159">
          <cell r="A159">
            <v>212108</v>
          </cell>
          <cell r="B159">
            <v>1023869016</v>
          </cell>
          <cell r="C159" t="str">
            <v>MARTINEZ BRICENO YEISON ALIRIO</v>
          </cell>
          <cell r="D159">
            <v>2751500</v>
          </cell>
          <cell r="E159" t="str">
            <v>CRUZ BLANCA E.P.S.</v>
          </cell>
        </row>
        <row r="160">
          <cell r="A160">
            <v>212109</v>
          </cell>
          <cell r="B160">
            <v>79997844</v>
          </cell>
          <cell r="C160" t="str">
            <v>NEIRA CASTILLO MILLER ALEXANDER</v>
          </cell>
          <cell r="D160">
            <v>1545200</v>
          </cell>
          <cell r="E160" t="str">
            <v>FAMISANAR E.P.S.</v>
          </cell>
        </row>
        <row r="161">
          <cell r="A161">
            <v>212110</v>
          </cell>
          <cell r="B161">
            <v>80183540</v>
          </cell>
          <cell r="C161" t="str">
            <v>PASCAGAZA CAMBEROS OSCAR JAVIER</v>
          </cell>
          <cell r="D161">
            <v>882600</v>
          </cell>
          <cell r="E161" t="str">
            <v>FAMISANAR E.P.S.</v>
          </cell>
        </row>
        <row r="162">
          <cell r="A162">
            <v>212111</v>
          </cell>
          <cell r="B162">
            <v>80160296</v>
          </cell>
          <cell r="C162" t="str">
            <v>GONZALEZ GUZMAN JORGE ALEXANDER</v>
          </cell>
          <cell r="D162">
            <v>1193100</v>
          </cell>
          <cell r="E162" t="str">
            <v>COMPENSAR EPS</v>
          </cell>
        </row>
        <row r="163">
          <cell r="A163">
            <v>212117</v>
          </cell>
          <cell r="B163">
            <v>80777654</v>
          </cell>
          <cell r="C163" t="str">
            <v>MORENO MARTINEZ DIEGO ANDRES</v>
          </cell>
          <cell r="D163">
            <v>1215900</v>
          </cell>
          <cell r="E163" t="str">
            <v>SANITAS EPS</v>
          </cell>
        </row>
        <row r="164">
          <cell r="A164">
            <v>212120</v>
          </cell>
          <cell r="B164">
            <v>1022369538</v>
          </cell>
          <cell r="C164" t="str">
            <v>GOMEZ OLARTE MAURICIO</v>
          </cell>
          <cell r="D164">
            <v>1333000</v>
          </cell>
          <cell r="E164" t="str">
            <v>SURAMERICANA EPS</v>
          </cell>
        </row>
        <row r="165">
          <cell r="A165">
            <v>212133</v>
          </cell>
          <cell r="B165">
            <v>79970000</v>
          </cell>
          <cell r="C165" t="str">
            <v>GARCIA ACOSTA WILLIAM ALBERTO</v>
          </cell>
          <cell r="D165">
            <v>1405200</v>
          </cell>
          <cell r="E165" t="str">
            <v>FAMISANAR E.P.S.</v>
          </cell>
        </row>
        <row r="166">
          <cell r="A166">
            <v>212134</v>
          </cell>
          <cell r="B166">
            <v>80912855</v>
          </cell>
          <cell r="C166" t="str">
            <v>GONZALEZ RODRIGUEZ MAURO ALEXANDER</v>
          </cell>
          <cell r="D166">
            <v>1193100</v>
          </cell>
          <cell r="E166" t="str">
            <v>SALUD TOTAL EPS</v>
          </cell>
        </row>
        <row r="167">
          <cell r="A167">
            <v>212135</v>
          </cell>
          <cell r="B167">
            <v>1012320795</v>
          </cell>
          <cell r="C167" t="str">
            <v>MARTINEZ BETANCOURTH WILLIAM FERNAND</v>
          </cell>
          <cell r="D167">
            <v>1349900</v>
          </cell>
          <cell r="E167" t="str">
            <v>COMPENSAR EPS</v>
          </cell>
        </row>
        <row r="168">
          <cell r="A168">
            <v>212136</v>
          </cell>
          <cell r="B168">
            <v>1013584411</v>
          </cell>
          <cell r="C168" t="str">
            <v>JIMENEZ SALINAS JAVIER ADOLFO</v>
          </cell>
          <cell r="D168">
            <v>1022800</v>
          </cell>
          <cell r="E168" t="str">
            <v>SALUD TOTAL EPS</v>
          </cell>
        </row>
        <row r="169">
          <cell r="A169">
            <v>212137</v>
          </cell>
          <cell r="B169">
            <v>1032357833</v>
          </cell>
          <cell r="C169" t="str">
            <v>PLAZAS ROA JHON FREDY</v>
          </cell>
          <cell r="D169">
            <v>1545200</v>
          </cell>
          <cell r="E169" t="str">
            <v>FAMISANAR E.P.S.</v>
          </cell>
        </row>
        <row r="170">
          <cell r="A170">
            <v>212138</v>
          </cell>
          <cell r="B170">
            <v>79658120</v>
          </cell>
          <cell r="C170" t="str">
            <v>GRACIANO PACANCHIQUE NELSON</v>
          </cell>
          <cell r="D170">
            <v>1182300</v>
          </cell>
          <cell r="E170" t="str">
            <v>SALUD TOTAL EPS</v>
          </cell>
        </row>
        <row r="171">
          <cell r="A171">
            <v>212139</v>
          </cell>
          <cell r="B171">
            <v>79395518</v>
          </cell>
          <cell r="C171" t="str">
            <v>ROJAS BAUTISTA ERNESTO</v>
          </cell>
          <cell r="D171">
            <v>1193700</v>
          </cell>
          <cell r="E171" t="str">
            <v>CRUZ BLANCA E.P.S.</v>
          </cell>
        </row>
        <row r="172">
          <cell r="A172">
            <v>212140</v>
          </cell>
          <cell r="B172">
            <v>80145512</v>
          </cell>
          <cell r="C172" t="str">
            <v>GUTIERREZ ESCOBAR RAFAEL RICARDO</v>
          </cell>
          <cell r="D172">
            <v>1318200</v>
          </cell>
          <cell r="E172" t="str">
            <v>COMPENSAR EPS</v>
          </cell>
        </row>
        <row r="173">
          <cell r="A173">
            <v>212141</v>
          </cell>
          <cell r="B173">
            <v>80896512</v>
          </cell>
          <cell r="C173" t="str">
            <v>CABRERA HERNANDEZ IVAN DARIO</v>
          </cell>
          <cell r="D173">
            <v>1193100</v>
          </cell>
          <cell r="E173" t="str">
            <v>CAFESALUD E.P.S.</v>
          </cell>
        </row>
        <row r="174">
          <cell r="A174">
            <v>212142</v>
          </cell>
          <cell r="B174">
            <v>80142328</v>
          </cell>
          <cell r="C174" t="str">
            <v>PEREZ   JOHN JAIRO</v>
          </cell>
          <cell r="D174">
            <v>1545200</v>
          </cell>
          <cell r="E174" t="str">
            <v>CRUZ BLANCA E.P.S.</v>
          </cell>
        </row>
        <row r="175">
          <cell r="A175">
            <v>212144</v>
          </cell>
          <cell r="B175">
            <v>79885904</v>
          </cell>
          <cell r="C175" t="str">
            <v>CARVAJAL PUENTES ORLANDO</v>
          </cell>
          <cell r="D175">
            <v>1375800</v>
          </cell>
          <cell r="E175" t="str">
            <v>SANITAS EPS</v>
          </cell>
        </row>
        <row r="176">
          <cell r="A176">
            <v>212145</v>
          </cell>
          <cell r="B176">
            <v>79761648</v>
          </cell>
          <cell r="C176" t="str">
            <v>RAMIREZ LOPEZ HEILER NORVEY</v>
          </cell>
          <cell r="D176">
            <v>1193100</v>
          </cell>
          <cell r="E176" t="str">
            <v>FAMISANAR E.P.S.</v>
          </cell>
        </row>
        <row r="177">
          <cell r="A177">
            <v>212146</v>
          </cell>
          <cell r="B177">
            <v>79621406</v>
          </cell>
          <cell r="C177" t="str">
            <v>CASTILLO PALACIO JOSELIN</v>
          </cell>
          <cell r="D177">
            <v>1545200</v>
          </cell>
          <cell r="E177" t="str">
            <v>FAMISANAR E.P.S.</v>
          </cell>
        </row>
        <row r="178">
          <cell r="A178">
            <v>212147</v>
          </cell>
          <cell r="B178">
            <v>79249618</v>
          </cell>
          <cell r="C178" t="str">
            <v>ACOSTA OJEDA OSCAR ARTURO</v>
          </cell>
          <cell r="D178">
            <v>1193100</v>
          </cell>
          <cell r="E178" t="str">
            <v>FAMISANAR E.P.S.</v>
          </cell>
        </row>
        <row r="179">
          <cell r="A179">
            <v>212153</v>
          </cell>
          <cell r="B179">
            <v>93154508</v>
          </cell>
          <cell r="C179" t="str">
            <v>BOCANEGRA ORTIZ RONALD</v>
          </cell>
          <cell r="D179">
            <v>1545200</v>
          </cell>
          <cell r="E179" t="str">
            <v>COMPENSAR EPS</v>
          </cell>
        </row>
        <row r="180">
          <cell r="A180">
            <v>212154</v>
          </cell>
          <cell r="B180">
            <v>79656804</v>
          </cell>
          <cell r="C180" t="str">
            <v>QUIJANO TINOCO OSCAR</v>
          </cell>
          <cell r="D180">
            <v>1193100</v>
          </cell>
          <cell r="E180" t="str">
            <v>COMPENSAR EPS</v>
          </cell>
        </row>
        <row r="181">
          <cell r="A181">
            <v>212156</v>
          </cell>
          <cell r="B181">
            <v>1098657839</v>
          </cell>
          <cell r="C181" t="str">
            <v>NAVARRO THERAN DIEGO ARMANDO</v>
          </cell>
          <cell r="D181">
            <v>919600</v>
          </cell>
          <cell r="E181" t="str">
            <v>NUEVA EPS</v>
          </cell>
        </row>
        <row r="182">
          <cell r="A182">
            <v>212157</v>
          </cell>
          <cell r="B182">
            <v>72293347</v>
          </cell>
          <cell r="C182" t="str">
            <v>MACHADO CASTRO LUIS ALBERTO</v>
          </cell>
          <cell r="D182">
            <v>919600</v>
          </cell>
          <cell r="E182" t="str">
            <v>COOMEVA EPS</v>
          </cell>
        </row>
        <row r="183">
          <cell r="A183">
            <v>212158</v>
          </cell>
          <cell r="B183">
            <v>80256980</v>
          </cell>
          <cell r="C183" t="str">
            <v>PEREZ CAMPOS JUAN CARLOS</v>
          </cell>
          <cell r="D183">
            <v>1193100</v>
          </cell>
          <cell r="E183" t="str">
            <v>CAFESALUD E.P.S.</v>
          </cell>
        </row>
        <row r="184">
          <cell r="A184">
            <v>212159</v>
          </cell>
          <cell r="B184">
            <v>9271321</v>
          </cell>
          <cell r="C184" t="str">
            <v>ARGUELLES PINERES LUIS EDUARDO</v>
          </cell>
          <cell r="D184">
            <v>1545200</v>
          </cell>
          <cell r="E184" t="str">
            <v>SALUD TOTAL EPS</v>
          </cell>
        </row>
        <row r="185">
          <cell r="A185">
            <v>212161</v>
          </cell>
          <cell r="B185">
            <v>1031120434</v>
          </cell>
          <cell r="C185" t="str">
            <v>BERMUDEZ GUTIERREZ JOHN FREDDY</v>
          </cell>
          <cell r="D185">
            <v>1193100</v>
          </cell>
          <cell r="E185" t="str">
            <v>COMPENSAR EPS</v>
          </cell>
        </row>
        <row r="186">
          <cell r="A186">
            <v>212162</v>
          </cell>
          <cell r="B186">
            <v>1022331381</v>
          </cell>
          <cell r="C186" t="str">
            <v>ACOSTA VILLADA BAYRON EDUARDO</v>
          </cell>
          <cell r="D186">
            <v>1545200</v>
          </cell>
          <cell r="E186" t="str">
            <v>FAMISANAR E.P.S.</v>
          </cell>
        </row>
        <row r="187">
          <cell r="A187">
            <v>212163</v>
          </cell>
          <cell r="B187">
            <v>79843828</v>
          </cell>
          <cell r="C187" t="str">
            <v>BOHORQUEZ MUNOZ HORACIO</v>
          </cell>
          <cell r="D187">
            <v>1405200</v>
          </cell>
          <cell r="E187" t="str">
            <v>CRUZ BLANCA E.P.S.</v>
          </cell>
        </row>
        <row r="188">
          <cell r="A188">
            <v>212164</v>
          </cell>
          <cell r="B188">
            <v>80739735</v>
          </cell>
          <cell r="C188" t="str">
            <v>GUTIERREZ TRUJILLO JIMMY ANDRE</v>
          </cell>
          <cell r="D188">
            <v>1545200</v>
          </cell>
          <cell r="E188" t="str">
            <v>FAMISANAR E.P.S.</v>
          </cell>
        </row>
        <row r="189">
          <cell r="A189">
            <v>212166</v>
          </cell>
          <cell r="B189">
            <v>53073439</v>
          </cell>
          <cell r="C189" t="str">
            <v>CASTRO GARZON SANDRA YANETTH</v>
          </cell>
          <cell r="D189">
            <v>919600</v>
          </cell>
          <cell r="E189" t="str">
            <v>SANITAS EPS</v>
          </cell>
        </row>
        <row r="190">
          <cell r="A190">
            <v>212167</v>
          </cell>
          <cell r="B190">
            <v>91017553</v>
          </cell>
          <cell r="C190" t="str">
            <v>PAREDES CAMACHO JHON JAIRO</v>
          </cell>
          <cell r="D190">
            <v>1545200</v>
          </cell>
          <cell r="E190" t="str">
            <v>CAFESALUD E.P.S.</v>
          </cell>
        </row>
        <row r="191">
          <cell r="A191">
            <v>212168</v>
          </cell>
          <cell r="B191">
            <v>80128301</v>
          </cell>
          <cell r="C191" t="str">
            <v>FLOREZ RODRIGUEZ VICTOR ARMANDO</v>
          </cell>
          <cell r="D191">
            <v>1193100</v>
          </cell>
          <cell r="E191" t="str">
            <v>CRUZ BLANCA E.P.S.</v>
          </cell>
        </row>
        <row r="192">
          <cell r="A192">
            <v>212169</v>
          </cell>
          <cell r="B192">
            <v>5771782</v>
          </cell>
          <cell r="C192" t="str">
            <v>MARIN QUIROGA OSCAR EMIRO</v>
          </cell>
          <cell r="D192">
            <v>1193100</v>
          </cell>
          <cell r="E192" t="str">
            <v>COMPENSAR EPS</v>
          </cell>
        </row>
        <row r="193">
          <cell r="A193">
            <v>212170</v>
          </cell>
          <cell r="B193">
            <v>93137471</v>
          </cell>
          <cell r="C193" t="str">
            <v>NIETO   JHON HELVER</v>
          </cell>
          <cell r="D193">
            <v>1193100</v>
          </cell>
          <cell r="E193" t="str">
            <v>CAFESALUD E.P.S.</v>
          </cell>
        </row>
        <row r="194">
          <cell r="A194">
            <v>212172</v>
          </cell>
          <cell r="B194">
            <v>79899153</v>
          </cell>
          <cell r="C194" t="str">
            <v>CASTANEDA SALINAS JUAN CARLOS</v>
          </cell>
          <cell r="D194">
            <v>1545200</v>
          </cell>
          <cell r="E194" t="str">
            <v>COMPENSAR EPS</v>
          </cell>
        </row>
        <row r="195">
          <cell r="A195">
            <v>212177</v>
          </cell>
          <cell r="B195">
            <v>79469886</v>
          </cell>
          <cell r="C195" t="str">
            <v>ISAZA VILLA JUAN DAVID</v>
          </cell>
          <cell r="D195">
            <v>25000000</v>
          </cell>
          <cell r="E195" t="str">
            <v>SANITAS EPS</v>
          </cell>
        </row>
        <row r="196">
          <cell r="A196">
            <v>212203</v>
          </cell>
          <cell r="B196">
            <v>79050327</v>
          </cell>
          <cell r="C196" t="str">
            <v>HERRERA PINZON FERNANDO</v>
          </cell>
          <cell r="D196">
            <v>1616700</v>
          </cell>
          <cell r="E196" t="str">
            <v>SANITAS EPS</v>
          </cell>
        </row>
        <row r="197">
          <cell r="A197">
            <v>212211</v>
          </cell>
          <cell r="B197">
            <v>52830234</v>
          </cell>
          <cell r="C197" t="str">
            <v>LIZCANO SANTOS OLGA ALEXANDRA</v>
          </cell>
          <cell r="D197">
            <v>5399700</v>
          </cell>
          <cell r="E197" t="str">
            <v>ALIANSALUD EPS</v>
          </cell>
        </row>
        <row r="198">
          <cell r="A198">
            <v>212218</v>
          </cell>
          <cell r="B198">
            <v>1073511577</v>
          </cell>
          <cell r="C198" t="str">
            <v>AMADO PEREZ DANIEL LEONARDO</v>
          </cell>
          <cell r="D198">
            <v>1289000</v>
          </cell>
          <cell r="E198" t="str">
            <v>COMPENSAR EPS</v>
          </cell>
        </row>
        <row r="199">
          <cell r="A199">
            <v>212230</v>
          </cell>
          <cell r="B199">
            <v>67020028</v>
          </cell>
          <cell r="C199" t="str">
            <v>PEREA VARON KAROLINA</v>
          </cell>
          <cell r="D199">
            <v>919600</v>
          </cell>
          <cell r="E199" t="str">
            <v>CAFESALUD E.P.S.</v>
          </cell>
        </row>
        <row r="200">
          <cell r="A200">
            <v>212236</v>
          </cell>
          <cell r="B200">
            <v>80414572</v>
          </cell>
          <cell r="C200" t="str">
            <v>PAEZ NIETO FERNANDO</v>
          </cell>
          <cell r="D200">
            <v>29561000</v>
          </cell>
          <cell r="E200" t="str">
            <v>SANITAS EPS</v>
          </cell>
        </row>
        <row r="201">
          <cell r="A201">
            <v>212242</v>
          </cell>
          <cell r="B201">
            <v>80852587</v>
          </cell>
          <cell r="C201" t="str">
            <v>MORENO LANCHEROS JOSE RODRIGO</v>
          </cell>
          <cell r="D201">
            <v>1079700</v>
          </cell>
          <cell r="E201" t="str">
            <v>SURAMERICANA EPS</v>
          </cell>
        </row>
        <row r="202">
          <cell r="A202">
            <v>212253</v>
          </cell>
          <cell r="B202">
            <v>1063560598</v>
          </cell>
          <cell r="C202" t="str">
            <v>GUTIERREZ GUEVARA VICTOR JOSE</v>
          </cell>
          <cell r="D202">
            <v>1193100</v>
          </cell>
          <cell r="E202" t="str">
            <v>FAMISANAR E.P.S.</v>
          </cell>
        </row>
        <row r="203">
          <cell r="A203">
            <v>212255</v>
          </cell>
          <cell r="B203">
            <v>1013610845</v>
          </cell>
          <cell r="C203" t="str">
            <v>MAYORGA CLAVIJO SERGIO ALEXANDER</v>
          </cell>
          <cell r="D203">
            <v>1405200</v>
          </cell>
          <cell r="E203" t="str">
            <v>CRUZ BLANCA E.P.S.</v>
          </cell>
        </row>
        <row r="204">
          <cell r="A204">
            <v>212256</v>
          </cell>
          <cell r="B204">
            <v>80826931</v>
          </cell>
          <cell r="C204" t="str">
            <v>GAMEZ BAYONA PEDRO NEL</v>
          </cell>
          <cell r="D204">
            <v>1289000</v>
          </cell>
          <cell r="E204" t="str">
            <v>CAFESALUD E.P.S.</v>
          </cell>
        </row>
        <row r="205">
          <cell r="A205">
            <v>212257</v>
          </cell>
          <cell r="B205">
            <v>1030528434</v>
          </cell>
          <cell r="C205" t="str">
            <v>ZEA BELTRAN YIMER LEINEGER</v>
          </cell>
          <cell r="D205">
            <v>1545200</v>
          </cell>
          <cell r="E205" t="str">
            <v>SALUD TOTAL EPS</v>
          </cell>
        </row>
        <row r="206">
          <cell r="A206">
            <v>212258</v>
          </cell>
          <cell r="B206">
            <v>1071986858</v>
          </cell>
          <cell r="C206" t="str">
            <v>GAMBOA GIL JEISSON DAVID</v>
          </cell>
          <cell r="D206">
            <v>1193100</v>
          </cell>
          <cell r="E206" t="str">
            <v>FAMISANAR E.P.S.</v>
          </cell>
        </row>
        <row r="207">
          <cell r="A207">
            <v>212259</v>
          </cell>
          <cell r="B207">
            <v>80932973</v>
          </cell>
          <cell r="C207" t="str">
            <v>GARCIA DIAZ JOSE DANIEL</v>
          </cell>
          <cell r="D207">
            <v>1545200</v>
          </cell>
          <cell r="E207" t="str">
            <v>FAMISANAR E.P.S.</v>
          </cell>
        </row>
        <row r="208">
          <cell r="A208">
            <v>212260</v>
          </cell>
          <cell r="B208">
            <v>7121423</v>
          </cell>
          <cell r="C208" t="str">
            <v>CORTEZ ORTIZ SEGUNDO AGRIPINO</v>
          </cell>
          <cell r="D208">
            <v>1545200</v>
          </cell>
          <cell r="E208" t="str">
            <v>COMPENSAR EPS</v>
          </cell>
        </row>
        <row r="209">
          <cell r="A209">
            <v>212261</v>
          </cell>
          <cell r="B209">
            <v>93137432</v>
          </cell>
          <cell r="C209" t="str">
            <v>MENDOZA GUEVADA EDILBERTO</v>
          </cell>
          <cell r="D209">
            <v>1545200</v>
          </cell>
          <cell r="E209" t="str">
            <v>SALUD TOTAL EPS</v>
          </cell>
        </row>
        <row r="210">
          <cell r="A210">
            <v>212262</v>
          </cell>
          <cell r="B210">
            <v>80212172</v>
          </cell>
          <cell r="C210" t="str">
            <v>CAGUA GONZALEZ CARLOS ALBERTO</v>
          </cell>
          <cell r="D210">
            <v>1193100</v>
          </cell>
          <cell r="E210" t="str">
            <v>SALUD TOTAL EPS</v>
          </cell>
        </row>
        <row r="211">
          <cell r="A211">
            <v>212263</v>
          </cell>
          <cell r="B211">
            <v>80742461</v>
          </cell>
          <cell r="C211" t="str">
            <v>QUIROZ   JUAN GUILLERMO</v>
          </cell>
          <cell r="D211">
            <v>1545200</v>
          </cell>
          <cell r="E211" t="str">
            <v>SANITAS EPS</v>
          </cell>
        </row>
        <row r="212">
          <cell r="A212">
            <v>212264</v>
          </cell>
          <cell r="B212">
            <v>87950822</v>
          </cell>
          <cell r="C212" t="str">
            <v>QUINONES PINILLOS ALEXANDER JAVIER</v>
          </cell>
          <cell r="D212">
            <v>902400</v>
          </cell>
          <cell r="E212" t="str">
            <v>CAFESALUD E.P.S.</v>
          </cell>
        </row>
        <row r="213">
          <cell r="A213">
            <v>212265</v>
          </cell>
          <cell r="B213">
            <v>18958352</v>
          </cell>
          <cell r="C213" t="str">
            <v>CRUZ AVILA OSCAR YAIR</v>
          </cell>
          <cell r="D213">
            <v>1545200</v>
          </cell>
          <cell r="E213" t="str">
            <v>COOMEVA EPS</v>
          </cell>
        </row>
        <row r="214">
          <cell r="A214">
            <v>212266</v>
          </cell>
          <cell r="B214">
            <v>1033714489</v>
          </cell>
          <cell r="C214" t="str">
            <v>GOMEZ SILVA JHON ALEJANDRO</v>
          </cell>
          <cell r="D214">
            <v>1193100</v>
          </cell>
          <cell r="E214" t="str">
            <v>CAFESALUD E.P.S.</v>
          </cell>
        </row>
        <row r="215">
          <cell r="A215">
            <v>212267</v>
          </cell>
          <cell r="B215">
            <v>80750720</v>
          </cell>
          <cell r="C215" t="str">
            <v>BERMUDEZ CASTANEDA LUIS ERNESTO</v>
          </cell>
          <cell r="D215">
            <v>1193100</v>
          </cell>
          <cell r="E215" t="str">
            <v>FAMISANAR E.P.S.</v>
          </cell>
        </row>
        <row r="216">
          <cell r="A216">
            <v>212268</v>
          </cell>
          <cell r="B216">
            <v>1013608303</v>
          </cell>
          <cell r="C216" t="str">
            <v>CARDENAS VELEZ JUAN CAMILO</v>
          </cell>
          <cell r="D216">
            <v>1193100</v>
          </cell>
          <cell r="E216" t="str">
            <v>COMPENSAR EPS</v>
          </cell>
        </row>
        <row r="217">
          <cell r="A217">
            <v>212269</v>
          </cell>
          <cell r="B217">
            <v>87950099</v>
          </cell>
          <cell r="C217" t="str">
            <v>QUINONES ARBOLEDA ANDERSON</v>
          </cell>
          <cell r="D217">
            <v>1545200</v>
          </cell>
          <cell r="E217" t="str">
            <v>CAFESALUD E.P.S.</v>
          </cell>
        </row>
        <row r="218">
          <cell r="A218">
            <v>212270</v>
          </cell>
          <cell r="B218">
            <v>19708650</v>
          </cell>
          <cell r="C218" t="str">
            <v>ANAYA BLANCO ANDRES ALFONSO</v>
          </cell>
          <cell r="D218">
            <v>882600</v>
          </cell>
          <cell r="E218" t="str">
            <v>SURAMERICANA EPS</v>
          </cell>
        </row>
        <row r="219">
          <cell r="A219">
            <v>212271</v>
          </cell>
          <cell r="B219">
            <v>14011151</v>
          </cell>
          <cell r="C219" t="str">
            <v>BARRETO GUZMAN GERARDO</v>
          </cell>
          <cell r="D219">
            <v>882600</v>
          </cell>
          <cell r="E219" t="str">
            <v>CAFESALUD E.P.S.</v>
          </cell>
        </row>
        <row r="220">
          <cell r="A220">
            <v>212272</v>
          </cell>
          <cell r="B220">
            <v>1030593634</v>
          </cell>
          <cell r="C220" t="str">
            <v>CARDONA PARRA CRISTIAN DAVID</v>
          </cell>
          <cell r="D220">
            <v>882600</v>
          </cell>
          <cell r="E220" t="str">
            <v>CRUZ BLANCA E.P.S.</v>
          </cell>
        </row>
        <row r="221">
          <cell r="A221">
            <v>212273</v>
          </cell>
          <cell r="B221">
            <v>1012377155</v>
          </cell>
          <cell r="C221" t="str">
            <v>FORERO AVELLANEDA EDGAR YESID</v>
          </cell>
          <cell r="D221">
            <v>882600</v>
          </cell>
          <cell r="E221" t="str">
            <v>CRUZ BLANCA E.P.S.</v>
          </cell>
        </row>
        <row r="222">
          <cell r="A222">
            <v>212274</v>
          </cell>
          <cell r="B222">
            <v>1030556012</v>
          </cell>
          <cell r="C222" t="str">
            <v>FORERO RUIZ DANNY LEANDRO</v>
          </cell>
          <cell r="D222">
            <v>882600</v>
          </cell>
          <cell r="E222" t="str">
            <v>CAFESALUD E.P.S.</v>
          </cell>
        </row>
        <row r="223">
          <cell r="A223">
            <v>212275</v>
          </cell>
          <cell r="B223">
            <v>1030600698</v>
          </cell>
          <cell r="C223" t="str">
            <v>GUZMAN MATTA JHON ELBER</v>
          </cell>
          <cell r="D223">
            <v>882600</v>
          </cell>
          <cell r="E223" t="str">
            <v>SALUD TOTAL EPS</v>
          </cell>
        </row>
        <row r="224">
          <cell r="A224">
            <v>212276</v>
          </cell>
          <cell r="B224">
            <v>8641120</v>
          </cell>
          <cell r="C224" t="str">
            <v>HERNANDEZ PADILLA EDGAR ALEXANDER</v>
          </cell>
          <cell r="D224">
            <v>1065400</v>
          </cell>
          <cell r="E224" t="str">
            <v>CAFESALUD E.P.S.</v>
          </cell>
        </row>
        <row r="225">
          <cell r="A225">
            <v>212277</v>
          </cell>
          <cell r="B225">
            <v>1064307220</v>
          </cell>
          <cell r="C225" t="str">
            <v>LOPEZ HERRERA VICTOR ALFONSO</v>
          </cell>
          <cell r="D225">
            <v>882600</v>
          </cell>
          <cell r="E225" t="str">
            <v>SALUD TOTAL EPS</v>
          </cell>
        </row>
        <row r="226">
          <cell r="A226">
            <v>212279</v>
          </cell>
          <cell r="B226">
            <v>1022938724</v>
          </cell>
          <cell r="C226" t="str">
            <v>MORALES PULIDO BLAIMER ANDRES</v>
          </cell>
          <cell r="D226">
            <v>882600</v>
          </cell>
          <cell r="E226" t="str">
            <v>SALUD TOTAL EPS</v>
          </cell>
        </row>
        <row r="227">
          <cell r="A227">
            <v>212280</v>
          </cell>
          <cell r="B227">
            <v>1022342043</v>
          </cell>
          <cell r="C227" t="str">
            <v>MORENO PARRA JHONY DANIEL</v>
          </cell>
          <cell r="D227">
            <v>882600</v>
          </cell>
          <cell r="E227" t="str">
            <v>SALUD TOTAL EPS</v>
          </cell>
        </row>
        <row r="228">
          <cell r="A228">
            <v>212282</v>
          </cell>
          <cell r="B228">
            <v>1022369052</v>
          </cell>
          <cell r="C228" t="str">
            <v>OTAVO TORRES JUAN GABRIEL</v>
          </cell>
          <cell r="D228">
            <v>882600</v>
          </cell>
          <cell r="E228" t="str">
            <v>CAFESALUD E.P.S.</v>
          </cell>
        </row>
        <row r="229">
          <cell r="A229">
            <v>212283</v>
          </cell>
          <cell r="B229">
            <v>1110233905</v>
          </cell>
          <cell r="C229" t="str">
            <v>OVIEDO VERA MARCO ANTONIO</v>
          </cell>
          <cell r="D229">
            <v>882600</v>
          </cell>
          <cell r="E229" t="str">
            <v>CAFESALUD E.P.S.</v>
          </cell>
        </row>
        <row r="230">
          <cell r="A230">
            <v>212284</v>
          </cell>
          <cell r="B230">
            <v>79888338</v>
          </cell>
          <cell r="C230" t="str">
            <v>PATINO PEREZ WILLIAM</v>
          </cell>
          <cell r="D230">
            <v>1022800</v>
          </cell>
          <cell r="E230" t="str">
            <v>CRUZ BLANCA E.P.S.</v>
          </cell>
        </row>
        <row r="231">
          <cell r="A231">
            <v>212285</v>
          </cell>
          <cell r="B231">
            <v>79507397</v>
          </cell>
          <cell r="C231" t="str">
            <v>PIRAVAGUEN HURTADO JORGE ENRIQUE</v>
          </cell>
          <cell r="D231">
            <v>1193100</v>
          </cell>
          <cell r="E231" t="str">
            <v>FAMISANAR E.P.S.</v>
          </cell>
        </row>
        <row r="232">
          <cell r="A232">
            <v>212286</v>
          </cell>
          <cell r="B232">
            <v>1075665004</v>
          </cell>
          <cell r="C232" t="str">
            <v>RAMIREZ CORTES ANIBAL ALEXANDER</v>
          </cell>
          <cell r="D232">
            <v>882600</v>
          </cell>
          <cell r="E232" t="str">
            <v>CRUZ BLANCA E.P.S.</v>
          </cell>
        </row>
        <row r="233">
          <cell r="A233">
            <v>212288</v>
          </cell>
          <cell r="B233">
            <v>83044884</v>
          </cell>
          <cell r="C233" t="str">
            <v>CARDONA PARRA EDWIN ARLEY</v>
          </cell>
          <cell r="D233">
            <v>1193100</v>
          </cell>
          <cell r="E233" t="str">
            <v>COMPENSAR EPS</v>
          </cell>
        </row>
        <row r="234">
          <cell r="A234">
            <v>212293</v>
          </cell>
          <cell r="B234">
            <v>1033741974</v>
          </cell>
          <cell r="C234" t="str">
            <v>GOMEZ GARCIA JONATHAN JAVIER</v>
          </cell>
          <cell r="D234">
            <v>882600</v>
          </cell>
          <cell r="E234" t="str">
            <v>CRUZ BLANCA E.P.S.</v>
          </cell>
        </row>
        <row r="235">
          <cell r="A235">
            <v>212294</v>
          </cell>
          <cell r="B235">
            <v>1030533164</v>
          </cell>
          <cell r="C235" t="str">
            <v>GOMEZ OJEDA JOHN JAIRO</v>
          </cell>
          <cell r="D235">
            <v>882600</v>
          </cell>
          <cell r="E235" t="str">
            <v>FAMISANAR E.P.S.</v>
          </cell>
        </row>
        <row r="236">
          <cell r="A236">
            <v>212296</v>
          </cell>
          <cell r="B236">
            <v>3096881</v>
          </cell>
          <cell r="C236" t="str">
            <v>MAHECHA GOMEZ YOVANNI</v>
          </cell>
          <cell r="D236">
            <v>1193100</v>
          </cell>
          <cell r="E236" t="str">
            <v>SALUD TOTAL EPS</v>
          </cell>
        </row>
        <row r="237">
          <cell r="A237">
            <v>212297</v>
          </cell>
          <cell r="B237">
            <v>1019044280</v>
          </cell>
          <cell r="C237" t="str">
            <v>MORALES NUNEZ LIBARDO ENRIQUE</v>
          </cell>
          <cell r="D237">
            <v>899900</v>
          </cell>
          <cell r="E237" t="str">
            <v>SURAMERICANA EPS</v>
          </cell>
        </row>
        <row r="238">
          <cell r="A238">
            <v>212298</v>
          </cell>
          <cell r="B238">
            <v>14013302</v>
          </cell>
          <cell r="C238" t="str">
            <v>ORTIZ MORALES ANGEL AUGUSTO</v>
          </cell>
          <cell r="D238">
            <v>882600</v>
          </cell>
          <cell r="E238" t="str">
            <v>FAMISANAR E.P.S.</v>
          </cell>
        </row>
        <row r="239">
          <cell r="A239">
            <v>212299</v>
          </cell>
          <cell r="B239">
            <v>3840159</v>
          </cell>
          <cell r="C239" t="str">
            <v>ROBLES QUIROZ CESAR IVAN</v>
          </cell>
          <cell r="D239">
            <v>882600</v>
          </cell>
          <cell r="E239" t="str">
            <v>COMPENSAR EPS</v>
          </cell>
        </row>
        <row r="240">
          <cell r="A240">
            <v>212300</v>
          </cell>
          <cell r="B240">
            <v>79922501</v>
          </cell>
          <cell r="C240" t="str">
            <v>SANCHEZ CARDOZO REYNALDO</v>
          </cell>
          <cell r="D240">
            <v>1022800</v>
          </cell>
          <cell r="E240" t="str">
            <v>FAMISANAR E.P.S.</v>
          </cell>
        </row>
        <row r="241">
          <cell r="A241">
            <v>212301</v>
          </cell>
          <cell r="B241">
            <v>80283963</v>
          </cell>
          <cell r="C241" t="str">
            <v>VELASQUEZ RODRIGUEZ HENRY GIOVANNY</v>
          </cell>
          <cell r="D241">
            <v>882600</v>
          </cell>
          <cell r="E241" t="str">
            <v>FAMISANAR E.P.S.</v>
          </cell>
        </row>
        <row r="242">
          <cell r="A242">
            <v>212313</v>
          </cell>
          <cell r="B242">
            <v>80913348</v>
          </cell>
          <cell r="C242" t="str">
            <v>MARTINEZ ESPINO JAVIER ANDRES</v>
          </cell>
          <cell r="D242">
            <v>1193100</v>
          </cell>
          <cell r="E242" t="str">
            <v>CRUZ BLANCA E.P.S.</v>
          </cell>
        </row>
        <row r="243">
          <cell r="A243">
            <v>212314</v>
          </cell>
          <cell r="B243">
            <v>1073681841</v>
          </cell>
          <cell r="C243" t="str">
            <v>RIOS   JHON JAIRO</v>
          </cell>
          <cell r="D243">
            <v>1022800</v>
          </cell>
          <cell r="E243" t="str">
            <v>SALUD TOTAL EPS</v>
          </cell>
        </row>
        <row r="244">
          <cell r="A244">
            <v>212315</v>
          </cell>
          <cell r="B244">
            <v>1101755493</v>
          </cell>
          <cell r="C244" t="str">
            <v>VELASCO SUAREZ WILLIAM ARMANDO</v>
          </cell>
          <cell r="D244">
            <v>1022800</v>
          </cell>
          <cell r="E244" t="str">
            <v>CRUZ BLANCA E.P.S.</v>
          </cell>
        </row>
        <row r="245">
          <cell r="A245">
            <v>212316</v>
          </cell>
          <cell r="B245">
            <v>1016026507</v>
          </cell>
          <cell r="C245" t="str">
            <v>VELASCO VIDUENAS JONATHAN STEVEN</v>
          </cell>
          <cell r="D245">
            <v>1182300</v>
          </cell>
          <cell r="E245" t="str">
            <v>FAMISANAR E.P.S.</v>
          </cell>
        </row>
        <row r="246">
          <cell r="A246">
            <v>212318</v>
          </cell>
          <cell r="B246">
            <v>1010185315</v>
          </cell>
          <cell r="C246" t="str">
            <v>SANCHEZ QUIROZ JOSE ALFONSO</v>
          </cell>
          <cell r="D246">
            <v>1289000</v>
          </cell>
          <cell r="E246" t="str">
            <v>CAFESALUD E.P.S.</v>
          </cell>
        </row>
        <row r="247">
          <cell r="A247">
            <v>212320</v>
          </cell>
          <cell r="B247">
            <v>1024482894</v>
          </cell>
          <cell r="C247" t="str">
            <v>RODRIGUEZ RODRIGUEZ OBDULIO</v>
          </cell>
          <cell r="D247">
            <v>1022800</v>
          </cell>
          <cell r="E247" t="str">
            <v>SALUD TOTAL EPS</v>
          </cell>
        </row>
        <row r="248">
          <cell r="A248">
            <v>212321</v>
          </cell>
          <cell r="B248">
            <v>80742165</v>
          </cell>
          <cell r="C248" t="str">
            <v>VELANDIA MONTOYA OSCAR</v>
          </cell>
          <cell r="D248">
            <v>1022800</v>
          </cell>
          <cell r="E248" t="str">
            <v>CAFESALUD E.P.S.</v>
          </cell>
        </row>
        <row r="249">
          <cell r="A249">
            <v>212322</v>
          </cell>
          <cell r="B249">
            <v>80896756</v>
          </cell>
          <cell r="C249" t="str">
            <v>MANRIQUE BARRERA ERICK</v>
          </cell>
          <cell r="D249">
            <v>882600</v>
          </cell>
          <cell r="E249" t="str">
            <v>CRUZ BLANCA E.P.S.</v>
          </cell>
        </row>
        <row r="250">
          <cell r="A250">
            <v>212323</v>
          </cell>
          <cell r="B250">
            <v>1013580529</v>
          </cell>
          <cell r="C250" t="str">
            <v>NIETO GOMEZ DANNY ARMANDO</v>
          </cell>
          <cell r="D250">
            <v>1545200</v>
          </cell>
          <cell r="E250" t="str">
            <v>COMPENSAR EPS</v>
          </cell>
        </row>
        <row r="251">
          <cell r="A251">
            <v>212336</v>
          </cell>
          <cell r="B251">
            <v>1031143142</v>
          </cell>
          <cell r="C251" t="str">
            <v>CRUZ MOLANO WILLIAM DANIEL</v>
          </cell>
          <cell r="D251">
            <v>1223900</v>
          </cell>
          <cell r="E251" t="str">
            <v>COMPENSAR EPS</v>
          </cell>
        </row>
        <row r="252">
          <cell r="A252">
            <v>212341</v>
          </cell>
          <cell r="B252">
            <v>1004639263</v>
          </cell>
          <cell r="C252" t="str">
            <v>ORTIZ ANGULO JOSE ALEXANDER</v>
          </cell>
          <cell r="D252">
            <v>882600</v>
          </cell>
          <cell r="E252" t="str">
            <v>SALUD TOTAL EPS</v>
          </cell>
        </row>
        <row r="253">
          <cell r="A253">
            <v>213100</v>
          </cell>
          <cell r="B253">
            <v>1013594574</v>
          </cell>
          <cell r="C253" t="str">
            <v>MORALES CASALLAS ROSEMBERG GUILLERMO</v>
          </cell>
          <cell r="D253">
            <v>882600</v>
          </cell>
          <cell r="E253" t="str">
            <v>SANITAS EPS</v>
          </cell>
        </row>
        <row r="254">
          <cell r="A254">
            <v>213102</v>
          </cell>
          <cell r="B254">
            <v>52133652</v>
          </cell>
          <cell r="C254" t="str">
            <v>LINARES OTAVO YOMIRY</v>
          </cell>
          <cell r="D254">
            <v>1625900</v>
          </cell>
          <cell r="E254" t="str">
            <v>NUEVA EPS</v>
          </cell>
        </row>
        <row r="255">
          <cell r="A255">
            <v>213105</v>
          </cell>
          <cell r="B255">
            <v>79805446</v>
          </cell>
          <cell r="C255" t="str">
            <v>SUAREZ ESPITIA LUIS ARIEL</v>
          </cell>
          <cell r="D255">
            <v>1850600</v>
          </cell>
          <cell r="E255" t="str">
            <v>COMPENSAR EPS</v>
          </cell>
        </row>
        <row r="256">
          <cell r="A256">
            <v>213117</v>
          </cell>
          <cell r="B256">
            <v>1016045225</v>
          </cell>
          <cell r="C256" t="str">
            <v>GRIJALBA SALGADO JOSH ESTEBAN</v>
          </cell>
          <cell r="D256">
            <v>2100000</v>
          </cell>
          <cell r="E256" t="str">
            <v>NUEVA EPS</v>
          </cell>
        </row>
        <row r="257">
          <cell r="A257">
            <v>213128</v>
          </cell>
          <cell r="B257">
            <v>1016038653</v>
          </cell>
          <cell r="C257" t="str">
            <v>VERA LOZANO VICTOR MANUEL</v>
          </cell>
          <cell r="D257">
            <v>882600</v>
          </cell>
          <cell r="E257" t="str">
            <v>SALUD TOTAL EPS</v>
          </cell>
        </row>
        <row r="258">
          <cell r="A258">
            <v>213129</v>
          </cell>
          <cell r="B258">
            <v>80166418</v>
          </cell>
          <cell r="C258" t="str">
            <v>PINILLA OLARTE LUIS FERNANDO</v>
          </cell>
          <cell r="D258">
            <v>5452500</v>
          </cell>
          <cell r="E258" t="str">
            <v>CAFESALUD E.P.S.</v>
          </cell>
        </row>
        <row r="259">
          <cell r="A259">
            <v>213130</v>
          </cell>
          <cell r="B259">
            <v>33817598</v>
          </cell>
          <cell r="C259" t="str">
            <v>RODRIGUEZ BOLIVAR ANGELA MARIA</v>
          </cell>
          <cell r="D259">
            <v>841700</v>
          </cell>
          <cell r="E259" t="str">
            <v>SALUD TOTAL EPS</v>
          </cell>
        </row>
        <row r="260">
          <cell r="A260">
            <v>213132</v>
          </cell>
          <cell r="B260">
            <v>1128397181</v>
          </cell>
          <cell r="C260" t="str">
            <v>CARDONA BETANCUR JHOANA PATRICIA</v>
          </cell>
          <cell r="D260">
            <v>919600</v>
          </cell>
          <cell r="E260" t="str">
            <v>SURAMERICANA EPS</v>
          </cell>
        </row>
        <row r="261">
          <cell r="A261">
            <v>213133</v>
          </cell>
          <cell r="B261">
            <v>42687914</v>
          </cell>
          <cell r="C261" t="str">
            <v>QUINTERO ORTEGA ELIANA PATRICIA</v>
          </cell>
          <cell r="D261">
            <v>841700</v>
          </cell>
          <cell r="E261" t="str">
            <v>SALUD TOTAL EPS</v>
          </cell>
        </row>
        <row r="262">
          <cell r="A262">
            <v>213143</v>
          </cell>
          <cell r="B262">
            <v>32788134</v>
          </cell>
          <cell r="C262" t="str">
            <v>CARABALLO REBOLLEDO KLENIA ESTHER</v>
          </cell>
          <cell r="D262">
            <v>841700</v>
          </cell>
          <cell r="E262" t="str">
            <v>COOMEVA EPS</v>
          </cell>
        </row>
        <row r="263">
          <cell r="A263">
            <v>213144</v>
          </cell>
          <cell r="B263">
            <v>1088272115</v>
          </cell>
          <cell r="C263" t="str">
            <v>BELTRAN MONTILLA GABRIEL RICARDO</v>
          </cell>
          <cell r="D263">
            <v>919600</v>
          </cell>
          <cell r="E263" t="str">
            <v>CRUZ BLANCA E.P.S.</v>
          </cell>
        </row>
        <row r="264">
          <cell r="A264">
            <v>213145</v>
          </cell>
          <cell r="B264">
            <v>80773758</v>
          </cell>
          <cell r="C264" t="str">
            <v>SUAREZ GAITAN CRISTIAN CAMILO</v>
          </cell>
          <cell r="D264">
            <v>919600</v>
          </cell>
          <cell r="E264" t="str">
            <v>SANITAS EPS</v>
          </cell>
        </row>
        <row r="265">
          <cell r="A265">
            <v>213153</v>
          </cell>
          <cell r="B265">
            <v>1022401881</v>
          </cell>
          <cell r="C265" t="str">
            <v>SAGANOME SOTO ANGIE KRYSTEL</v>
          </cell>
          <cell r="D265">
            <v>1134700</v>
          </cell>
          <cell r="E265" t="str">
            <v>SANITAS EPS</v>
          </cell>
        </row>
        <row r="266">
          <cell r="A266">
            <v>213159</v>
          </cell>
          <cell r="B266">
            <v>8355596</v>
          </cell>
          <cell r="C266" t="str">
            <v>FARLEY CASTANO HENRY SEBASTIAN</v>
          </cell>
          <cell r="D266">
            <v>3378500</v>
          </cell>
          <cell r="E266" t="str">
            <v>SURAMERICANA EPS</v>
          </cell>
        </row>
        <row r="267">
          <cell r="A267">
            <v>213162</v>
          </cell>
          <cell r="B267">
            <v>80855053</v>
          </cell>
          <cell r="C267" t="str">
            <v>MARTINEZ LOPEZ MARIO ALEJANDRO</v>
          </cell>
          <cell r="D267">
            <v>919600</v>
          </cell>
          <cell r="E267" t="str">
            <v>COMPENSAR EPS</v>
          </cell>
        </row>
        <row r="268">
          <cell r="A268">
            <v>213163</v>
          </cell>
          <cell r="B268">
            <v>52824590</v>
          </cell>
          <cell r="C268" t="str">
            <v>MOJICA ARCOS OLGA FERNANDA</v>
          </cell>
          <cell r="D268">
            <v>1507500</v>
          </cell>
          <cell r="E268" t="str">
            <v>COMPENSAR EPS</v>
          </cell>
        </row>
        <row r="269">
          <cell r="A269">
            <v>213167</v>
          </cell>
          <cell r="B269">
            <v>79789817</v>
          </cell>
          <cell r="C269" t="str">
            <v>ORTEGA DUARTE CARLOS ANDRE</v>
          </cell>
          <cell r="D269">
            <v>10055000</v>
          </cell>
          <cell r="E269" t="str">
            <v>COMPENSAR EPS</v>
          </cell>
        </row>
        <row r="270">
          <cell r="A270">
            <v>213198</v>
          </cell>
          <cell r="B270">
            <v>1018477912</v>
          </cell>
          <cell r="C270" t="str">
            <v>ALDANA ROPERO JAISSON STEVEN</v>
          </cell>
          <cell r="D270">
            <v>1000000</v>
          </cell>
          <cell r="E270" t="str">
            <v>COMPENSAR EPS</v>
          </cell>
        </row>
        <row r="271">
          <cell r="A271">
            <v>213204</v>
          </cell>
          <cell r="B271">
            <v>80271242</v>
          </cell>
          <cell r="C271" t="str">
            <v>LOZANO RUBIANO JAIRO</v>
          </cell>
          <cell r="D271">
            <v>1557600</v>
          </cell>
          <cell r="E271" t="str">
            <v>COMPENSAR EPS</v>
          </cell>
        </row>
        <row r="272">
          <cell r="A272">
            <v>213216</v>
          </cell>
          <cell r="B272">
            <v>80213982</v>
          </cell>
          <cell r="C272" t="str">
            <v>BRICENO CORREDOR JORGE LUIS</v>
          </cell>
          <cell r="D272">
            <v>1557600</v>
          </cell>
          <cell r="E272" t="str">
            <v>COMPENSAR EPS</v>
          </cell>
        </row>
        <row r="273">
          <cell r="A273">
            <v>213317</v>
          </cell>
          <cell r="B273">
            <v>80158477</v>
          </cell>
          <cell r="C273" t="str">
            <v>RONCHAQUIRA RAMIREZ EDWARD GIOVANNY</v>
          </cell>
          <cell r="D273">
            <v>1193100</v>
          </cell>
          <cell r="E273" t="str">
            <v>SANITAS EPS</v>
          </cell>
        </row>
        <row r="274">
          <cell r="A274">
            <v>214120</v>
          </cell>
          <cell r="B274">
            <v>1022964354</v>
          </cell>
          <cell r="C274" t="str">
            <v>CARVAJAL CARRENO HECTOR ALEJANDRO</v>
          </cell>
          <cell r="D274">
            <v>882600</v>
          </cell>
          <cell r="E274" t="str">
            <v>SALUD TOTAL EPS</v>
          </cell>
        </row>
        <row r="275">
          <cell r="A275">
            <v>214126</v>
          </cell>
          <cell r="B275">
            <v>1013613670</v>
          </cell>
          <cell r="C275" t="str">
            <v>RIVERA PARRA CHRISTIAN DAVID</v>
          </cell>
          <cell r="D275">
            <v>1440300</v>
          </cell>
          <cell r="E275" t="str">
            <v>COMPENSAR EPS</v>
          </cell>
        </row>
        <row r="276">
          <cell r="A276">
            <v>214127</v>
          </cell>
          <cell r="B276">
            <v>1023918819</v>
          </cell>
          <cell r="C276" t="str">
            <v>OBANDO SALAMANCA YEISON FABIAN</v>
          </cell>
          <cell r="D276">
            <v>882600</v>
          </cell>
          <cell r="E276" t="str">
            <v>SALUD TOTAL EPS</v>
          </cell>
        </row>
        <row r="277">
          <cell r="A277">
            <v>214128</v>
          </cell>
          <cell r="B277">
            <v>79887106</v>
          </cell>
          <cell r="C277" t="str">
            <v>BLANCO BARRERA ORLANDO</v>
          </cell>
          <cell r="D277">
            <v>1193100</v>
          </cell>
          <cell r="E277" t="str">
            <v>NUEVA EPS</v>
          </cell>
        </row>
        <row r="278">
          <cell r="A278">
            <v>214129</v>
          </cell>
          <cell r="B278">
            <v>80213148</v>
          </cell>
          <cell r="C278" t="str">
            <v>LOPEZ PRIETO LUIS CARLOS</v>
          </cell>
          <cell r="D278">
            <v>2028600</v>
          </cell>
          <cell r="E278" t="str">
            <v>CAFESALUD E.P.S.</v>
          </cell>
        </row>
        <row r="279">
          <cell r="A279">
            <v>214135</v>
          </cell>
          <cell r="B279">
            <v>1024491591</v>
          </cell>
          <cell r="C279" t="str">
            <v>ROMERO GOMEZ FABIAN ANDRES</v>
          </cell>
          <cell r="D279">
            <v>1193100</v>
          </cell>
          <cell r="E279" t="str">
            <v>SALUD TOTAL EPS</v>
          </cell>
        </row>
        <row r="280">
          <cell r="A280">
            <v>214136</v>
          </cell>
          <cell r="B280">
            <v>1026573290</v>
          </cell>
          <cell r="C280" t="str">
            <v>TELLEZ VEGA WILLIAM ANDRES</v>
          </cell>
          <cell r="D280">
            <v>902400</v>
          </cell>
          <cell r="E280" t="str">
            <v>FAMISANAR E.P.S.</v>
          </cell>
        </row>
        <row r="281">
          <cell r="A281">
            <v>214137</v>
          </cell>
          <cell r="B281">
            <v>80833912</v>
          </cell>
          <cell r="C281" t="str">
            <v>GUARNIZO SANCHEZ GIOVANNY ERNESTO</v>
          </cell>
          <cell r="D281">
            <v>1193100</v>
          </cell>
          <cell r="E281" t="str">
            <v>FAMISANAR E.P.S.</v>
          </cell>
        </row>
        <row r="282">
          <cell r="A282">
            <v>214148</v>
          </cell>
          <cell r="B282">
            <v>1051336333</v>
          </cell>
          <cell r="C282" t="str">
            <v>ALFONSO PINEROS CESAR LEONARDO</v>
          </cell>
          <cell r="D282">
            <v>1619900</v>
          </cell>
          <cell r="E282" t="str">
            <v>COMPENSAR EPS</v>
          </cell>
        </row>
        <row r="283">
          <cell r="A283">
            <v>214149</v>
          </cell>
          <cell r="B283">
            <v>79783770</v>
          </cell>
          <cell r="C283" t="str">
            <v>ACEVEDO GARZON EDWIN MAURICIO</v>
          </cell>
          <cell r="D283">
            <v>3222000</v>
          </cell>
          <cell r="E283" t="str">
            <v>COMPENSAR EPS</v>
          </cell>
        </row>
        <row r="284">
          <cell r="A284">
            <v>214150</v>
          </cell>
          <cell r="B284">
            <v>39812688</v>
          </cell>
          <cell r="C284" t="str">
            <v>SANCHEZ SERRATO NANCY JANETH</v>
          </cell>
          <cell r="D284">
            <v>1612500</v>
          </cell>
          <cell r="E284" t="str">
            <v>CRUZ BLANCA E.P.S.</v>
          </cell>
        </row>
        <row r="285">
          <cell r="A285">
            <v>214152</v>
          </cell>
          <cell r="B285">
            <v>53000817</v>
          </cell>
          <cell r="C285" t="str">
            <v>SPIR RIVERA MARIA CAMILA</v>
          </cell>
          <cell r="D285">
            <v>3690900</v>
          </cell>
          <cell r="E285" t="str">
            <v>SANITAS EPS</v>
          </cell>
        </row>
        <row r="286">
          <cell r="A286">
            <v>214184</v>
          </cell>
          <cell r="B286">
            <v>1019078410</v>
          </cell>
          <cell r="C286" t="str">
            <v>VARGAS GONZALEZ YURANY ANDREA</v>
          </cell>
          <cell r="D286">
            <v>1149600</v>
          </cell>
          <cell r="E286" t="str">
            <v>COMPENSAR EPS</v>
          </cell>
        </row>
        <row r="287">
          <cell r="A287">
            <v>214191</v>
          </cell>
          <cell r="B287">
            <v>1098669489</v>
          </cell>
          <cell r="C287" t="str">
            <v>RIOS FONTALVO LAURA KARINA</v>
          </cell>
          <cell r="D287">
            <v>2400000</v>
          </cell>
          <cell r="E287" t="str">
            <v>SURAMERICANA EPS</v>
          </cell>
        </row>
        <row r="288">
          <cell r="A288">
            <v>214223</v>
          </cell>
          <cell r="B288">
            <v>46373380</v>
          </cell>
          <cell r="C288" t="str">
            <v>MONTOYA FRANCO MARIA LUCIA</v>
          </cell>
          <cell r="D288">
            <v>13217000</v>
          </cell>
          <cell r="E288" t="str">
            <v>COMPENSAR EPS</v>
          </cell>
        </row>
        <row r="289">
          <cell r="A289">
            <v>214224</v>
          </cell>
          <cell r="B289">
            <v>1070952059</v>
          </cell>
          <cell r="C289" t="str">
            <v>CAMACHO MAHECHA SEBASTIAN</v>
          </cell>
          <cell r="D289">
            <v>5000000</v>
          </cell>
          <cell r="E289" t="str">
            <v>COMPENSAR EPS</v>
          </cell>
        </row>
        <row r="290">
          <cell r="A290">
            <v>214225</v>
          </cell>
          <cell r="B290">
            <v>14107026</v>
          </cell>
          <cell r="C290" t="str">
            <v>BRINEZ RIVAS DIOMEDES</v>
          </cell>
          <cell r="D290">
            <v>902400</v>
          </cell>
          <cell r="E290" t="str">
            <v>SALUD TOTAL EPS</v>
          </cell>
        </row>
        <row r="291">
          <cell r="A291">
            <v>214226</v>
          </cell>
          <cell r="B291">
            <v>78645169</v>
          </cell>
          <cell r="C291" t="str">
            <v>BERRIO BETANCUR CARLOS ANDRES</v>
          </cell>
          <cell r="D291">
            <v>1193100</v>
          </cell>
          <cell r="E291" t="str">
            <v>CAFESALUD E.P.S.</v>
          </cell>
        </row>
        <row r="292">
          <cell r="A292">
            <v>214227</v>
          </cell>
          <cell r="B292">
            <v>1131108063</v>
          </cell>
          <cell r="C292" t="str">
            <v>BLANQUICETT BRAVO ANGEL DE JESUS</v>
          </cell>
          <cell r="D292">
            <v>1193100</v>
          </cell>
          <cell r="E292" t="str">
            <v>CAFESALUD E.P.S.</v>
          </cell>
        </row>
        <row r="293">
          <cell r="A293">
            <v>214228</v>
          </cell>
          <cell r="B293">
            <v>1033690488</v>
          </cell>
          <cell r="C293" t="str">
            <v>POLOCHE   ANDRES FELIPE</v>
          </cell>
          <cell r="D293">
            <v>1193100</v>
          </cell>
          <cell r="E293" t="str">
            <v>SALUD TOTAL EPS</v>
          </cell>
        </row>
        <row r="294">
          <cell r="A294">
            <v>214229</v>
          </cell>
          <cell r="B294">
            <v>1015406249</v>
          </cell>
          <cell r="C294" t="str">
            <v>NARVAEZ GALINDO DIEGO FERNANDO</v>
          </cell>
          <cell r="D294">
            <v>800000</v>
          </cell>
          <cell r="E294" t="str">
            <v>NUEVA EPS</v>
          </cell>
        </row>
        <row r="295">
          <cell r="A295">
            <v>214230</v>
          </cell>
          <cell r="B295">
            <v>1030604691</v>
          </cell>
          <cell r="C295" t="str">
            <v>VAHOS GARCIA JHON JAIRO</v>
          </cell>
          <cell r="D295">
            <v>1193100</v>
          </cell>
          <cell r="E295" t="str">
            <v>NUEVA EPS</v>
          </cell>
        </row>
        <row r="296">
          <cell r="A296">
            <v>214231</v>
          </cell>
          <cell r="B296">
            <v>1012350265</v>
          </cell>
          <cell r="C296" t="str">
            <v>RINCON OVALLE FABIAN ANDRES</v>
          </cell>
          <cell r="D296">
            <v>800000</v>
          </cell>
          <cell r="E296" t="str">
            <v>COMPENSAR EPS</v>
          </cell>
        </row>
        <row r="297">
          <cell r="A297">
            <v>214232</v>
          </cell>
          <cell r="B297">
            <v>1014210950</v>
          </cell>
          <cell r="C297" t="str">
            <v>SANTAMARIA PENA YONATHAN</v>
          </cell>
          <cell r="D297">
            <v>800000</v>
          </cell>
          <cell r="E297" t="str">
            <v>COMPENSAR EPS</v>
          </cell>
        </row>
        <row r="298">
          <cell r="A298">
            <v>214233</v>
          </cell>
          <cell r="B298">
            <v>1014221528</v>
          </cell>
          <cell r="C298" t="str">
            <v>MENDEZ RAMIREZ NORMAN LINCOLN</v>
          </cell>
          <cell r="D298">
            <v>1193100</v>
          </cell>
          <cell r="E298" t="str">
            <v>FAMISANAR E.P.S.</v>
          </cell>
        </row>
        <row r="299">
          <cell r="A299">
            <v>214234</v>
          </cell>
          <cell r="B299">
            <v>1081410780</v>
          </cell>
          <cell r="C299" t="str">
            <v>LOSADA CAMACHO JOSE FARID</v>
          </cell>
          <cell r="D299">
            <v>902400</v>
          </cell>
          <cell r="E299" t="str">
            <v>SANITAS EPS</v>
          </cell>
        </row>
        <row r="300">
          <cell r="A300">
            <v>214236</v>
          </cell>
          <cell r="B300">
            <v>1023922500</v>
          </cell>
          <cell r="C300" t="str">
            <v>TRIANA CHEPE FREYDEN STEVEN</v>
          </cell>
          <cell r="D300">
            <v>800000</v>
          </cell>
          <cell r="E300" t="str">
            <v>CAFESALUD E.P.S.</v>
          </cell>
        </row>
        <row r="301">
          <cell r="A301">
            <v>214238</v>
          </cell>
          <cell r="B301">
            <v>1026289359</v>
          </cell>
          <cell r="C301" t="str">
            <v>CARDONA PARRA YEFERSON</v>
          </cell>
          <cell r="D301">
            <v>800000</v>
          </cell>
          <cell r="E301" t="str">
            <v>FAMISANAR E.P.S.</v>
          </cell>
        </row>
        <row r="302">
          <cell r="A302">
            <v>214239</v>
          </cell>
          <cell r="B302">
            <v>1032365627</v>
          </cell>
          <cell r="C302" t="str">
            <v>GIRON HERRAN MISAEL ANTONIO</v>
          </cell>
          <cell r="D302">
            <v>800000</v>
          </cell>
          <cell r="E302" t="str">
            <v>SALUD TOTAL EPS</v>
          </cell>
        </row>
        <row r="303">
          <cell r="A303">
            <v>214240</v>
          </cell>
          <cell r="B303">
            <v>74280172</v>
          </cell>
          <cell r="C303" t="str">
            <v>MORENO BERNAL LUIS EDUARDO</v>
          </cell>
          <cell r="D303">
            <v>800000</v>
          </cell>
          <cell r="E303" t="str">
            <v>NUEVA EPS</v>
          </cell>
        </row>
        <row r="304">
          <cell r="A304">
            <v>214241</v>
          </cell>
          <cell r="B304">
            <v>1024505473</v>
          </cell>
          <cell r="C304" t="str">
            <v>CASAS LUGO JORGE LUIS</v>
          </cell>
          <cell r="D304">
            <v>1193100</v>
          </cell>
          <cell r="E304" t="str">
            <v>FAMISANAR E.P.S.</v>
          </cell>
        </row>
        <row r="305">
          <cell r="A305">
            <v>214242</v>
          </cell>
          <cell r="B305">
            <v>1022346903</v>
          </cell>
          <cell r="C305" t="str">
            <v>SANABRIA CESPEDES RHONAL EFREN</v>
          </cell>
          <cell r="D305">
            <v>902400</v>
          </cell>
          <cell r="E305" t="str">
            <v>FAMISANAR E.P.S.</v>
          </cell>
        </row>
        <row r="306">
          <cell r="A306">
            <v>214243</v>
          </cell>
          <cell r="B306">
            <v>1024523425</v>
          </cell>
          <cell r="C306" t="str">
            <v>GARZON GARZON HENRY ALEJANDRO</v>
          </cell>
          <cell r="D306">
            <v>800000</v>
          </cell>
          <cell r="E306" t="str">
            <v>FAMISANAR E.P.S.</v>
          </cell>
        </row>
        <row r="307">
          <cell r="A307">
            <v>214244</v>
          </cell>
          <cell r="B307">
            <v>1117498814</v>
          </cell>
          <cell r="C307" t="str">
            <v>SOLARTE CASTILLO JHON FREDY</v>
          </cell>
          <cell r="D307">
            <v>1193100</v>
          </cell>
          <cell r="E307" t="str">
            <v>FAMISANAR E.P.S.</v>
          </cell>
        </row>
        <row r="308">
          <cell r="A308">
            <v>214245</v>
          </cell>
          <cell r="B308">
            <v>79989846</v>
          </cell>
          <cell r="C308" t="str">
            <v>HERNANDEZ GALAN WILLIAM DAVID</v>
          </cell>
          <cell r="D308">
            <v>1545200</v>
          </cell>
          <cell r="E308" t="str">
            <v>COMPENSAR EPS</v>
          </cell>
        </row>
        <row r="309">
          <cell r="A309">
            <v>214247</v>
          </cell>
          <cell r="B309">
            <v>1033694539</v>
          </cell>
          <cell r="C309" t="str">
            <v>DELGADO VELA JONATHAN</v>
          </cell>
          <cell r="D309">
            <v>902400</v>
          </cell>
          <cell r="E309" t="str">
            <v>NUEVA EPS</v>
          </cell>
        </row>
        <row r="310">
          <cell r="A310">
            <v>214248</v>
          </cell>
          <cell r="B310">
            <v>93089968</v>
          </cell>
          <cell r="C310" t="str">
            <v>VERA LOZANO MAURICIO</v>
          </cell>
          <cell r="D310">
            <v>1193100</v>
          </cell>
          <cell r="E310" t="str">
            <v>COMPENSAR EPS</v>
          </cell>
        </row>
        <row r="311">
          <cell r="A311">
            <v>214250</v>
          </cell>
          <cell r="B311">
            <v>1022383044</v>
          </cell>
          <cell r="C311" t="str">
            <v>CANDELA VALERO JHON FREDY</v>
          </cell>
          <cell r="D311">
            <v>1193100</v>
          </cell>
          <cell r="E311" t="str">
            <v>NUEVA EPS</v>
          </cell>
        </row>
        <row r="312">
          <cell r="A312">
            <v>214251</v>
          </cell>
          <cell r="B312">
            <v>1033736546</v>
          </cell>
          <cell r="C312" t="str">
            <v>LOAIZA CATANO MARIO FERNANDO</v>
          </cell>
          <cell r="D312">
            <v>1193100</v>
          </cell>
          <cell r="E312" t="str">
            <v>SURAMERICANA EPS</v>
          </cell>
        </row>
        <row r="313">
          <cell r="A313">
            <v>214252</v>
          </cell>
          <cell r="B313">
            <v>1143350199</v>
          </cell>
          <cell r="C313" t="str">
            <v>BLANQUICETT BRAVO MANUEL</v>
          </cell>
          <cell r="D313">
            <v>1193100</v>
          </cell>
          <cell r="E313" t="str">
            <v>COMPENSAR EPS</v>
          </cell>
        </row>
        <row r="314">
          <cell r="A314">
            <v>214253</v>
          </cell>
          <cell r="B314">
            <v>1030619117</v>
          </cell>
          <cell r="C314" t="str">
            <v>RODRIGUEZ SERRANO HENRY ALEXANDER</v>
          </cell>
          <cell r="D314">
            <v>1193100</v>
          </cell>
          <cell r="E314" t="str">
            <v>NUEVA EPS</v>
          </cell>
        </row>
        <row r="315">
          <cell r="A315">
            <v>214254</v>
          </cell>
          <cell r="B315">
            <v>80071528</v>
          </cell>
          <cell r="C315" t="str">
            <v>GOMEZ LOPEZ ERVIN FREDY</v>
          </cell>
          <cell r="D315">
            <v>902400</v>
          </cell>
          <cell r="E315" t="str">
            <v>SALUD TOTAL EPS</v>
          </cell>
        </row>
        <row r="316">
          <cell r="A316">
            <v>214255</v>
          </cell>
          <cell r="B316">
            <v>1012351906</v>
          </cell>
          <cell r="C316" t="str">
            <v>MARTINEZ PARRA JOHN ALEXANDER</v>
          </cell>
          <cell r="D316">
            <v>1545200</v>
          </cell>
          <cell r="E316" t="str">
            <v>COOMEVA EPS</v>
          </cell>
        </row>
        <row r="317">
          <cell r="A317">
            <v>214256</v>
          </cell>
          <cell r="B317">
            <v>1012408581</v>
          </cell>
          <cell r="C317" t="str">
            <v>ANGEL CALDERON MICHAEL ANDRES</v>
          </cell>
          <cell r="D317">
            <v>800000</v>
          </cell>
          <cell r="E317" t="str">
            <v>COMPENSAR EPS</v>
          </cell>
        </row>
        <row r="318">
          <cell r="A318">
            <v>214257</v>
          </cell>
          <cell r="B318">
            <v>1012394334</v>
          </cell>
          <cell r="C318" t="str">
            <v>MORA MORA DUVINELSON</v>
          </cell>
          <cell r="D318">
            <v>902400</v>
          </cell>
          <cell r="E318" t="str">
            <v>FAMISANAR E.P.S.</v>
          </cell>
        </row>
        <row r="319">
          <cell r="A319">
            <v>214258</v>
          </cell>
          <cell r="B319">
            <v>1079032610</v>
          </cell>
          <cell r="C319" t="str">
            <v>BEJARANO MARTINEZ WILLIAM ANDRES</v>
          </cell>
          <cell r="D319">
            <v>800000</v>
          </cell>
          <cell r="E319" t="str">
            <v>COMPENSAR EPS</v>
          </cell>
        </row>
        <row r="320">
          <cell r="A320">
            <v>214259</v>
          </cell>
          <cell r="B320">
            <v>1031152587</v>
          </cell>
          <cell r="C320" t="str">
            <v>BORDA HERRERA IVAN ALONSO</v>
          </cell>
          <cell r="D320">
            <v>1193100</v>
          </cell>
          <cell r="E320" t="str">
            <v>COMPENSAR EPS</v>
          </cell>
        </row>
        <row r="321">
          <cell r="A321">
            <v>214260</v>
          </cell>
          <cell r="B321">
            <v>1031131077</v>
          </cell>
          <cell r="C321" t="str">
            <v>FLOREZ PORTILLA BRAYAM CAMILO</v>
          </cell>
          <cell r="D321">
            <v>902400</v>
          </cell>
          <cell r="E321" t="str">
            <v>FAMISANAR E.P.S.</v>
          </cell>
        </row>
        <row r="322">
          <cell r="A322">
            <v>214261</v>
          </cell>
          <cell r="B322">
            <v>1105672184</v>
          </cell>
          <cell r="C322" t="str">
            <v>OTAVO TORRES LUIS CARLOS</v>
          </cell>
          <cell r="D322">
            <v>1193100</v>
          </cell>
          <cell r="E322" t="str">
            <v>SANITAS EPS</v>
          </cell>
        </row>
        <row r="323">
          <cell r="A323">
            <v>214263</v>
          </cell>
          <cell r="B323">
            <v>80895416</v>
          </cell>
          <cell r="C323" t="str">
            <v>MEDINA MORCOTE ROBINSON</v>
          </cell>
          <cell r="D323">
            <v>902400</v>
          </cell>
          <cell r="E323" t="str">
            <v>FAMISANAR E.P.S.</v>
          </cell>
        </row>
        <row r="324">
          <cell r="A324">
            <v>214264</v>
          </cell>
          <cell r="B324">
            <v>1022955428</v>
          </cell>
          <cell r="C324" t="str">
            <v>VARGAS CORREA CAMILO ANDRES</v>
          </cell>
          <cell r="D324">
            <v>902400</v>
          </cell>
          <cell r="E324" t="str">
            <v>COMPENSAR EPS</v>
          </cell>
        </row>
        <row r="325">
          <cell r="A325">
            <v>214265</v>
          </cell>
          <cell r="B325">
            <v>1013604283</v>
          </cell>
          <cell r="C325" t="str">
            <v>PINZON BUITRAGO JHOVANNY ANDRES</v>
          </cell>
          <cell r="D325">
            <v>902400</v>
          </cell>
          <cell r="E325" t="str">
            <v>COMPENSAR EPS</v>
          </cell>
        </row>
        <row r="326">
          <cell r="A326">
            <v>214267</v>
          </cell>
          <cell r="B326">
            <v>1022381887</v>
          </cell>
          <cell r="C326" t="str">
            <v>FAJARDO RODRIGUEZ LUIS FELIPE</v>
          </cell>
          <cell r="D326">
            <v>902400</v>
          </cell>
          <cell r="E326" t="str">
            <v>SANITAS EPS</v>
          </cell>
        </row>
        <row r="327">
          <cell r="A327">
            <v>214268</v>
          </cell>
          <cell r="B327">
            <v>1031141671</v>
          </cell>
          <cell r="C327" t="str">
            <v>LOAIZA PRIAS EDWIN CAMILO</v>
          </cell>
          <cell r="D327">
            <v>902400</v>
          </cell>
          <cell r="E327" t="str">
            <v>SURAMERICANA EPS</v>
          </cell>
        </row>
        <row r="328">
          <cell r="A328">
            <v>214269</v>
          </cell>
          <cell r="B328">
            <v>1032425768</v>
          </cell>
          <cell r="C328" t="str">
            <v>SALINAS SOLER RONALD FABIAN</v>
          </cell>
          <cell r="D328">
            <v>1193100</v>
          </cell>
          <cell r="E328" t="str">
            <v>FAMISANAR E.P.S.</v>
          </cell>
        </row>
        <row r="329">
          <cell r="A329">
            <v>214270</v>
          </cell>
          <cell r="B329">
            <v>7314451</v>
          </cell>
          <cell r="C329" t="str">
            <v>GARZON   JUAN CARLOS</v>
          </cell>
          <cell r="D329">
            <v>800000</v>
          </cell>
          <cell r="E329" t="str">
            <v>FAMISANAR E.P.S.</v>
          </cell>
        </row>
        <row r="330">
          <cell r="A330">
            <v>214272</v>
          </cell>
          <cell r="B330">
            <v>1015443439</v>
          </cell>
          <cell r="C330" t="str">
            <v>CADENA URREGO WILLIAM DAVID</v>
          </cell>
          <cell r="D330">
            <v>800000</v>
          </cell>
          <cell r="E330" t="str">
            <v>FAMISANAR E.P.S.</v>
          </cell>
        </row>
        <row r="331">
          <cell r="A331">
            <v>214275</v>
          </cell>
          <cell r="B331">
            <v>1022975747</v>
          </cell>
          <cell r="C331" t="str">
            <v>MORA MORA DAGOBERTO</v>
          </cell>
          <cell r="D331">
            <v>902400</v>
          </cell>
          <cell r="E331" t="str">
            <v>SALUD TOTAL EPS</v>
          </cell>
        </row>
        <row r="332">
          <cell r="A332">
            <v>214276</v>
          </cell>
          <cell r="B332">
            <v>1030605069</v>
          </cell>
          <cell r="C332" t="str">
            <v>MOLINA GONZALEZ PABLO YESID</v>
          </cell>
          <cell r="D332">
            <v>1193100</v>
          </cell>
          <cell r="E332" t="str">
            <v>SALUD TOTAL EPS</v>
          </cell>
        </row>
        <row r="333">
          <cell r="A333">
            <v>214277</v>
          </cell>
          <cell r="B333">
            <v>80258082</v>
          </cell>
          <cell r="C333" t="str">
            <v>LOPEZ RODRIGUEZ DIEGO ARMANDO</v>
          </cell>
          <cell r="D333">
            <v>1193100</v>
          </cell>
          <cell r="E333" t="str">
            <v>CAFESALUD E.P.S.</v>
          </cell>
        </row>
        <row r="334">
          <cell r="A334">
            <v>214278</v>
          </cell>
          <cell r="B334">
            <v>80877820</v>
          </cell>
          <cell r="C334" t="str">
            <v>SERRANO CHAVEZ JOSE DANIEL</v>
          </cell>
          <cell r="D334">
            <v>1193100</v>
          </cell>
          <cell r="E334" t="str">
            <v>CAFESALUD E.P.S.</v>
          </cell>
        </row>
        <row r="335">
          <cell r="A335">
            <v>214279</v>
          </cell>
          <cell r="B335">
            <v>1016065087</v>
          </cell>
          <cell r="C335" t="str">
            <v>GONZALES CASTANEDA MICHAEL GERMAN</v>
          </cell>
          <cell r="D335">
            <v>800000</v>
          </cell>
          <cell r="E335" t="str">
            <v>CAFESALUD E.P.S.</v>
          </cell>
        </row>
        <row r="336">
          <cell r="A336">
            <v>214280</v>
          </cell>
          <cell r="B336">
            <v>1013604223</v>
          </cell>
          <cell r="C336" t="str">
            <v>CRUZ LEGUIZAMON ALDERXON FABIAN</v>
          </cell>
          <cell r="D336">
            <v>1193100</v>
          </cell>
          <cell r="E336" t="str">
            <v>CAFESALUD E.P.S.</v>
          </cell>
        </row>
        <row r="337">
          <cell r="A337">
            <v>214281</v>
          </cell>
          <cell r="B337">
            <v>1022924951</v>
          </cell>
          <cell r="C337" t="str">
            <v>MORENO TIBACAN LUIS ALBERTO</v>
          </cell>
          <cell r="D337">
            <v>902400</v>
          </cell>
          <cell r="E337" t="str">
            <v>SALUD TOTAL EPS</v>
          </cell>
        </row>
        <row r="338">
          <cell r="A338">
            <v>214282</v>
          </cell>
          <cell r="B338">
            <v>1024531599</v>
          </cell>
          <cell r="C338" t="str">
            <v>JIMENEZ OCAMPO JEISSON CAMILO</v>
          </cell>
          <cell r="D338">
            <v>902400</v>
          </cell>
          <cell r="E338" t="str">
            <v>SALUD TOTAL EPS</v>
          </cell>
        </row>
        <row r="339">
          <cell r="A339">
            <v>214283</v>
          </cell>
          <cell r="B339">
            <v>1032404500</v>
          </cell>
          <cell r="C339" t="str">
            <v>OSPINA VELASQUEZ YEIZON ANTONIO</v>
          </cell>
          <cell r="D339">
            <v>1193100</v>
          </cell>
          <cell r="E339" t="str">
            <v>FAMISANAR E.P.S.</v>
          </cell>
        </row>
        <row r="340">
          <cell r="A340">
            <v>214284</v>
          </cell>
          <cell r="B340">
            <v>1033740723</v>
          </cell>
          <cell r="C340" t="str">
            <v>FORERO GONZALEZ EDWIN GIOVANNI</v>
          </cell>
          <cell r="D340">
            <v>800000</v>
          </cell>
          <cell r="E340" t="str">
            <v>SALUD TOTAL EPS</v>
          </cell>
        </row>
        <row r="341">
          <cell r="A341">
            <v>214286</v>
          </cell>
          <cell r="B341">
            <v>80144183</v>
          </cell>
          <cell r="C341" t="str">
            <v>DIAZ VILLAMARIN JIMMY LEANDRO</v>
          </cell>
          <cell r="D341">
            <v>902400</v>
          </cell>
          <cell r="E341" t="str">
            <v>SANITAS EPS</v>
          </cell>
        </row>
        <row r="342">
          <cell r="A342">
            <v>214287</v>
          </cell>
          <cell r="B342">
            <v>17705403</v>
          </cell>
          <cell r="C342" t="str">
            <v>TORO DEJOY WILLINGTON</v>
          </cell>
          <cell r="D342">
            <v>902400</v>
          </cell>
          <cell r="E342" t="str">
            <v>COMPENSAR EPS</v>
          </cell>
        </row>
        <row r="343">
          <cell r="A343">
            <v>214288</v>
          </cell>
          <cell r="B343">
            <v>1118537494</v>
          </cell>
          <cell r="C343" t="str">
            <v>SANCHEZ AGUDELO CARLOS HERNAN</v>
          </cell>
          <cell r="D343">
            <v>800000</v>
          </cell>
          <cell r="E343" t="str">
            <v>FAMISANAR E.P.S.</v>
          </cell>
        </row>
        <row r="344">
          <cell r="A344">
            <v>214289</v>
          </cell>
          <cell r="B344">
            <v>1015405741</v>
          </cell>
          <cell r="C344" t="str">
            <v>DIAZ JIMENEZ CAMILO ANDRES</v>
          </cell>
          <cell r="D344">
            <v>1193100</v>
          </cell>
          <cell r="E344" t="str">
            <v>FAMISANAR E.P.S.</v>
          </cell>
        </row>
        <row r="345">
          <cell r="A345">
            <v>214290</v>
          </cell>
          <cell r="B345">
            <v>1033713438</v>
          </cell>
          <cell r="C345" t="str">
            <v>MORA MORA YULIAN ISAAC</v>
          </cell>
          <cell r="D345">
            <v>800000</v>
          </cell>
          <cell r="E345" t="str">
            <v>FAMISANAR E.P.S.</v>
          </cell>
        </row>
        <row r="346">
          <cell r="A346">
            <v>214291</v>
          </cell>
          <cell r="B346">
            <v>80732383</v>
          </cell>
          <cell r="C346" t="str">
            <v>PAEZ PORRAS NELSON ENRIQUE</v>
          </cell>
          <cell r="D346">
            <v>800000</v>
          </cell>
          <cell r="E346" t="str">
            <v>SALUD TOTAL EPS</v>
          </cell>
        </row>
        <row r="347">
          <cell r="A347">
            <v>214292</v>
          </cell>
          <cell r="B347">
            <v>1073696522</v>
          </cell>
          <cell r="C347" t="str">
            <v>SANABRIA GALINDO MAYKOL JAVIER</v>
          </cell>
          <cell r="D347">
            <v>800000</v>
          </cell>
          <cell r="E347" t="str">
            <v>SANITAS EPS</v>
          </cell>
        </row>
        <row r="348">
          <cell r="A348">
            <v>214293</v>
          </cell>
          <cell r="B348">
            <v>12634827</v>
          </cell>
          <cell r="C348" t="str">
            <v>SUAREZ TINOCO HENRY JAVIER</v>
          </cell>
          <cell r="D348">
            <v>800000</v>
          </cell>
          <cell r="E348" t="str">
            <v>CAFESALUD E.P.S.</v>
          </cell>
        </row>
        <row r="349">
          <cell r="A349">
            <v>214294</v>
          </cell>
          <cell r="B349">
            <v>79827064</v>
          </cell>
          <cell r="C349" t="str">
            <v>HERRERA RAMIREZ JOSE MIGUEL</v>
          </cell>
          <cell r="D349">
            <v>800000</v>
          </cell>
          <cell r="E349" t="str">
            <v>FAMISANAR E.P.S.</v>
          </cell>
        </row>
        <row r="350">
          <cell r="A350">
            <v>214295</v>
          </cell>
          <cell r="B350">
            <v>80800166</v>
          </cell>
          <cell r="C350" t="str">
            <v>BARRANTES RIOS JULIO CESAR</v>
          </cell>
          <cell r="D350">
            <v>1193100</v>
          </cell>
          <cell r="E350" t="str">
            <v>CAFESALUD E.P.S.</v>
          </cell>
        </row>
        <row r="351">
          <cell r="A351">
            <v>214296</v>
          </cell>
          <cell r="B351">
            <v>80750571</v>
          </cell>
          <cell r="C351" t="str">
            <v>BELTRAN NAVARRO ANDRES OSWALDO</v>
          </cell>
          <cell r="D351">
            <v>800000</v>
          </cell>
          <cell r="E351" t="str">
            <v>FAMISANAR E.P.S.</v>
          </cell>
        </row>
        <row r="352">
          <cell r="A352">
            <v>214297</v>
          </cell>
          <cell r="B352">
            <v>1024482328</v>
          </cell>
          <cell r="C352" t="str">
            <v>SALAMANCA   MANUEL FERNANDO</v>
          </cell>
          <cell r="D352">
            <v>902400</v>
          </cell>
          <cell r="E352" t="str">
            <v>CAFESALUD E.P.S.</v>
          </cell>
        </row>
        <row r="353">
          <cell r="A353">
            <v>214298</v>
          </cell>
          <cell r="B353">
            <v>1105671168</v>
          </cell>
          <cell r="C353" t="str">
            <v>BUITRAGO BARRIENTOS CARLOS ADOLFO</v>
          </cell>
          <cell r="D353">
            <v>1545200</v>
          </cell>
          <cell r="E353" t="str">
            <v>SALUD TOTAL EPS</v>
          </cell>
        </row>
        <row r="354">
          <cell r="A354">
            <v>214299</v>
          </cell>
          <cell r="B354">
            <v>1101755345</v>
          </cell>
          <cell r="C354" t="str">
            <v>VELASCO BONCES JUAN PABLO</v>
          </cell>
          <cell r="D354">
            <v>902400</v>
          </cell>
          <cell r="E354" t="str">
            <v>CAFESALUD E.P.S.</v>
          </cell>
        </row>
        <row r="355">
          <cell r="A355">
            <v>214300</v>
          </cell>
          <cell r="B355">
            <v>79736617</v>
          </cell>
          <cell r="C355" t="str">
            <v>PUENTES REY NELSON YESID</v>
          </cell>
          <cell r="D355">
            <v>902400</v>
          </cell>
          <cell r="E355" t="str">
            <v>CRUZ BLANCA E.P.S.</v>
          </cell>
        </row>
        <row r="356">
          <cell r="A356">
            <v>214301</v>
          </cell>
          <cell r="B356">
            <v>1031130234</v>
          </cell>
          <cell r="C356" t="str">
            <v>MORENO VELASCO JESUS ALIRIO</v>
          </cell>
          <cell r="D356">
            <v>1193100</v>
          </cell>
          <cell r="E356" t="str">
            <v>SANITAS EPS</v>
          </cell>
        </row>
        <row r="357">
          <cell r="A357">
            <v>214302</v>
          </cell>
          <cell r="B357">
            <v>74363159</v>
          </cell>
          <cell r="C357" t="str">
            <v>DAZA SACRISTAN YEFER GABRIEL</v>
          </cell>
          <cell r="D357">
            <v>1193100</v>
          </cell>
          <cell r="E357" t="str">
            <v>CAFESALUD E.P.S.</v>
          </cell>
        </row>
        <row r="358">
          <cell r="A358">
            <v>214303</v>
          </cell>
          <cell r="B358">
            <v>1057690190</v>
          </cell>
          <cell r="C358" t="str">
            <v>RAMIREZ DAZA FERNEY ANDRES</v>
          </cell>
          <cell r="D358">
            <v>1193100</v>
          </cell>
          <cell r="E358" t="str">
            <v>CAFESALUD E.P.S.</v>
          </cell>
        </row>
        <row r="359">
          <cell r="A359">
            <v>214304</v>
          </cell>
          <cell r="B359">
            <v>1013622514</v>
          </cell>
          <cell r="C359" t="str">
            <v>CRUZ LEGUIZAMON WILLIAM ANDRES</v>
          </cell>
          <cell r="D359">
            <v>1193100</v>
          </cell>
          <cell r="E359" t="str">
            <v>NUEVA EPS</v>
          </cell>
        </row>
        <row r="360">
          <cell r="A360">
            <v>214305</v>
          </cell>
          <cell r="B360">
            <v>1101685988</v>
          </cell>
          <cell r="C360" t="str">
            <v>GRAJALES RODRIGUEZ LUIS CARLOS</v>
          </cell>
          <cell r="D360">
            <v>1193100</v>
          </cell>
          <cell r="E360" t="str">
            <v>FAMISANAR E.P.S.</v>
          </cell>
        </row>
        <row r="361">
          <cell r="A361">
            <v>214306</v>
          </cell>
          <cell r="B361">
            <v>1078346408</v>
          </cell>
          <cell r="C361" t="str">
            <v>LARA MOYA JOHN JAIRO</v>
          </cell>
          <cell r="D361">
            <v>1193100</v>
          </cell>
          <cell r="E361" t="str">
            <v>COOMEVA EPS</v>
          </cell>
        </row>
        <row r="362">
          <cell r="A362">
            <v>214307</v>
          </cell>
          <cell r="B362">
            <v>1097991107</v>
          </cell>
          <cell r="C362" t="str">
            <v>ARIZA FORERO EUCLIDES</v>
          </cell>
          <cell r="D362">
            <v>902400</v>
          </cell>
          <cell r="E362" t="str">
            <v>FAMISANAR E.P.S.</v>
          </cell>
        </row>
        <row r="363">
          <cell r="A363">
            <v>214308</v>
          </cell>
          <cell r="B363">
            <v>80735279</v>
          </cell>
          <cell r="C363" t="str">
            <v>CORDOBA ALVAREZ RONALD</v>
          </cell>
          <cell r="D363">
            <v>1193100</v>
          </cell>
          <cell r="E363" t="str">
            <v>FAMISANAR E.P.S.</v>
          </cell>
        </row>
        <row r="364">
          <cell r="A364">
            <v>214309</v>
          </cell>
          <cell r="B364">
            <v>1022937192</v>
          </cell>
          <cell r="C364" t="str">
            <v>MURILLO GONZALEZ CHRISTIAN CAMILO</v>
          </cell>
          <cell r="D364">
            <v>1193100</v>
          </cell>
          <cell r="E364" t="str">
            <v>FAMISANAR E.P.S.</v>
          </cell>
        </row>
        <row r="365">
          <cell r="A365">
            <v>214310</v>
          </cell>
          <cell r="B365">
            <v>80736078</v>
          </cell>
          <cell r="C365" t="str">
            <v>QUEVEDO CRUZ WILDER ANDRES</v>
          </cell>
          <cell r="D365">
            <v>1193100</v>
          </cell>
          <cell r="E365" t="str">
            <v>FAMISANAR E.P.S.</v>
          </cell>
        </row>
        <row r="366">
          <cell r="A366">
            <v>214311</v>
          </cell>
          <cell r="B366">
            <v>1070330212</v>
          </cell>
          <cell r="C366" t="str">
            <v>BELTRAN BORDA FREDY ALEJANDRO</v>
          </cell>
          <cell r="D366">
            <v>902400</v>
          </cell>
          <cell r="E366" t="str">
            <v>COMPENSAR EPS</v>
          </cell>
        </row>
        <row r="367">
          <cell r="A367">
            <v>214312</v>
          </cell>
          <cell r="B367">
            <v>1012414241</v>
          </cell>
          <cell r="C367" t="str">
            <v>JARA CARABALLO HECTOR FABIAN</v>
          </cell>
          <cell r="D367">
            <v>800000</v>
          </cell>
          <cell r="E367" t="str">
            <v>COMPENSAR EPS</v>
          </cell>
        </row>
        <row r="368">
          <cell r="A368">
            <v>214313</v>
          </cell>
          <cell r="B368">
            <v>1012400411</v>
          </cell>
          <cell r="C368" t="str">
            <v>ECHEVERRY RUBIANO SILVIO DUBAN</v>
          </cell>
          <cell r="D368">
            <v>800000</v>
          </cell>
          <cell r="E368" t="str">
            <v>CAFESALUD E.P.S.</v>
          </cell>
        </row>
        <row r="369">
          <cell r="A369">
            <v>214314</v>
          </cell>
          <cell r="B369">
            <v>1105674979</v>
          </cell>
          <cell r="C369" t="str">
            <v>SUAREZ RODRIGUEZ GABRIEL</v>
          </cell>
          <cell r="D369">
            <v>1545200</v>
          </cell>
          <cell r="E369" t="str">
            <v>CAFESALUD E.P.S.</v>
          </cell>
        </row>
        <row r="370">
          <cell r="A370">
            <v>214315</v>
          </cell>
          <cell r="B370">
            <v>1013640730</v>
          </cell>
          <cell r="C370" t="str">
            <v>FRANCO OLAYA EDGAR FERNANDO</v>
          </cell>
          <cell r="D370">
            <v>1193100</v>
          </cell>
          <cell r="E370" t="str">
            <v>FAMISANAR E.P.S.</v>
          </cell>
        </row>
        <row r="371">
          <cell r="A371">
            <v>214316</v>
          </cell>
          <cell r="B371">
            <v>16045597</v>
          </cell>
          <cell r="C371" t="str">
            <v>CARMONA VALLEJO EDWIN ANDRES</v>
          </cell>
          <cell r="D371">
            <v>1193100</v>
          </cell>
          <cell r="E371" t="str">
            <v>S.O.S.</v>
          </cell>
        </row>
        <row r="372">
          <cell r="A372">
            <v>214331</v>
          </cell>
          <cell r="B372">
            <v>1014189040</v>
          </cell>
          <cell r="C372" t="str">
            <v>PINZON RUIZ CAROLINA</v>
          </cell>
          <cell r="D372">
            <v>3115200</v>
          </cell>
          <cell r="E372" t="str">
            <v>COMPENSAR EPS</v>
          </cell>
        </row>
        <row r="373">
          <cell r="A373">
            <v>214346</v>
          </cell>
          <cell r="B373">
            <v>53132704</v>
          </cell>
          <cell r="C373" t="str">
            <v>RODRIGUEZ ZAMBRANO ADRIANA KATHERINE</v>
          </cell>
          <cell r="D373">
            <v>1865900</v>
          </cell>
          <cell r="E373" t="str">
            <v>FAMISANAR E.P.S.</v>
          </cell>
        </row>
        <row r="374">
          <cell r="A374">
            <v>214348</v>
          </cell>
          <cell r="B374">
            <v>1015424548</v>
          </cell>
          <cell r="C374" t="str">
            <v>GUTIERREZ LEGUIZAMON DIANA</v>
          </cell>
          <cell r="D374">
            <v>644400</v>
          </cell>
          <cell r="E374" t="str">
            <v>SALUD TOTAL EPS</v>
          </cell>
        </row>
        <row r="375">
          <cell r="A375">
            <v>214359</v>
          </cell>
          <cell r="B375">
            <v>1070330881</v>
          </cell>
          <cell r="C375" t="str">
            <v>BARBOSA LINARES GINNA PAOLA</v>
          </cell>
          <cell r="D375">
            <v>720000</v>
          </cell>
          <cell r="E375" t="str">
            <v>SURAMERICANA EPS</v>
          </cell>
        </row>
        <row r="376">
          <cell r="A376">
            <v>214360</v>
          </cell>
          <cell r="B376">
            <v>52718794</v>
          </cell>
          <cell r="C376" t="str">
            <v>BAUTISTA GAVIRIA JAZMIN EMILCE</v>
          </cell>
          <cell r="D376">
            <v>644400</v>
          </cell>
          <cell r="E376" t="str">
            <v>SALUD TOTAL EPS</v>
          </cell>
        </row>
        <row r="377">
          <cell r="A377">
            <v>214371</v>
          </cell>
          <cell r="B377">
            <v>1075659222</v>
          </cell>
          <cell r="C377" t="str">
            <v>CABEZAS GUARQUE LEYDI LORENA</v>
          </cell>
          <cell r="D377">
            <v>2180600</v>
          </cell>
          <cell r="E377" t="str">
            <v>SANITAS EPS</v>
          </cell>
        </row>
        <row r="378">
          <cell r="A378">
            <v>214372</v>
          </cell>
          <cell r="B378">
            <v>1073691761</v>
          </cell>
          <cell r="C378" t="str">
            <v>SALGADO ARANDA CRISTIAN MAURICIO</v>
          </cell>
          <cell r="D378">
            <v>1193100</v>
          </cell>
          <cell r="E378" t="str">
            <v>SALUD TOTAL EPS</v>
          </cell>
        </row>
        <row r="379">
          <cell r="A379">
            <v>214375</v>
          </cell>
          <cell r="B379">
            <v>1024543436</v>
          </cell>
          <cell r="C379" t="str">
            <v>HURTADO ALVAREZ BRAYAN JAVIER</v>
          </cell>
          <cell r="D379">
            <v>800000</v>
          </cell>
          <cell r="E379" t="str">
            <v>NUEVA EPS</v>
          </cell>
        </row>
        <row r="380">
          <cell r="A380">
            <v>214377</v>
          </cell>
          <cell r="B380">
            <v>16270669</v>
          </cell>
          <cell r="C380" t="str">
            <v>PECHENE GOMEZ JOSE FLOVER</v>
          </cell>
          <cell r="D380">
            <v>800000</v>
          </cell>
          <cell r="E380" t="str">
            <v>COMPENSAR EPS</v>
          </cell>
        </row>
        <row r="381">
          <cell r="A381">
            <v>214379</v>
          </cell>
          <cell r="B381">
            <v>1119581757</v>
          </cell>
          <cell r="C381" t="str">
            <v>TOLE VALENCIA GENARO</v>
          </cell>
          <cell r="D381">
            <v>1193100</v>
          </cell>
          <cell r="E381" t="str">
            <v>FAMISANAR E.P.S.</v>
          </cell>
        </row>
        <row r="382">
          <cell r="A382">
            <v>214380</v>
          </cell>
          <cell r="B382">
            <v>1020776254</v>
          </cell>
          <cell r="C382" t="str">
            <v>SANTIESTEBAN ALVARADO CHRISTIAN FABI</v>
          </cell>
          <cell r="D382">
            <v>800000</v>
          </cell>
          <cell r="E382" t="str">
            <v>CAFESALUD E.P.S.</v>
          </cell>
        </row>
        <row r="383">
          <cell r="A383">
            <v>214381</v>
          </cell>
          <cell r="B383">
            <v>1024489087</v>
          </cell>
          <cell r="C383" t="str">
            <v>RUA   CAMILO EDUARDO</v>
          </cell>
          <cell r="D383">
            <v>1193100</v>
          </cell>
          <cell r="E383" t="str">
            <v>FAMISANAR E.P.S.</v>
          </cell>
        </row>
        <row r="384">
          <cell r="A384">
            <v>214382</v>
          </cell>
          <cell r="B384">
            <v>1033764933</v>
          </cell>
          <cell r="C384" t="str">
            <v>FLOREZ PORTILLA ALEX SAMIR</v>
          </cell>
          <cell r="D384">
            <v>800000</v>
          </cell>
          <cell r="E384" t="str">
            <v>SALUD TOTAL EPS</v>
          </cell>
        </row>
        <row r="385">
          <cell r="A385">
            <v>214383</v>
          </cell>
          <cell r="B385">
            <v>1030626542</v>
          </cell>
          <cell r="C385" t="str">
            <v>ORDONEZ TORRES JOHN JAIRO</v>
          </cell>
          <cell r="D385">
            <v>1193100</v>
          </cell>
          <cell r="E385" t="str">
            <v>COMPENSAR EPS</v>
          </cell>
        </row>
        <row r="386">
          <cell r="A386">
            <v>214384</v>
          </cell>
          <cell r="B386">
            <v>81740753</v>
          </cell>
          <cell r="C386" t="str">
            <v>RATIVA SOSA JOSE ALBERTO</v>
          </cell>
          <cell r="D386">
            <v>902400</v>
          </cell>
          <cell r="E386" t="str">
            <v>FAMISANAR E.P.S.</v>
          </cell>
        </row>
        <row r="387">
          <cell r="A387">
            <v>214385</v>
          </cell>
          <cell r="B387">
            <v>53153394</v>
          </cell>
          <cell r="C387" t="str">
            <v>DIAZ ALDANA VIVIANA ALEJANDRA</v>
          </cell>
          <cell r="D387">
            <v>1600000</v>
          </cell>
          <cell r="E387" t="str">
            <v>COMPENSAR EPS</v>
          </cell>
        </row>
        <row r="388">
          <cell r="A388">
            <v>214386</v>
          </cell>
          <cell r="B388">
            <v>93138575</v>
          </cell>
          <cell r="C388" t="str">
            <v>CUELLAR BARRERO JOSE OMAR</v>
          </cell>
          <cell r="D388">
            <v>800000</v>
          </cell>
          <cell r="E388" t="str">
            <v>CAFESALUD E.P.S.</v>
          </cell>
        </row>
        <row r="389">
          <cell r="A389">
            <v>214387</v>
          </cell>
          <cell r="B389">
            <v>72292057</v>
          </cell>
          <cell r="C389" t="str">
            <v>CONSUEGRA GOMEZ EDUARDO</v>
          </cell>
          <cell r="D389">
            <v>3571000</v>
          </cell>
          <cell r="E389" t="str">
            <v>COOMEVA EPS</v>
          </cell>
        </row>
        <row r="390">
          <cell r="A390">
            <v>214388</v>
          </cell>
          <cell r="B390">
            <v>80797623</v>
          </cell>
          <cell r="C390" t="str">
            <v>CRUZ HERNANDEZ DANIEL ORLANDO</v>
          </cell>
          <cell r="D390">
            <v>3568400</v>
          </cell>
          <cell r="E390" t="str">
            <v>COMPENSAR EPS</v>
          </cell>
        </row>
        <row r="391">
          <cell r="A391">
            <v>214389</v>
          </cell>
          <cell r="B391">
            <v>1014191400</v>
          </cell>
          <cell r="C391" t="str">
            <v>CASTELLANOS LOPEZ ERICA MARCELA</v>
          </cell>
          <cell r="D391">
            <v>2123300</v>
          </cell>
          <cell r="E391" t="str">
            <v>COMPENSAR EPS</v>
          </cell>
        </row>
        <row r="392">
          <cell r="A392">
            <v>214391</v>
          </cell>
          <cell r="B392">
            <v>1012360991</v>
          </cell>
          <cell r="C392" t="str">
            <v>PARRA MARTIN NELSON HERNAN</v>
          </cell>
          <cell r="D392">
            <v>882600</v>
          </cell>
          <cell r="E392" t="str">
            <v>CRUZ BLANCA E.P.S.</v>
          </cell>
        </row>
        <row r="393">
          <cell r="A393">
            <v>214392</v>
          </cell>
          <cell r="B393">
            <v>1019071652</v>
          </cell>
          <cell r="C393" t="str">
            <v>MORA BALLARES SEBASTIAN</v>
          </cell>
          <cell r="D393">
            <v>1500000</v>
          </cell>
          <cell r="E393" t="str">
            <v>SALUD TOTAL EPS</v>
          </cell>
        </row>
        <row r="394">
          <cell r="A394">
            <v>214395</v>
          </cell>
          <cell r="B394">
            <v>79127991</v>
          </cell>
          <cell r="C394" t="str">
            <v>GONZALEZ ROMERO RAFAEL ARTURO</v>
          </cell>
          <cell r="D394">
            <v>1500000</v>
          </cell>
          <cell r="E394" t="str">
            <v>FAMISANAR E.P.S.</v>
          </cell>
        </row>
        <row r="395">
          <cell r="A395">
            <v>214400</v>
          </cell>
          <cell r="B395">
            <v>1030562432</v>
          </cell>
          <cell r="C395" t="str">
            <v>CRUZ ROJAS DANIEL ALBERTO</v>
          </cell>
          <cell r="D395">
            <v>2300000</v>
          </cell>
          <cell r="E395" t="str">
            <v>COMPENSAR EPS</v>
          </cell>
        </row>
        <row r="396">
          <cell r="A396">
            <v>214401</v>
          </cell>
          <cell r="B396">
            <v>1010179871</v>
          </cell>
          <cell r="C396" t="str">
            <v>PARRA RODRIGUEZ DAVID ORLANDO</v>
          </cell>
          <cell r="D396">
            <v>1500000</v>
          </cell>
          <cell r="E396" t="str">
            <v>COMPENSAR EPS</v>
          </cell>
        </row>
        <row r="397">
          <cell r="A397">
            <v>214420</v>
          </cell>
          <cell r="B397">
            <v>80771601</v>
          </cell>
          <cell r="C397" t="str">
            <v>LOPEZ PIMIENTO RODOLFO ALBERTO</v>
          </cell>
          <cell r="D397">
            <v>1450000</v>
          </cell>
          <cell r="E397" t="str">
            <v>COOMEVA EPS</v>
          </cell>
        </row>
        <row r="398">
          <cell r="A398">
            <v>214421</v>
          </cell>
          <cell r="B398">
            <v>1014223179</v>
          </cell>
          <cell r="C398" t="str">
            <v>SUAREZ VELASQUEZ KAREN LORENA</v>
          </cell>
          <cell r="D398">
            <v>1500000</v>
          </cell>
          <cell r="E398" t="str">
            <v>FAMISANAR E.P.S.</v>
          </cell>
        </row>
        <row r="399">
          <cell r="A399">
            <v>214423</v>
          </cell>
          <cell r="B399">
            <v>1052314066</v>
          </cell>
          <cell r="C399" t="str">
            <v>PINTO BAEZ WILLMER FABIAN</v>
          </cell>
          <cell r="D399">
            <v>644400</v>
          </cell>
          <cell r="E399" t="str">
            <v>NUEVA EPS</v>
          </cell>
        </row>
        <row r="400">
          <cell r="A400">
            <v>214426</v>
          </cell>
          <cell r="B400">
            <v>1014223326</v>
          </cell>
          <cell r="C400" t="str">
            <v>ALVAREZ CADAVID YULIETH VANESSA</v>
          </cell>
          <cell r="D400">
            <v>644400</v>
          </cell>
          <cell r="E400" t="str">
            <v>CAFESALUD E.P.S.</v>
          </cell>
        </row>
        <row r="401">
          <cell r="A401">
            <v>215103</v>
          </cell>
          <cell r="B401">
            <v>1024534052</v>
          </cell>
          <cell r="C401" t="str">
            <v>ROMERO CLAVIJO HUBER NERLE</v>
          </cell>
          <cell r="D401">
            <v>882600</v>
          </cell>
          <cell r="E401" t="str">
            <v>CRUZ BLANCA E.P.S.</v>
          </cell>
        </row>
        <row r="402">
          <cell r="A402">
            <v>215104</v>
          </cell>
          <cell r="B402">
            <v>1066727881</v>
          </cell>
          <cell r="C402" t="str">
            <v>MERCADO AVILEZ ALEXANDER SAMIR</v>
          </cell>
          <cell r="D402">
            <v>882600</v>
          </cell>
          <cell r="E402" t="str">
            <v>FAMISANAR E.P.S.</v>
          </cell>
        </row>
        <row r="403">
          <cell r="A403">
            <v>215105</v>
          </cell>
          <cell r="B403">
            <v>1037634475</v>
          </cell>
          <cell r="C403" t="str">
            <v>RESTREPO ALVAREZ CARLOS EDUARDO</v>
          </cell>
          <cell r="D403">
            <v>841700</v>
          </cell>
          <cell r="E403" t="str">
            <v>SANITAS EPS</v>
          </cell>
        </row>
        <row r="404">
          <cell r="A404">
            <v>215106</v>
          </cell>
          <cell r="B404">
            <v>1002162227</v>
          </cell>
          <cell r="C404" t="str">
            <v>ACOSTA GUERRERO YAINNER ENRIQUE</v>
          </cell>
          <cell r="D404">
            <v>1136000</v>
          </cell>
          <cell r="E404" t="str">
            <v>SALUD TOTAL EPS</v>
          </cell>
        </row>
        <row r="405">
          <cell r="A405">
            <v>215107</v>
          </cell>
          <cell r="B405">
            <v>1018463128</v>
          </cell>
          <cell r="C405" t="str">
            <v>GUTIERREZ ROMERO JHONNATAN ANDREY</v>
          </cell>
          <cell r="D405">
            <v>895500</v>
          </cell>
          <cell r="E405" t="str">
            <v>FAMISANAR E.P.S.</v>
          </cell>
        </row>
        <row r="406">
          <cell r="A406">
            <v>215118</v>
          </cell>
          <cell r="B406">
            <v>1144038344</v>
          </cell>
          <cell r="C406" t="str">
            <v>ECHAVARRIA AGREDO CHAYANEE ALEXIS</v>
          </cell>
          <cell r="D406">
            <v>841700</v>
          </cell>
          <cell r="E406" t="str">
            <v>S.O.S.</v>
          </cell>
        </row>
        <row r="407">
          <cell r="A407">
            <v>215121</v>
          </cell>
          <cell r="B407">
            <v>79995516</v>
          </cell>
          <cell r="C407" t="str">
            <v>VASQUEZ MONTALVO HAROL ARTURO</v>
          </cell>
          <cell r="D407">
            <v>800000</v>
          </cell>
          <cell r="E407" t="str">
            <v>CAFESALUD E.P.S.</v>
          </cell>
        </row>
        <row r="408">
          <cell r="A408">
            <v>215122</v>
          </cell>
          <cell r="B408">
            <v>1023941260</v>
          </cell>
          <cell r="C408" t="str">
            <v>BELTRAN PEREZ RAFAEL SANTIAGO</v>
          </cell>
          <cell r="D408">
            <v>800000</v>
          </cell>
          <cell r="E408" t="str">
            <v>SALUD TOTAL EPS</v>
          </cell>
        </row>
        <row r="409">
          <cell r="A409">
            <v>215146</v>
          </cell>
          <cell r="B409">
            <v>1022370469</v>
          </cell>
          <cell r="C409" t="str">
            <v>ZULUAGA PIZZA JUAN PABLO</v>
          </cell>
          <cell r="D409">
            <v>644400</v>
          </cell>
          <cell r="E409" t="str">
            <v>SANITAS EPS</v>
          </cell>
        </row>
        <row r="410">
          <cell r="A410">
            <v>215147</v>
          </cell>
          <cell r="B410">
            <v>8527049</v>
          </cell>
          <cell r="C410" t="str">
            <v>MARUN VALENCIA JONATHAN</v>
          </cell>
          <cell r="D410">
            <v>800000</v>
          </cell>
          <cell r="E410" t="str">
            <v>FAMISANAR E.P.S.</v>
          </cell>
        </row>
        <row r="411">
          <cell r="A411">
            <v>215149</v>
          </cell>
          <cell r="B411">
            <v>1012408143</v>
          </cell>
          <cell r="C411" t="str">
            <v>ZABALA CUMACO CARLOS ARTURO</v>
          </cell>
          <cell r="D411">
            <v>800000</v>
          </cell>
          <cell r="E411" t="str">
            <v>FAMISANAR E.P.S.</v>
          </cell>
        </row>
        <row r="412">
          <cell r="A412">
            <v>215150</v>
          </cell>
          <cell r="B412">
            <v>80268051</v>
          </cell>
          <cell r="C412" t="str">
            <v>TRUJILLO RODRIGUEZ ANTONIO JOSE</v>
          </cell>
          <cell r="D412">
            <v>800000</v>
          </cell>
          <cell r="E412" t="str">
            <v>NUEVA EPS</v>
          </cell>
        </row>
        <row r="413">
          <cell r="A413">
            <v>215151</v>
          </cell>
          <cell r="B413">
            <v>79220939</v>
          </cell>
          <cell r="C413" t="str">
            <v>VASQUEZ FORERO OSCAR EDUARDO</v>
          </cell>
          <cell r="D413">
            <v>800000</v>
          </cell>
          <cell r="E413" t="str">
            <v>FAMISANAR E.P.S.</v>
          </cell>
        </row>
        <row r="414">
          <cell r="A414">
            <v>215153</v>
          </cell>
          <cell r="B414">
            <v>1012324486</v>
          </cell>
          <cell r="C414" t="str">
            <v>WALTERO GAMBOA CRISTIAN CAMILO</v>
          </cell>
          <cell r="D414">
            <v>800000</v>
          </cell>
          <cell r="E414" t="str">
            <v>CAFESALUD E.P.S.</v>
          </cell>
        </row>
        <row r="415">
          <cell r="A415">
            <v>215154</v>
          </cell>
          <cell r="B415">
            <v>1072026219</v>
          </cell>
          <cell r="C415" t="str">
            <v>OSORIO OSORIO JHON FREDY</v>
          </cell>
          <cell r="D415">
            <v>800000</v>
          </cell>
          <cell r="E415" t="str">
            <v>FAMISANAR E.P.S.</v>
          </cell>
        </row>
        <row r="416">
          <cell r="A416">
            <v>215155</v>
          </cell>
          <cell r="B416">
            <v>79498099</v>
          </cell>
          <cell r="C416" t="str">
            <v>BALLEN DIAZ RAFAEL</v>
          </cell>
          <cell r="D416">
            <v>800000</v>
          </cell>
          <cell r="E416" t="str">
            <v>NUEVA EPS</v>
          </cell>
        </row>
        <row r="417">
          <cell r="A417">
            <v>215156</v>
          </cell>
          <cell r="B417">
            <v>80244794</v>
          </cell>
          <cell r="C417" t="str">
            <v>RIVEROS RIOS SAUL</v>
          </cell>
          <cell r="D417">
            <v>800000</v>
          </cell>
          <cell r="E417" t="str">
            <v>FAMISANAR E.P.S.</v>
          </cell>
        </row>
        <row r="418">
          <cell r="A418">
            <v>215157</v>
          </cell>
          <cell r="B418">
            <v>7704187</v>
          </cell>
          <cell r="C418" t="str">
            <v>HERNANDEZ MUNOZ EDWIN ENRIQUE</v>
          </cell>
          <cell r="D418">
            <v>800000</v>
          </cell>
          <cell r="E418" t="str">
            <v>CAFESALUD E.P.S.</v>
          </cell>
        </row>
        <row r="419">
          <cell r="A419">
            <v>215158</v>
          </cell>
          <cell r="B419">
            <v>1022977950</v>
          </cell>
          <cell r="C419" t="str">
            <v>MEDINA VILLARREAL EDWAR ANDRES</v>
          </cell>
          <cell r="D419">
            <v>800000</v>
          </cell>
          <cell r="E419" t="str">
            <v>FAMISANAR E.P.S.</v>
          </cell>
        </row>
        <row r="420">
          <cell r="A420">
            <v>215159</v>
          </cell>
          <cell r="B420">
            <v>80180690</v>
          </cell>
          <cell r="C420" t="str">
            <v>GARZON RODRIGUEZ WILLIAM HUMBERTO</v>
          </cell>
          <cell r="D420">
            <v>800000</v>
          </cell>
          <cell r="E420" t="str">
            <v>CRUZ BLANCA E.P.S.</v>
          </cell>
        </row>
        <row r="421">
          <cell r="A421">
            <v>215160</v>
          </cell>
          <cell r="B421">
            <v>1010192834</v>
          </cell>
          <cell r="C421" t="str">
            <v>RIVEROS ROMERO DANILO EDUARDO</v>
          </cell>
          <cell r="D421">
            <v>800000</v>
          </cell>
          <cell r="E421" t="str">
            <v>SURAMERICANA EPS</v>
          </cell>
        </row>
        <row r="422">
          <cell r="A422">
            <v>215161</v>
          </cell>
          <cell r="B422">
            <v>1033727839</v>
          </cell>
          <cell r="C422" t="str">
            <v>PINEROS BASTIDAS HAROL STEVEEN</v>
          </cell>
          <cell r="D422">
            <v>800000</v>
          </cell>
          <cell r="E422" t="str">
            <v>COOMEVA EPS</v>
          </cell>
        </row>
        <row r="423">
          <cell r="A423">
            <v>215162</v>
          </cell>
          <cell r="B423">
            <v>1012416233</v>
          </cell>
          <cell r="C423" t="str">
            <v>GUERRERO DELGADO JONNATHAN STEVEN</v>
          </cell>
          <cell r="D423">
            <v>800000</v>
          </cell>
          <cell r="E423" t="str">
            <v>FAMISANAR E.P.S.</v>
          </cell>
        </row>
        <row r="424">
          <cell r="A424">
            <v>215163</v>
          </cell>
          <cell r="B424">
            <v>80770229</v>
          </cell>
          <cell r="C424" t="str">
            <v>ORTEGON GUTIERREZ ERWIN FERNANDO</v>
          </cell>
          <cell r="D424">
            <v>6844000</v>
          </cell>
          <cell r="E424" t="str">
            <v>SALUD TOTAL EPS</v>
          </cell>
        </row>
        <row r="425">
          <cell r="A425">
            <v>215165</v>
          </cell>
          <cell r="B425">
            <v>98112800689</v>
          </cell>
          <cell r="C425" t="str">
            <v>GRACIA SABOGAL NICOLAS</v>
          </cell>
          <cell r="D425">
            <v>644400</v>
          </cell>
          <cell r="E425" t="str">
            <v>FAMISANAR E.P.S.</v>
          </cell>
        </row>
        <row r="426">
          <cell r="A426">
            <v>215180</v>
          </cell>
          <cell r="B426">
            <v>1013673837</v>
          </cell>
          <cell r="C426" t="str">
            <v>ROJAS RAMIREZ LAURA JOHANNA</v>
          </cell>
          <cell r="D426">
            <v>644400</v>
          </cell>
          <cell r="E426" t="str">
            <v>COMPENSAR EPS</v>
          </cell>
        </row>
        <row r="427">
          <cell r="A427">
            <v>215182</v>
          </cell>
          <cell r="B427">
            <v>1012324791</v>
          </cell>
          <cell r="C427" t="str">
            <v>CANON SILVA YINED</v>
          </cell>
          <cell r="D427">
            <v>644400</v>
          </cell>
          <cell r="E427" t="str">
            <v>FAMISANAR E.P.S.</v>
          </cell>
        </row>
        <row r="428">
          <cell r="A428">
            <v>215184</v>
          </cell>
          <cell r="B428">
            <v>1020804306</v>
          </cell>
          <cell r="C428" t="str">
            <v>VERGEL TOVAR JONATHAN SMITH</v>
          </cell>
          <cell r="D428">
            <v>644400</v>
          </cell>
          <cell r="E428" t="str">
            <v>FAMISANAR E.P.S.</v>
          </cell>
        </row>
        <row r="429">
          <cell r="A429">
            <v>215193</v>
          </cell>
          <cell r="B429">
            <v>1032391297</v>
          </cell>
          <cell r="C429" t="str">
            <v>SERRANO VANEGAS SONIA ROCIO</v>
          </cell>
          <cell r="D429">
            <v>2800000</v>
          </cell>
          <cell r="E429" t="str">
            <v>COMPENSAR EPS</v>
          </cell>
        </row>
        <row r="430">
          <cell r="A430">
            <v>215194</v>
          </cell>
          <cell r="B430">
            <v>1010204523</v>
          </cell>
          <cell r="C430" t="str">
            <v>VELASQUEZ ROMERO LINA PAOLA</v>
          </cell>
          <cell r="D430">
            <v>644400</v>
          </cell>
          <cell r="E430" t="str">
            <v>CRUZ BLANCA E.P.S.</v>
          </cell>
        </row>
        <row r="431">
          <cell r="A431">
            <v>215195</v>
          </cell>
          <cell r="B431">
            <v>97112308052</v>
          </cell>
          <cell r="C431" t="str">
            <v>RAMIREZ ROZO LUZ ADRIANA</v>
          </cell>
          <cell r="D431">
            <v>644400</v>
          </cell>
          <cell r="E431" t="str">
            <v>COMPENSAR EPS</v>
          </cell>
        </row>
        <row r="432">
          <cell r="A432">
            <v>215207</v>
          </cell>
          <cell r="B432">
            <v>1123623173</v>
          </cell>
          <cell r="C432" t="str">
            <v>DIAZ GARCIA NASHLY DAYAN</v>
          </cell>
          <cell r="D432">
            <v>3000000</v>
          </cell>
          <cell r="E432" t="str">
            <v>SANITAS EPS</v>
          </cell>
        </row>
        <row r="433">
          <cell r="A433">
            <v>215208</v>
          </cell>
          <cell r="B433">
            <v>1015437962</v>
          </cell>
          <cell r="C433" t="str">
            <v>PINEDA CAMACHO LAURA MARCELA</v>
          </cell>
          <cell r="D433">
            <v>720000</v>
          </cell>
          <cell r="E433" t="str">
            <v>SANITAS EPS</v>
          </cell>
        </row>
        <row r="434">
          <cell r="A434">
            <v>215210</v>
          </cell>
          <cell r="B434">
            <v>1022426662</v>
          </cell>
          <cell r="C434" t="str">
            <v>DELGADO RICO KAREN TATIANA</v>
          </cell>
          <cell r="D434">
            <v>720000</v>
          </cell>
          <cell r="E434" t="str">
            <v>FAMISANAR E.P.S.</v>
          </cell>
        </row>
        <row r="435">
          <cell r="A435">
            <v>215211</v>
          </cell>
          <cell r="B435">
            <v>1030652417</v>
          </cell>
          <cell r="C435" t="str">
            <v>PINZON QUINONEZ BRAYAN ESTID</v>
          </cell>
          <cell r="D435">
            <v>644400</v>
          </cell>
          <cell r="E435" t="str">
            <v>CRUZ BLANCA E.P.S.</v>
          </cell>
        </row>
        <row r="436">
          <cell r="A436">
            <v>215212</v>
          </cell>
          <cell r="B436">
            <v>1030631552</v>
          </cell>
          <cell r="C436" t="str">
            <v>RISUENO CABALLERO CRISTIAN CAMILO</v>
          </cell>
          <cell r="D436">
            <v>720000</v>
          </cell>
          <cell r="E436" t="str">
            <v>COMPENSAR EPS</v>
          </cell>
        </row>
        <row r="437">
          <cell r="A437">
            <v>215213</v>
          </cell>
          <cell r="B437">
            <v>1022970532</v>
          </cell>
          <cell r="C437" t="str">
            <v>CALDERON AYALA MIGUEL ANGEL</v>
          </cell>
          <cell r="D437">
            <v>1215900</v>
          </cell>
          <cell r="E437" t="str">
            <v>FAMISANAR E.P.S.</v>
          </cell>
        </row>
        <row r="438">
          <cell r="A438">
            <v>215214</v>
          </cell>
          <cell r="B438">
            <v>1032455462</v>
          </cell>
          <cell r="C438" t="str">
            <v>ANGEL AGUILAR CAMILO ANDRES</v>
          </cell>
          <cell r="D438">
            <v>720000</v>
          </cell>
          <cell r="E438" t="str">
            <v>SANITAS EPS</v>
          </cell>
        </row>
        <row r="439">
          <cell r="A439">
            <v>215222</v>
          </cell>
          <cell r="B439">
            <v>1023960708</v>
          </cell>
          <cell r="C439" t="str">
            <v>COTACIO URREGO ASTRID LORENA</v>
          </cell>
          <cell r="D439">
            <v>644400</v>
          </cell>
          <cell r="E439" t="str">
            <v>CRUZ BLANCA E.P.S.</v>
          </cell>
        </row>
        <row r="440">
          <cell r="A440">
            <v>215223</v>
          </cell>
          <cell r="B440">
            <v>1010177667</v>
          </cell>
          <cell r="C440" t="str">
            <v>GOMEZ UBAQUE GABRIEL LEONARDO</v>
          </cell>
          <cell r="D440">
            <v>1485000</v>
          </cell>
          <cell r="E440" t="str">
            <v>CAFESALUD E.P.S.</v>
          </cell>
        </row>
        <row r="441">
          <cell r="A441">
            <v>215231</v>
          </cell>
          <cell r="B441">
            <v>79558481</v>
          </cell>
          <cell r="C441" t="str">
            <v>JARAMILLO PATRON GERMAN EDUARDO</v>
          </cell>
          <cell r="D441">
            <v>29000000</v>
          </cell>
          <cell r="E441" t="str">
            <v>SANITAS EPS</v>
          </cell>
        </row>
        <row r="442">
          <cell r="A442">
            <v>215232</v>
          </cell>
          <cell r="B442">
            <v>1022364329</v>
          </cell>
          <cell r="C442" t="str">
            <v>ALBA GONZALEZ YEIMY JOHANA</v>
          </cell>
          <cell r="D442">
            <v>1440300</v>
          </cell>
          <cell r="E442" t="str">
            <v>FAMISANAR E.P.S.</v>
          </cell>
        </row>
        <row r="443">
          <cell r="A443">
            <v>215233</v>
          </cell>
          <cell r="B443">
            <v>80921107</v>
          </cell>
          <cell r="C443" t="str">
            <v>LESMES PACHECO EDGAR</v>
          </cell>
          <cell r="D443">
            <v>1440300</v>
          </cell>
          <cell r="E443" t="str">
            <v>FAMISANAR E.P.S.</v>
          </cell>
        </row>
        <row r="444">
          <cell r="A444">
            <v>215234</v>
          </cell>
          <cell r="B444">
            <v>1018410411</v>
          </cell>
          <cell r="C444" t="str">
            <v>MARTINEZ LEAL HUGO HERNAN</v>
          </cell>
          <cell r="D444">
            <v>1440300</v>
          </cell>
          <cell r="E444" t="str">
            <v>FAMISANAR E.P.S.</v>
          </cell>
        </row>
        <row r="445">
          <cell r="A445">
            <v>215235</v>
          </cell>
          <cell r="B445">
            <v>1020768390</v>
          </cell>
          <cell r="C445" t="str">
            <v>GOMEZ HERNANDEZ NATALIA</v>
          </cell>
          <cell r="D445">
            <v>2500000</v>
          </cell>
          <cell r="E445" t="str">
            <v>SANITAS EPS</v>
          </cell>
        </row>
        <row r="446">
          <cell r="A446">
            <v>215239</v>
          </cell>
          <cell r="B446">
            <v>79127262</v>
          </cell>
          <cell r="C446" t="str">
            <v>OLAYA   JORGE ENRIQUE</v>
          </cell>
          <cell r="D446">
            <v>800000</v>
          </cell>
          <cell r="E446" t="str">
            <v>NUEVA EPS</v>
          </cell>
        </row>
        <row r="447">
          <cell r="A447">
            <v>215240</v>
          </cell>
          <cell r="B447">
            <v>66954193</v>
          </cell>
          <cell r="C447" t="str">
            <v>NAVAS LINDO LIDA PAOLA</v>
          </cell>
          <cell r="D447">
            <v>11100000</v>
          </cell>
          <cell r="E447" t="str">
            <v>SANITAS EPS</v>
          </cell>
        </row>
        <row r="448">
          <cell r="A448">
            <v>215249</v>
          </cell>
          <cell r="B448">
            <v>1012424752</v>
          </cell>
          <cell r="C448" t="str">
            <v>AFRICANO BAUTISTA MARLON STEVEN</v>
          </cell>
          <cell r="D448">
            <v>800000</v>
          </cell>
          <cell r="E448" t="str">
            <v>CAFESALUD E.P.S.</v>
          </cell>
        </row>
        <row r="449">
          <cell r="A449">
            <v>215250</v>
          </cell>
          <cell r="B449">
            <v>1013594584</v>
          </cell>
          <cell r="C449" t="str">
            <v>ARGOTE BERNAL ANDERSSON</v>
          </cell>
          <cell r="D449">
            <v>1895600</v>
          </cell>
          <cell r="E449" t="str">
            <v>COMPENSAR EPS</v>
          </cell>
        </row>
        <row r="450">
          <cell r="A450">
            <v>215251</v>
          </cell>
          <cell r="B450">
            <v>1024535787</v>
          </cell>
          <cell r="C450" t="str">
            <v>BURGOS VALERO OSCAR ALEJANDRO</v>
          </cell>
          <cell r="D450">
            <v>800000</v>
          </cell>
          <cell r="E450" t="str">
            <v>SALUD TOTAL EPS</v>
          </cell>
        </row>
        <row r="451">
          <cell r="A451">
            <v>215252</v>
          </cell>
          <cell r="B451">
            <v>10952819</v>
          </cell>
          <cell r="C451" t="str">
            <v>DIAZ DE LA OSSA NATANEL JOSUE</v>
          </cell>
          <cell r="D451">
            <v>800000</v>
          </cell>
          <cell r="E451" t="str">
            <v>COMPENSAR EPS</v>
          </cell>
        </row>
        <row r="452">
          <cell r="A452">
            <v>215253</v>
          </cell>
          <cell r="B452">
            <v>3216151</v>
          </cell>
          <cell r="C452" t="str">
            <v>GUTIERREZ PUENTES JOSE RICARDO</v>
          </cell>
          <cell r="D452">
            <v>800000</v>
          </cell>
          <cell r="E452" t="str">
            <v>FAMISANAR E.P.S.</v>
          </cell>
        </row>
        <row r="453">
          <cell r="A453">
            <v>215254</v>
          </cell>
          <cell r="B453">
            <v>1023002035</v>
          </cell>
          <cell r="C453" t="str">
            <v>HERNANDEZ ROJAS DANIEL FELIPE</v>
          </cell>
          <cell r="D453">
            <v>800000</v>
          </cell>
          <cell r="E453" t="str">
            <v>FAMISANAR E.P.S.</v>
          </cell>
        </row>
        <row r="454">
          <cell r="A454">
            <v>215255</v>
          </cell>
          <cell r="B454">
            <v>80919522</v>
          </cell>
          <cell r="C454" t="str">
            <v>HOLGUIN HOLGUIN JAIR ALBERTO</v>
          </cell>
          <cell r="D454">
            <v>800000</v>
          </cell>
          <cell r="E454" t="str">
            <v>FAMISANAR E.P.S.</v>
          </cell>
        </row>
        <row r="455">
          <cell r="A455">
            <v>215257</v>
          </cell>
          <cell r="B455">
            <v>1033763393</v>
          </cell>
          <cell r="C455" t="str">
            <v>NIETO CASTANEDA JOHNY ANDREY</v>
          </cell>
          <cell r="D455">
            <v>800000</v>
          </cell>
          <cell r="E455" t="str">
            <v>SALUD TOTAL EPS</v>
          </cell>
        </row>
        <row r="456">
          <cell r="A456">
            <v>215258</v>
          </cell>
          <cell r="B456">
            <v>7716892</v>
          </cell>
          <cell r="C456" t="str">
            <v>PALOMINO PENA JUAN CARLOS</v>
          </cell>
          <cell r="D456">
            <v>800000</v>
          </cell>
          <cell r="E456" t="str">
            <v>COMPENSAR EPS</v>
          </cell>
        </row>
        <row r="457">
          <cell r="A457">
            <v>215259</v>
          </cell>
          <cell r="B457">
            <v>1060989381</v>
          </cell>
          <cell r="C457" t="str">
            <v>PAPAMIJA TELLO YIMI ARLEY</v>
          </cell>
          <cell r="D457">
            <v>800000</v>
          </cell>
          <cell r="E457" t="str">
            <v>SURAMERICANA EPS</v>
          </cell>
        </row>
        <row r="458">
          <cell r="A458">
            <v>215260</v>
          </cell>
          <cell r="B458">
            <v>1030624951</v>
          </cell>
          <cell r="C458" t="str">
            <v>PAZ ESQUIVEL JUAN SEBASTIAN</v>
          </cell>
          <cell r="D458">
            <v>800000</v>
          </cell>
          <cell r="E458" t="str">
            <v>CAFESALUD E.P.S.</v>
          </cell>
        </row>
        <row r="459">
          <cell r="A459">
            <v>215261</v>
          </cell>
          <cell r="B459">
            <v>80897363</v>
          </cell>
          <cell r="C459" t="str">
            <v>RESTREPO MUNETON VICTOR MANUEL</v>
          </cell>
          <cell r="D459">
            <v>800000</v>
          </cell>
          <cell r="E459" t="str">
            <v>SALUD TOTAL EPS</v>
          </cell>
        </row>
        <row r="460">
          <cell r="A460">
            <v>215262</v>
          </cell>
          <cell r="B460">
            <v>1030679689</v>
          </cell>
          <cell r="C460" t="str">
            <v>MELO RODRIGUEZ SERGIO HERNAN</v>
          </cell>
          <cell r="D460">
            <v>644350</v>
          </cell>
          <cell r="E460" t="str">
            <v>FAMISANAR E.P.S.</v>
          </cell>
        </row>
        <row r="461">
          <cell r="A461">
            <v>215263</v>
          </cell>
          <cell r="B461">
            <v>1024525029</v>
          </cell>
          <cell r="C461" t="str">
            <v>RODRIGUEZ RIVAS MIGUEL ANGEL</v>
          </cell>
          <cell r="D461">
            <v>800000</v>
          </cell>
          <cell r="E461" t="str">
            <v>CAFESALUD E.P.S.</v>
          </cell>
        </row>
        <row r="462">
          <cell r="A462">
            <v>215264</v>
          </cell>
          <cell r="B462">
            <v>1022964161</v>
          </cell>
          <cell r="C462" t="str">
            <v>SANCHEZ QUIROZ CARLOS ANDRES</v>
          </cell>
          <cell r="D462">
            <v>800000</v>
          </cell>
          <cell r="E462" t="str">
            <v>SANITAS EPS</v>
          </cell>
        </row>
        <row r="463">
          <cell r="A463">
            <v>215265</v>
          </cell>
          <cell r="B463">
            <v>1015430018</v>
          </cell>
          <cell r="C463" t="str">
            <v>TOVAR PINZON KEVIN BRANDON</v>
          </cell>
          <cell r="D463">
            <v>800000</v>
          </cell>
          <cell r="E463" t="str">
            <v>CAFESALUD E.P.S.</v>
          </cell>
        </row>
        <row r="464">
          <cell r="A464">
            <v>215266</v>
          </cell>
          <cell r="B464">
            <v>1024554617</v>
          </cell>
          <cell r="C464" t="str">
            <v>SIERRA SANCHEZ HEIGNER GIOVANNI</v>
          </cell>
          <cell r="D464">
            <v>800000</v>
          </cell>
          <cell r="E464" t="str">
            <v>SALUD TOTAL EPS</v>
          </cell>
        </row>
        <row r="465">
          <cell r="A465">
            <v>215267</v>
          </cell>
          <cell r="B465">
            <v>1010184337</v>
          </cell>
          <cell r="C465" t="str">
            <v>TRIANA GUTIERREZ JEISSON DAVID</v>
          </cell>
          <cell r="D465">
            <v>800000</v>
          </cell>
          <cell r="E465" t="str">
            <v>CRUZ BLANCA E.P.S.</v>
          </cell>
        </row>
        <row r="466">
          <cell r="A466">
            <v>215268</v>
          </cell>
          <cell r="B466">
            <v>93090393</v>
          </cell>
          <cell r="C466" t="str">
            <v>VASQUEZ   PABLO HURLEY</v>
          </cell>
          <cell r="D466">
            <v>800000</v>
          </cell>
          <cell r="E466" t="str">
            <v>SALUD TOTAL EPS</v>
          </cell>
        </row>
        <row r="467">
          <cell r="A467">
            <v>215269</v>
          </cell>
          <cell r="B467">
            <v>1019062761</v>
          </cell>
          <cell r="C467" t="str">
            <v>VILLANUEVA LEGUIZAMON CAMILO ANDRES</v>
          </cell>
          <cell r="D467">
            <v>720000</v>
          </cell>
          <cell r="E467" t="str">
            <v>COOMEVA EPS</v>
          </cell>
        </row>
        <row r="468">
          <cell r="A468">
            <v>215270</v>
          </cell>
          <cell r="B468">
            <v>79898453</v>
          </cell>
          <cell r="C468" t="str">
            <v>RODRIGUEZ FETECUA JOHN FREDY</v>
          </cell>
          <cell r="D468">
            <v>800000</v>
          </cell>
          <cell r="E468" t="str">
            <v>CAFESALUD E.P.S.</v>
          </cell>
        </row>
        <row r="469">
          <cell r="A469">
            <v>215272</v>
          </cell>
          <cell r="B469">
            <v>73546740</v>
          </cell>
          <cell r="C469" t="str">
            <v>OCHOA DIAZ EDWIN JAVIER</v>
          </cell>
          <cell r="D469">
            <v>800000</v>
          </cell>
          <cell r="E469" t="str">
            <v>CAFESALUD E.P.S.</v>
          </cell>
        </row>
        <row r="470">
          <cell r="A470">
            <v>215273</v>
          </cell>
          <cell r="B470">
            <v>1030573646</v>
          </cell>
          <cell r="C470" t="str">
            <v>CAGUA TIRIA YECID LEONARDO</v>
          </cell>
          <cell r="D470">
            <v>800000</v>
          </cell>
          <cell r="E470" t="str">
            <v>NUEVA EPS</v>
          </cell>
        </row>
        <row r="471">
          <cell r="A471">
            <v>215274</v>
          </cell>
          <cell r="B471">
            <v>1079605118</v>
          </cell>
          <cell r="C471" t="str">
            <v>MAHECHA CHIMBACO FREDY</v>
          </cell>
          <cell r="D471">
            <v>800000</v>
          </cell>
          <cell r="E471" t="str">
            <v>CAFESALUD E.P.S.</v>
          </cell>
        </row>
        <row r="472">
          <cell r="A472">
            <v>215275</v>
          </cell>
          <cell r="B472">
            <v>1000332743</v>
          </cell>
          <cell r="C472" t="str">
            <v>ALVAREZ LIEVANO PAOLA ANDREA</v>
          </cell>
          <cell r="D472">
            <v>1700000</v>
          </cell>
          <cell r="E472" t="str">
            <v>COMPENSAR EPS</v>
          </cell>
        </row>
        <row r="473">
          <cell r="A473">
            <v>215276</v>
          </cell>
          <cell r="B473">
            <v>1140847867</v>
          </cell>
          <cell r="C473" t="str">
            <v>CARRASCO DURANGO LUISA FERNANDA</v>
          </cell>
          <cell r="D473">
            <v>1950000</v>
          </cell>
          <cell r="E473" t="str">
            <v>CAFESALUD E.P.S.</v>
          </cell>
        </row>
        <row r="474">
          <cell r="A474">
            <v>215277</v>
          </cell>
          <cell r="B474">
            <v>1020712597</v>
          </cell>
          <cell r="C474" t="str">
            <v>SANCHEZ TORRES DIANA MARCELA</v>
          </cell>
          <cell r="D474">
            <v>2400000</v>
          </cell>
          <cell r="E474" t="str">
            <v>COMPENSAR EPS</v>
          </cell>
        </row>
        <row r="475">
          <cell r="A475">
            <v>215285</v>
          </cell>
          <cell r="B475">
            <v>1032473909</v>
          </cell>
          <cell r="C475" t="str">
            <v>PINERES FORERO GERMAN DANIEL</v>
          </cell>
          <cell r="D475">
            <v>882800</v>
          </cell>
          <cell r="E475" t="str">
            <v>FAMISANAR E.P.S.</v>
          </cell>
        </row>
        <row r="476">
          <cell r="A476">
            <v>215286</v>
          </cell>
          <cell r="B476">
            <v>1030616690</v>
          </cell>
          <cell r="C476" t="str">
            <v>OCHOA CASALLAS KEVIN EDUARDO</v>
          </cell>
          <cell r="D476">
            <v>720000</v>
          </cell>
          <cell r="E476" t="str">
            <v>SALUD TOTAL EPS</v>
          </cell>
        </row>
        <row r="477">
          <cell r="A477">
            <v>215287</v>
          </cell>
          <cell r="B477">
            <v>1022373907</v>
          </cell>
          <cell r="C477" t="str">
            <v>GOMEZ ARANZAZU INGRID LORENA</v>
          </cell>
          <cell r="D477">
            <v>1485000</v>
          </cell>
          <cell r="E477" t="str">
            <v>FAMISANAR E.P.S.</v>
          </cell>
        </row>
        <row r="478">
          <cell r="A478">
            <v>215288</v>
          </cell>
          <cell r="B478">
            <v>1033711998</v>
          </cell>
          <cell r="C478" t="str">
            <v>GARCIA MONTOYA JEISON STEVEN</v>
          </cell>
          <cell r="D478">
            <v>720000</v>
          </cell>
          <cell r="E478" t="str">
            <v>FAMISANAR E.P.S.</v>
          </cell>
        </row>
        <row r="479">
          <cell r="A479">
            <v>215289</v>
          </cell>
          <cell r="B479">
            <v>1071165893</v>
          </cell>
          <cell r="C479" t="str">
            <v>PRIETO DOMINGUEZ GENNY CATHERINE</v>
          </cell>
          <cell r="D479">
            <v>3000000</v>
          </cell>
          <cell r="E479" t="str">
            <v>CRUZ BLANCA E.P.S.</v>
          </cell>
        </row>
        <row r="480">
          <cell r="A480">
            <v>215291</v>
          </cell>
          <cell r="B480">
            <v>52525202</v>
          </cell>
          <cell r="C480" t="str">
            <v>RINCON GARZON INGRID MILENA</v>
          </cell>
          <cell r="D480">
            <v>3000000</v>
          </cell>
          <cell r="E480" t="str">
            <v>COMPENSAR EPS</v>
          </cell>
        </row>
        <row r="481">
          <cell r="A481">
            <v>215305</v>
          </cell>
          <cell r="B481">
            <v>1022335070</v>
          </cell>
          <cell r="C481" t="str">
            <v>TORRES DAVILA MARIA FERNANDA</v>
          </cell>
          <cell r="D481">
            <v>1500000</v>
          </cell>
          <cell r="E481" t="str">
            <v>COMPENSAR EPS</v>
          </cell>
        </row>
        <row r="482">
          <cell r="A482">
            <v>215306</v>
          </cell>
          <cell r="B482">
            <v>1000696556</v>
          </cell>
          <cell r="C482" t="str">
            <v>GALEANO CHISCO WILMAR GUSTAVO</v>
          </cell>
          <cell r="D482">
            <v>3500000</v>
          </cell>
          <cell r="E482" t="str">
            <v>SANITAS EPS</v>
          </cell>
        </row>
        <row r="483">
          <cell r="A483">
            <v>215307</v>
          </cell>
          <cell r="B483">
            <v>1023893780</v>
          </cell>
          <cell r="C483" t="str">
            <v>RODRIGUEZ CARDOZO MICHAEL STEVEN</v>
          </cell>
          <cell r="D483">
            <v>1500000</v>
          </cell>
          <cell r="E483" t="str">
            <v>FAMISANAR E.P.S.</v>
          </cell>
        </row>
        <row r="484">
          <cell r="A484">
            <v>215309</v>
          </cell>
          <cell r="B484">
            <v>550223</v>
          </cell>
          <cell r="C484" t="str">
            <v>BONALDI   ELISA MARIE</v>
          </cell>
          <cell r="D484">
            <v>12800000</v>
          </cell>
          <cell r="E484" t="str">
            <v>SANITAS EPS</v>
          </cell>
        </row>
        <row r="485">
          <cell r="A485">
            <v>215310</v>
          </cell>
          <cell r="B485">
            <v>1012441424</v>
          </cell>
          <cell r="C485" t="str">
            <v>JIMENEZ CASALLAS OLGA YULIET</v>
          </cell>
          <cell r="D485">
            <v>644400</v>
          </cell>
          <cell r="E485" t="str">
            <v>NUEVA EPS</v>
          </cell>
        </row>
        <row r="486">
          <cell r="A486">
            <v>215311</v>
          </cell>
          <cell r="B486">
            <v>1076662158</v>
          </cell>
          <cell r="C486" t="str">
            <v>DIAZ CASTIBLANCO CATALINA</v>
          </cell>
          <cell r="D486">
            <v>644400</v>
          </cell>
          <cell r="E486" t="str">
            <v>EPS-S Convida</v>
          </cell>
        </row>
        <row r="487">
          <cell r="A487">
            <v>215312</v>
          </cell>
          <cell r="B487">
            <v>1023943378</v>
          </cell>
          <cell r="C487" t="str">
            <v>RODRIGUEZ MORA CESAR AUGUSTO</v>
          </cell>
          <cell r="D487">
            <v>644400</v>
          </cell>
          <cell r="E487" t="str">
            <v>COMPENSAR EPS</v>
          </cell>
        </row>
        <row r="488">
          <cell r="A488">
            <v>215314</v>
          </cell>
          <cell r="B488">
            <v>1016092511</v>
          </cell>
          <cell r="C488" t="str">
            <v>BERMUDEZ CASTILLO LUISA FERNANDA</v>
          </cell>
          <cell r="D488">
            <v>644400</v>
          </cell>
          <cell r="E488" t="str">
            <v>COMPENSAR EPS</v>
          </cell>
        </row>
        <row r="489">
          <cell r="A489">
            <v>215318</v>
          </cell>
          <cell r="B489">
            <v>1018439320</v>
          </cell>
          <cell r="C489" t="str">
            <v>CARO BARRANTES LEYDI JOHANA</v>
          </cell>
          <cell r="D489">
            <v>3200000</v>
          </cell>
          <cell r="E489" t="str">
            <v>SANITAS EPS</v>
          </cell>
        </row>
        <row r="490">
          <cell r="A490">
            <v>215319</v>
          </cell>
          <cell r="B490">
            <v>1045702577</v>
          </cell>
          <cell r="C490" t="str">
            <v>CASTRO DEL PORTILLO JOSE</v>
          </cell>
          <cell r="D490">
            <v>2300000</v>
          </cell>
          <cell r="E490" t="str">
            <v>SALUD TOTAL EPS</v>
          </cell>
        </row>
        <row r="491">
          <cell r="A491">
            <v>215321</v>
          </cell>
          <cell r="B491">
            <v>1032473217</v>
          </cell>
          <cell r="C491" t="str">
            <v>FORERO OCHOA OSCAR</v>
          </cell>
          <cell r="D491">
            <v>720000</v>
          </cell>
          <cell r="E491" t="str">
            <v>FAMISANAR E.P.S.</v>
          </cell>
        </row>
        <row r="492">
          <cell r="A492">
            <v>215322</v>
          </cell>
          <cell r="B492">
            <v>1024575889</v>
          </cell>
          <cell r="C492" t="str">
            <v>LUGO GONZALEZ JENIFER PAOLA</v>
          </cell>
          <cell r="D492">
            <v>644400</v>
          </cell>
          <cell r="E492" t="str">
            <v>FAMISANAR E.P.S.</v>
          </cell>
        </row>
        <row r="493">
          <cell r="A493">
            <v>215323</v>
          </cell>
          <cell r="B493">
            <v>52791193</v>
          </cell>
          <cell r="C493" t="str">
            <v>MARTINEZ NOVOA PAOLA ANDREA</v>
          </cell>
          <cell r="D493">
            <v>2300000</v>
          </cell>
          <cell r="E493" t="str">
            <v>COMPENSAR EPS</v>
          </cell>
        </row>
        <row r="494">
          <cell r="A494">
            <v>215324</v>
          </cell>
          <cell r="B494">
            <v>28558669</v>
          </cell>
          <cell r="C494" t="str">
            <v>RONCANCIO MENDEZ PAOLA</v>
          </cell>
          <cell r="D494">
            <v>1600000</v>
          </cell>
          <cell r="E494" t="str">
            <v>SALUD TOTAL EPS</v>
          </cell>
        </row>
        <row r="495">
          <cell r="A495">
            <v>215325</v>
          </cell>
          <cell r="B495">
            <v>38603725</v>
          </cell>
          <cell r="C495" t="str">
            <v>CARRILLO SUAREZ MARIA ANYELINE</v>
          </cell>
          <cell r="D495">
            <v>5200000</v>
          </cell>
          <cell r="E495" t="str">
            <v>SURAMERICANA EPS</v>
          </cell>
        </row>
        <row r="496">
          <cell r="A496">
            <v>215326</v>
          </cell>
          <cell r="B496">
            <v>52991004</v>
          </cell>
          <cell r="C496" t="str">
            <v>GONZALEZ SEGURA JENNY CATALINA</v>
          </cell>
          <cell r="D496">
            <v>5200000</v>
          </cell>
          <cell r="E496" t="str">
            <v>SURAMERICANA EPS</v>
          </cell>
        </row>
        <row r="497">
          <cell r="A497">
            <v>215327</v>
          </cell>
          <cell r="B497">
            <v>72292259</v>
          </cell>
          <cell r="C497" t="str">
            <v>ARIAS MEJIA ESTEBAN</v>
          </cell>
          <cell r="D497">
            <v>5200000</v>
          </cell>
          <cell r="E497" t="str">
            <v>SANITAS EPS</v>
          </cell>
        </row>
        <row r="498">
          <cell r="A498">
            <v>215328</v>
          </cell>
          <cell r="B498">
            <v>562259</v>
          </cell>
          <cell r="C498" t="str">
            <v>VILLEGAS AGUILERA ARISTIDES RICARDO</v>
          </cell>
          <cell r="D498">
            <v>3200000</v>
          </cell>
          <cell r="E498" t="str">
            <v>SANITAS EPS</v>
          </cell>
        </row>
        <row r="499">
          <cell r="A499">
            <v>215329</v>
          </cell>
          <cell r="B499">
            <v>1022385229</v>
          </cell>
          <cell r="C499" t="str">
            <v>ROSERO MARMOL MAYRA  ALEJANDRA</v>
          </cell>
          <cell r="D499">
            <v>1930100</v>
          </cell>
          <cell r="E499" t="str">
            <v>FAMISANAR E.P.S.</v>
          </cell>
        </row>
        <row r="500">
          <cell r="A500">
            <v>215330</v>
          </cell>
          <cell r="B500">
            <v>1129515232</v>
          </cell>
          <cell r="C500" t="str">
            <v>NAVARRO VIDES MARIA MARCELA</v>
          </cell>
          <cell r="D500">
            <v>2381400</v>
          </cell>
          <cell r="E500" t="str">
            <v>SURAMERICANA EPS</v>
          </cell>
        </row>
        <row r="501">
          <cell r="A501">
            <v>215331</v>
          </cell>
          <cell r="B501">
            <v>1098614900</v>
          </cell>
          <cell r="C501" t="str">
            <v>MARTINEZ BASTO FABIAN JOSE</v>
          </cell>
          <cell r="D501">
            <v>3200000</v>
          </cell>
          <cell r="E501" t="str">
            <v>SANITAS EPS</v>
          </cell>
        </row>
        <row r="502">
          <cell r="A502">
            <v>215332</v>
          </cell>
          <cell r="B502">
            <v>41872621</v>
          </cell>
          <cell r="C502" t="str">
            <v>ASTUDILLO LOAIZA SANDRA LILIANA</v>
          </cell>
          <cell r="D502">
            <v>2550000</v>
          </cell>
          <cell r="E502" t="str">
            <v>COMPENSAR EPS</v>
          </cell>
        </row>
        <row r="503">
          <cell r="A503">
            <v>215333</v>
          </cell>
          <cell r="B503">
            <v>52996634</v>
          </cell>
          <cell r="C503" t="str">
            <v>SANTAMARIA OSORIO MARCIA IVONNE</v>
          </cell>
          <cell r="D503">
            <v>5200000</v>
          </cell>
          <cell r="E503" t="e">
            <v>#N/A</v>
          </cell>
        </row>
        <row r="504">
          <cell r="A504">
            <v>215334</v>
          </cell>
          <cell r="B504">
            <v>80804304</v>
          </cell>
          <cell r="C504" t="str">
            <v>BARACALDO APONTE JUAN CARLOS</v>
          </cell>
          <cell r="D504">
            <v>13870000</v>
          </cell>
          <cell r="E504" t="e">
            <v>#N/A</v>
          </cell>
        </row>
        <row r="505">
          <cell r="A505">
            <v>215337</v>
          </cell>
          <cell r="B505">
            <v>97122717511</v>
          </cell>
          <cell r="C505" t="str">
            <v>ORTIZ PRADA JENNIFER LORENA</v>
          </cell>
          <cell r="D505">
            <v>644400</v>
          </cell>
          <cell r="E505" t="e">
            <v>#N/A</v>
          </cell>
        </row>
        <row r="506">
          <cell r="A506">
            <v>215338</v>
          </cell>
          <cell r="B506">
            <v>1016051632</v>
          </cell>
          <cell r="C506" t="str">
            <v>MALPICA PULIDO LEIDI JOHANA</v>
          </cell>
          <cell r="D506">
            <v>720000</v>
          </cell>
          <cell r="E506" t="e">
            <v>#N/A</v>
          </cell>
        </row>
        <row r="507">
          <cell r="A507">
            <v>315338</v>
          </cell>
          <cell r="B507">
            <v>1030670614</v>
          </cell>
          <cell r="C507" t="str">
            <v>TOLOZA VARGAS CHAVELI  ANDREA</v>
          </cell>
          <cell r="D507">
            <v>720000</v>
          </cell>
          <cell r="E507" t="str">
            <v>FAMISANAR E.P.S.</v>
          </cell>
        </row>
        <row r="508">
          <cell r="A508">
            <v>760203</v>
          </cell>
          <cell r="B508">
            <v>19301775</v>
          </cell>
          <cell r="C508" t="str">
            <v>RODRIGUEZ LOPEZ LUIS ERNESTO</v>
          </cell>
          <cell r="D508">
            <v>1934000</v>
          </cell>
          <cell r="E508" t="str">
            <v>NUEVA EPS</v>
          </cell>
        </row>
        <row r="509">
          <cell r="A509">
            <v>770327</v>
          </cell>
          <cell r="B509">
            <v>19313803</v>
          </cell>
          <cell r="C509" t="str">
            <v>GONZALEZ PENA CARLOS ARTURO</v>
          </cell>
          <cell r="D509">
            <v>7252600</v>
          </cell>
          <cell r="E509" t="str">
            <v>SANITAS EPS</v>
          </cell>
        </row>
        <row r="510">
          <cell r="A510">
            <v>780067</v>
          </cell>
          <cell r="B510">
            <v>41790318</v>
          </cell>
          <cell r="C510" t="str">
            <v>MELO MONROY ADRIANA</v>
          </cell>
          <cell r="D510">
            <v>3067300</v>
          </cell>
          <cell r="E510" t="str">
            <v>COMPENSAR EPS</v>
          </cell>
        </row>
        <row r="511">
          <cell r="A511">
            <v>790202</v>
          </cell>
          <cell r="B511">
            <v>79253678</v>
          </cell>
          <cell r="C511" t="str">
            <v>BEJARANO   JESUS ALBERTO</v>
          </cell>
          <cell r="D511">
            <v>2827300</v>
          </cell>
          <cell r="E511" t="str">
            <v>FAMISANAR E.P.S.</v>
          </cell>
        </row>
        <row r="512">
          <cell r="A512">
            <v>790741</v>
          </cell>
          <cell r="B512">
            <v>79140852</v>
          </cell>
          <cell r="C512" t="str">
            <v>CARDOZO NIETO PEDRO LUBIN</v>
          </cell>
          <cell r="D512">
            <v>1602500</v>
          </cell>
          <cell r="E512" t="str">
            <v>COOMEVA EPS</v>
          </cell>
        </row>
        <row r="513">
          <cell r="A513">
            <v>800811</v>
          </cell>
          <cell r="B513">
            <v>3213291</v>
          </cell>
          <cell r="C513" t="str">
            <v>MOJICA CARABALLO ISIDRO</v>
          </cell>
          <cell r="D513">
            <v>2795300</v>
          </cell>
          <cell r="E513" t="str">
            <v>NUEVA EPS</v>
          </cell>
        </row>
        <row r="514">
          <cell r="A514">
            <v>800844</v>
          </cell>
          <cell r="B514">
            <v>3100538</v>
          </cell>
          <cell r="C514" t="str">
            <v>GOMEZ GARZON HECTOR MANUEL</v>
          </cell>
          <cell r="D514">
            <v>2589000</v>
          </cell>
          <cell r="E514" t="str">
            <v>FAMISANAR E.P.S.</v>
          </cell>
        </row>
        <row r="515">
          <cell r="A515">
            <v>810133</v>
          </cell>
          <cell r="B515">
            <v>17667835</v>
          </cell>
          <cell r="C515" t="str">
            <v>RODRIGUEZ OYOLA JOSE ENEIN</v>
          </cell>
          <cell r="D515">
            <v>1602500</v>
          </cell>
          <cell r="E515" t="str">
            <v>NUEVA EPS</v>
          </cell>
        </row>
        <row r="516">
          <cell r="A516">
            <v>810584</v>
          </cell>
          <cell r="B516">
            <v>13951979</v>
          </cell>
          <cell r="C516" t="str">
            <v>SANTAMARIA MOGOLLON MIGUEL ALFREDO</v>
          </cell>
          <cell r="D516">
            <v>1602500</v>
          </cell>
          <cell r="E516" t="str">
            <v>SANITAS EPS</v>
          </cell>
        </row>
        <row r="517">
          <cell r="A517">
            <v>810793</v>
          </cell>
          <cell r="B517">
            <v>51627840</v>
          </cell>
          <cell r="C517" t="str">
            <v>CEDIEL SUAREZ MARTHA YANETH</v>
          </cell>
          <cell r="D517">
            <v>6361700</v>
          </cell>
          <cell r="E517" t="str">
            <v>SANITAS EPS</v>
          </cell>
        </row>
        <row r="518">
          <cell r="A518">
            <v>810825</v>
          </cell>
          <cell r="B518">
            <v>3061477</v>
          </cell>
          <cell r="C518" t="str">
            <v>LADINO MORENO HECTOR ARTURO</v>
          </cell>
          <cell r="D518">
            <v>2795300</v>
          </cell>
          <cell r="E518" t="str">
            <v>FAMISANAR E.P.S.</v>
          </cell>
        </row>
        <row r="519">
          <cell r="A519">
            <v>810913</v>
          </cell>
          <cell r="B519">
            <v>13952606</v>
          </cell>
          <cell r="C519" t="str">
            <v>RAMIREZ OLARTE ALEJANDRO</v>
          </cell>
          <cell r="D519">
            <v>1531300</v>
          </cell>
          <cell r="E519" t="str">
            <v>FAMISANAR E.P.S.</v>
          </cell>
        </row>
        <row r="520">
          <cell r="A520">
            <v>810991</v>
          </cell>
          <cell r="B520">
            <v>79259223</v>
          </cell>
          <cell r="C520" t="str">
            <v>MORENO RABON MIGUEL ANTONIO</v>
          </cell>
          <cell r="D520">
            <v>2887300</v>
          </cell>
          <cell r="E520" t="str">
            <v>FAMISANAR E.P.S.</v>
          </cell>
        </row>
        <row r="521">
          <cell r="A521">
            <v>811415</v>
          </cell>
          <cell r="B521">
            <v>4285522</v>
          </cell>
          <cell r="C521" t="str">
            <v>PLAZAS SUAREZ JOSE VICENTE</v>
          </cell>
          <cell r="D521">
            <v>1869300</v>
          </cell>
          <cell r="E521" t="str">
            <v>FAMISANAR E.P.S.</v>
          </cell>
        </row>
        <row r="522">
          <cell r="A522">
            <v>820015</v>
          </cell>
          <cell r="B522">
            <v>19383977</v>
          </cell>
          <cell r="C522" t="str">
            <v>PINZON AGUILAR JAVIER ALFONSO</v>
          </cell>
          <cell r="D522">
            <v>18498000</v>
          </cell>
          <cell r="E522" t="str">
            <v>SANITAS EPS</v>
          </cell>
        </row>
        <row r="523">
          <cell r="A523">
            <v>820422</v>
          </cell>
          <cell r="B523">
            <v>51669202</v>
          </cell>
          <cell r="C523" t="str">
            <v>RAMIREZ ARDILA MYRIAM</v>
          </cell>
          <cell r="D523">
            <v>1318200</v>
          </cell>
          <cell r="E523" t="str">
            <v>FAMISANAR E.P.S.</v>
          </cell>
        </row>
        <row r="524">
          <cell r="A524">
            <v>820444</v>
          </cell>
          <cell r="B524">
            <v>5882589</v>
          </cell>
          <cell r="C524" t="str">
            <v>RODRIGUEZ DIAZ JESUS MARIA</v>
          </cell>
          <cell r="D524">
            <v>2795300</v>
          </cell>
          <cell r="E524" t="str">
            <v>FAMISANAR E.P.S.</v>
          </cell>
        </row>
        <row r="525">
          <cell r="A525">
            <v>820620</v>
          </cell>
          <cell r="B525">
            <v>79202411</v>
          </cell>
          <cell r="C525" t="str">
            <v>NIAMPIRA GONZALEZ JORGE ENRIQUE</v>
          </cell>
          <cell r="D525">
            <v>1602500</v>
          </cell>
          <cell r="E525" t="str">
            <v>FAMISANAR E.P.S.</v>
          </cell>
        </row>
        <row r="526">
          <cell r="A526">
            <v>820642</v>
          </cell>
          <cell r="B526">
            <v>5975666</v>
          </cell>
          <cell r="C526" t="str">
            <v>NIETO POLANCO FELIX ANTONIO</v>
          </cell>
          <cell r="D526">
            <v>2827300</v>
          </cell>
          <cell r="E526" t="str">
            <v>FAMISANAR E.P.S.</v>
          </cell>
        </row>
        <row r="527">
          <cell r="A527">
            <v>820817</v>
          </cell>
          <cell r="B527">
            <v>19318641</v>
          </cell>
          <cell r="C527" t="str">
            <v>GONZALEZ BETANCOURT ELIFAR ALFONSO</v>
          </cell>
          <cell r="D527">
            <v>2631000</v>
          </cell>
          <cell r="E527" t="str">
            <v>NUEVA EPS</v>
          </cell>
        </row>
        <row r="528">
          <cell r="A528">
            <v>820828</v>
          </cell>
          <cell r="B528">
            <v>19441869</v>
          </cell>
          <cell r="C528" t="str">
            <v>OVALLE CUERVO HECTOR MANUEL</v>
          </cell>
          <cell r="D528">
            <v>2277400</v>
          </cell>
          <cell r="E528" t="str">
            <v>FAMISANAR E.P.S.</v>
          </cell>
        </row>
        <row r="529">
          <cell r="A529">
            <v>820851</v>
          </cell>
          <cell r="B529">
            <v>13951343</v>
          </cell>
          <cell r="C529" t="str">
            <v>GALEANO GALEANO POLICARPO</v>
          </cell>
          <cell r="D529">
            <v>2795300</v>
          </cell>
          <cell r="E529" t="str">
            <v>NUEVA EPS</v>
          </cell>
        </row>
        <row r="530">
          <cell r="A530">
            <v>821287</v>
          </cell>
          <cell r="B530">
            <v>19457595</v>
          </cell>
          <cell r="C530" t="str">
            <v>PENUELA OMBITA HERNANDO DIOSELINO</v>
          </cell>
          <cell r="D530">
            <v>2873800</v>
          </cell>
          <cell r="E530" t="str">
            <v>FAMISANAR E.P.S.</v>
          </cell>
        </row>
        <row r="531">
          <cell r="A531">
            <v>821616</v>
          </cell>
          <cell r="B531">
            <v>19330076</v>
          </cell>
          <cell r="C531" t="str">
            <v>LOPEZ MARTINEZ ALFONSO ENRIQUE</v>
          </cell>
          <cell r="D531">
            <v>1498800</v>
          </cell>
          <cell r="E531" t="str">
            <v>FAMISANAR E.P.S.</v>
          </cell>
        </row>
        <row r="532">
          <cell r="A532">
            <v>821704</v>
          </cell>
          <cell r="B532">
            <v>79119959</v>
          </cell>
          <cell r="C532" t="str">
            <v>ARIAS PAEZ JOSE SALCEDO</v>
          </cell>
          <cell r="D532">
            <v>1602500</v>
          </cell>
          <cell r="E532" t="str">
            <v>CRUZ BLANCA E.P.S.</v>
          </cell>
        </row>
        <row r="533">
          <cell r="A533">
            <v>830326</v>
          </cell>
          <cell r="B533">
            <v>6612566</v>
          </cell>
          <cell r="C533" t="str">
            <v>SEPULVEDA RAMIREZ VENANCIO</v>
          </cell>
          <cell r="D533">
            <v>1599700</v>
          </cell>
          <cell r="E533" t="str">
            <v>NUEVA EPS</v>
          </cell>
        </row>
        <row r="534">
          <cell r="A534">
            <v>830810</v>
          </cell>
          <cell r="B534">
            <v>7302552</v>
          </cell>
          <cell r="C534" t="str">
            <v>MONSALVE RIVERA JORGE EDINSON</v>
          </cell>
          <cell r="D534">
            <v>1545200</v>
          </cell>
          <cell r="E534" t="str">
            <v>COMPENSAR EPS</v>
          </cell>
        </row>
        <row r="535">
          <cell r="A535">
            <v>831334</v>
          </cell>
          <cell r="B535">
            <v>16272661</v>
          </cell>
          <cell r="C535" t="str">
            <v>ZUNIGA LOPEZ AGOBARDO</v>
          </cell>
          <cell r="D535">
            <v>3302400</v>
          </cell>
          <cell r="E535" t="str">
            <v>FAMISANAR E.P.S.</v>
          </cell>
        </row>
        <row r="536">
          <cell r="A536">
            <v>831576</v>
          </cell>
          <cell r="B536">
            <v>4090378</v>
          </cell>
          <cell r="C536" t="str">
            <v>MOLINA SANABRIA JULIO</v>
          </cell>
          <cell r="D536">
            <v>1405200</v>
          </cell>
          <cell r="E536" t="str">
            <v>FAMISANAR E.P.S.</v>
          </cell>
        </row>
        <row r="537">
          <cell r="A537">
            <v>831620</v>
          </cell>
          <cell r="B537">
            <v>79346451</v>
          </cell>
          <cell r="C537" t="str">
            <v>CARRENO CUADROS HUMBERTO</v>
          </cell>
          <cell r="D537">
            <v>1429300</v>
          </cell>
          <cell r="E537" t="str">
            <v>FAMISANAR E.P.S.</v>
          </cell>
        </row>
        <row r="538">
          <cell r="A538">
            <v>831796</v>
          </cell>
          <cell r="B538">
            <v>19421812</v>
          </cell>
          <cell r="C538" t="str">
            <v>HIGUERA VARGAS CESAR</v>
          </cell>
          <cell r="D538">
            <v>1740100</v>
          </cell>
          <cell r="E538" t="str">
            <v>NUEVA EPS</v>
          </cell>
        </row>
        <row r="539">
          <cell r="A539">
            <v>831817</v>
          </cell>
          <cell r="B539">
            <v>10241519</v>
          </cell>
          <cell r="C539" t="str">
            <v>ARENAS VALENCIA CARLOS ARTURO</v>
          </cell>
          <cell r="D539">
            <v>2368800</v>
          </cell>
          <cell r="E539" t="str">
            <v>FAMISANAR E.P.S.</v>
          </cell>
        </row>
        <row r="540">
          <cell r="A540">
            <v>831895</v>
          </cell>
          <cell r="B540">
            <v>79145711</v>
          </cell>
          <cell r="C540" t="str">
            <v>MENDOZA ESTRADA MAURICIO</v>
          </cell>
          <cell r="D540">
            <v>15797000</v>
          </cell>
          <cell r="E540" t="str">
            <v>ALIANSALUD EPS</v>
          </cell>
        </row>
        <row r="541">
          <cell r="A541">
            <v>840505</v>
          </cell>
          <cell r="B541">
            <v>79100312</v>
          </cell>
          <cell r="C541" t="str">
            <v>OCAMPO NIETO CARLOS EMIRO</v>
          </cell>
          <cell r="D541">
            <v>1744600</v>
          </cell>
          <cell r="E541" t="str">
            <v>FAMISANAR E.P.S.</v>
          </cell>
        </row>
        <row r="542">
          <cell r="A542">
            <v>840538</v>
          </cell>
          <cell r="B542">
            <v>6772069</v>
          </cell>
          <cell r="C542" t="str">
            <v>FUENTES SISA MARCO TULIO</v>
          </cell>
          <cell r="D542">
            <v>1747700</v>
          </cell>
          <cell r="E542" t="str">
            <v>FAMISANAR E.P.S.</v>
          </cell>
        </row>
        <row r="543">
          <cell r="A543">
            <v>840594</v>
          </cell>
          <cell r="B543">
            <v>3069629</v>
          </cell>
          <cell r="C543" t="str">
            <v>COLORADO ALEMAN RAUL</v>
          </cell>
          <cell r="D543">
            <v>1405200</v>
          </cell>
          <cell r="E543" t="str">
            <v>NUEVA EPS</v>
          </cell>
        </row>
        <row r="544">
          <cell r="A544">
            <v>840714</v>
          </cell>
          <cell r="B544">
            <v>20659755</v>
          </cell>
          <cell r="C544" t="str">
            <v>MAYORGA MORENO ELSA MARYORY</v>
          </cell>
          <cell r="D544">
            <v>1661600</v>
          </cell>
          <cell r="E544" t="str">
            <v>NUEVA EPS</v>
          </cell>
        </row>
        <row r="545">
          <cell r="A545">
            <v>850014</v>
          </cell>
          <cell r="B545">
            <v>19387065</v>
          </cell>
          <cell r="C545" t="str">
            <v>CALLEJAS SANTANA GUILLERMO</v>
          </cell>
          <cell r="D545">
            <v>1503200</v>
          </cell>
          <cell r="E545" t="str">
            <v>COMPENSAR EPS</v>
          </cell>
        </row>
        <row r="546">
          <cell r="A546">
            <v>850047</v>
          </cell>
          <cell r="B546">
            <v>19443855</v>
          </cell>
          <cell r="C546" t="str">
            <v>VIVAS MONTENEGRO MARCO ANTONIO</v>
          </cell>
          <cell r="D546">
            <v>1602500</v>
          </cell>
          <cell r="E546" t="str">
            <v>NUEVA EPS</v>
          </cell>
        </row>
        <row r="547">
          <cell r="A547">
            <v>850717</v>
          </cell>
          <cell r="B547">
            <v>79378903</v>
          </cell>
          <cell r="C547" t="str">
            <v>TRIANA   JOSE IGNACIO</v>
          </cell>
          <cell r="D547">
            <v>1804300</v>
          </cell>
          <cell r="E547" t="str">
            <v>COMPENSAR EPS</v>
          </cell>
        </row>
        <row r="548">
          <cell r="A548">
            <v>850784</v>
          </cell>
          <cell r="B548">
            <v>13954054</v>
          </cell>
          <cell r="C548" t="str">
            <v>DIAZ SERRANO JORGE ARMANDO</v>
          </cell>
          <cell r="D548">
            <v>1405200</v>
          </cell>
          <cell r="E548" t="str">
            <v>FAMISANAR E.P.S.</v>
          </cell>
        </row>
        <row r="549">
          <cell r="A549">
            <v>850904</v>
          </cell>
          <cell r="B549">
            <v>12123062</v>
          </cell>
          <cell r="C549" t="str">
            <v>FALLA   CUPERTINO</v>
          </cell>
          <cell r="D549">
            <v>2887200</v>
          </cell>
          <cell r="E549" t="str">
            <v>CRUZ BLANCA E.P.S.</v>
          </cell>
        </row>
        <row r="550">
          <cell r="A550">
            <v>851121</v>
          </cell>
          <cell r="B550">
            <v>19361473</v>
          </cell>
          <cell r="C550" t="str">
            <v>GUZMAN ESPITIA JOSE DEL CARMEN</v>
          </cell>
          <cell r="D550">
            <v>1547000</v>
          </cell>
          <cell r="E550" t="str">
            <v>FAMISANAR E.P.S.</v>
          </cell>
        </row>
        <row r="551">
          <cell r="A551">
            <v>860017</v>
          </cell>
          <cell r="B551">
            <v>79117050</v>
          </cell>
          <cell r="C551" t="str">
            <v>ALARCON   SEGUNDO ERNESTO</v>
          </cell>
          <cell r="D551">
            <v>1437100</v>
          </cell>
          <cell r="E551" t="str">
            <v>COMPENSAR EPS</v>
          </cell>
        </row>
        <row r="552">
          <cell r="A552">
            <v>860051</v>
          </cell>
          <cell r="B552">
            <v>7125136</v>
          </cell>
          <cell r="C552" t="str">
            <v>CACERES RIVEROS ALBERTO</v>
          </cell>
          <cell r="D552">
            <v>1355800</v>
          </cell>
          <cell r="E552" t="str">
            <v>FAMISANAR E.P.S.</v>
          </cell>
        </row>
        <row r="553">
          <cell r="A553">
            <v>860105</v>
          </cell>
          <cell r="B553">
            <v>4113337</v>
          </cell>
          <cell r="C553" t="str">
            <v>MUNOZ MARTINEZ JORGE EDUARDO</v>
          </cell>
          <cell r="D553">
            <v>1602500</v>
          </cell>
          <cell r="E553" t="str">
            <v>FAMISANAR E.P.S.</v>
          </cell>
        </row>
        <row r="554">
          <cell r="A554">
            <v>860303</v>
          </cell>
          <cell r="B554">
            <v>13923185</v>
          </cell>
          <cell r="C554" t="str">
            <v>RINCON BONILLA GERMAN</v>
          </cell>
          <cell r="D554">
            <v>1463300</v>
          </cell>
          <cell r="E554" t="str">
            <v>SANITAS EPS</v>
          </cell>
        </row>
        <row r="555">
          <cell r="A555">
            <v>860480</v>
          </cell>
          <cell r="B555">
            <v>321328</v>
          </cell>
          <cell r="C555" t="str">
            <v>CASTANEDA   ALVARO</v>
          </cell>
          <cell r="D555">
            <v>1405200</v>
          </cell>
          <cell r="E555" t="str">
            <v>FAMISANAR E.P.S.</v>
          </cell>
        </row>
        <row r="556">
          <cell r="A556">
            <v>860523</v>
          </cell>
          <cell r="B556">
            <v>51895311</v>
          </cell>
          <cell r="C556" t="str">
            <v>PENUELA GOMEZ MARTHA LUCIA</v>
          </cell>
          <cell r="D556">
            <v>1661600</v>
          </cell>
          <cell r="E556" t="str">
            <v>NUEVA EPS</v>
          </cell>
        </row>
        <row r="557">
          <cell r="A557">
            <v>860886</v>
          </cell>
          <cell r="B557">
            <v>79385734</v>
          </cell>
          <cell r="C557" t="str">
            <v>PADILLA RAMIREZ OSWALDO IGNACIO</v>
          </cell>
          <cell r="D557">
            <v>3302400</v>
          </cell>
          <cell r="E557" t="str">
            <v>SURAMERICANA EPS</v>
          </cell>
        </row>
        <row r="558">
          <cell r="A558">
            <v>861267</v>
          </cell>
          <cell r="B558">
            <v>79372003</v>
          </cell>
          <cell r="C558" t="str">
            <v>TOLOZA RINCON ELISEO</v>
          </cell>
          <cell r="D558">
            <v>2795300</v>
          </cell>
          <cell r="E558" t="str">
            <v>FAMISANAR E.P.S.</v>
          </cell>
        </row>
        <row r="559">
          <cell r="A559">
            <v>861322</v>
          </cell>
          <cell r="B559">
            <v>9531193</v>
          </cell>
          <cell r="C559" t="str">
            <v>ROJAS TAPIAS HERNANDO ALFONSO</v>
          </cell>
          <cell r="D559">
            <v>1602500</v>
          </cell>
          <cell r="E559" t="str">
            <v>FAMISANAR E.P.S.</v>
          </cell>
        </row>
        <row r="560">
          <cell r="A560">
            <v>861355</v>
          </cell>
          <cell r="B560">
            <v>79323513</v>
          </cell>
          <cell r="C560" t="str">
            <v>CASTRO HERNANDEZ EFRAIN</v>
          </cell>
          <cell r="D560">
            <v>1405200</v>
          </cell>
          <cell r="E560" t="str">
            <v>FAMISANAR E.P.S.</v>
          </cell>
        </row>
        <row r="561">
          <cell r="A561">
            <v>861399</v>
          </cell>
          <cell r="B561">
            <v>218292</v>
          </cell>
          <cell r="C561" t="str">
            <v>GALVIS TORRES LUIS ENRIQUE</v>
          </cell>
          <cell r="D561">
            <v>1560000</v>
          </cell>
          <cell r="E561" t="str">
            <v>SALUD TOTAL EPS</v>
          </cell>
        </row>
        <row r="562">
          <cell r="A562">
            <v>861410</v>
          </cell>
          <cell r="B562">
            <v>79369344</v>
          </cell>
          <cell r="C562" t="str">
            <v>HUERTAS BUITRAGO PABLO ENRIQUE</v>
          </cell>
          <cell r="D562">
            <v>3349600</v>
          </cell>
          <cell r="E562" t="str">
            <v>COMPENSAR EPS</v>
          </cell>
        </row>
        <row r="563">
          <cell r="A563">
            <v>861816</v>
          </cell>
          <cell r="B563">
            <v>79259749</v>
          </cell>
          <cell r="C563" t="str">
            <v>RUIZ CUBILLOS JESUS ANTONIO</v>
          </cell>
          <cell r="D563">
            <v>2157500</v>
          </cell>
          <cell r="E563" t="str">
            <v>FAMISANAR E.P.S.</v>
          </cell>
        </row>
        <row r="564">
          <cell r="A564">
            <v>861937</v>
          </cell>
          <cell r="B564">
            <v>51630169</v>
          </cell>
          <cell r="C564" t="str">
            <v>HERNANDEZ GOMEZ MARIA LILIANA</v>
          </cell>
          <cell r="D564">
            <v>9397200</v>
          </cell>
          <cell r="E564" t="str">
            <v>SANITAS EPS</v>
          </cell>
        </row>
        <row r="565">
          <cell r="A565">
            <v>862033</v>
          </cell>
          <cell r="B565">
            <v>80354049</v>
          </cell>
          <cell r="C565" t="str">
            <v>CASTANEDA CAICEDO DANIEL</v>
          </cell>
          <cell r="D565">
            <v>1437100</v>
          </cell>
          <cell r="E565" t="str">
            <v>FAMISANAR E.P.S.</v>
          </cell>
        </row>
        <row r="566">
          <cell r="A566">
            <v>862198</v>
          </cell>
          <cell r="B566">
            <v>80398378</v>
          </cell>
          <cell r="C566" t="str">
            <v>RODRIGUEZ GONZALEZ JAIRO ARTURO</v>
          </cell>
          <cell r="D566">
            <v>1545200</v>
          </cell>
          <cell r="E566" t="str">
            <v>COMPENSAR EPS</v>
          </cell>
        </row>
        <row r="567">
          <cell r="A567">
            <v>870010</v>
          </cell>
          <cell r="B567">
            <v>5770526</v>
          </cell>
          <cell r="C567" t="str">
            <v>BARENO QUIROGA NORBERTO</v>
          </cell>
          <cell r="D567">
            <v>1503200</v>
          </cell>
          <cell r="E567" t="str">
            <v>SANITAS EPS</v>
          </cell>
        </row>
        <row r="568">
          <cell r="A568">
            <v>870405</v>
          </cell>
          <cell r="B568">
            <v>5606179</v>
          </cell>
          <cell r="C568" t="str">
            <v>RAMOS BERMUDEZ ANGEL MARIA</v>
          </cell>
          <cell r="D568">
            <v>1545200</v>
          </cell>
          <cell r="E568" t="str">
            <v>COMPENSAR EPS</v>
          </cell>
        </row>
        <row r="569">
          <cell r="A569">
            <v>870768</v>
          </cell>
          <cell r="B569">
            <v>79264282</v>
          </cell>
          <cell r="C569" t="str">
            <v>DIAZ PENA DAVID</v>
          </cell>
          <cell r="D569">
            <v>1708400</v>
          </cell>
          <cell r="E569" t="str">
            <v>COMPENSAR EPS</v>
          </cell>
        </row>
        <row r="570">
          <cell r="A570">
            <v>871138</v>
          </cell>
          <cell r="B570">
            <v>11313589</v>
          </cell>
          <cell r="C570" t="str">
            <v>SABINO DIAZ GONZALO</v>
          </cell>
          <cell r="D570">
            <v>1289000</v>
          </cell>
          <cell r="E570" t="str">
            <v>NUEVA EPS</v>
          </cell>
        </row>
        <row r="571">
          <cell r="A571">
            <v>871282</v>
          </cell>
          <cell r="B571">
            <v>39641588</v>
          </cell>
          <cell r="C571" t="str">
            <v>ARIAS   YOLANDA</v>
          </cell>
          <cell r="D571">
            <v>1126700</v>
          </cell>
          <cell r="E571" t="str">
            <v>FAMISANAR E.P.S.</v>
          </cell>
        </row>
        <row r="572">
          <cell r="A572">
            <v>871325</v>
          </cell>
          <cell r="B572">
            <v>5968836</v>
          </cell>
          <cell r="C572" t="str">
            <v>TIMOTE AROCA JOSE ORLANDO</v>
          </cell>
          <cell r="D572">
            <v>1364500</v>
          </cell>
          <cell r="E572" t="str">
            <v>FAMISANAR E.P.S.</v>
          </cell>
        </row>
        <row r="573">
          <cell r="A573">
            <v>871369</v>
          </cell>
          <cell r="B573">
            <v>14248127</v>
          </cell>
          <cell r="C573" t="str">
            <v>CRUZ RODRIGUEZ TIRSO</v>
          </cell>
          <cell r="D573">
            <v>1670500</v>
          </cell>
          <cell r="E573" t="str">
            <v>CRUZ BLANCA E.P.S.</v>
          </cell>
        </row>
        <row r="574">
          <cell r="A574">
            <v>871512</v>
          </cell>
          <cell r="B574">
            <v>79414111</v>
          </cell>
          <cell r="C574" t="str">
            <v>GAMBA BARRERA FAUSTINO</v>
          </cell>
          <cell r="D574">
            <v>1602500</v>
          </cell>
          <cell r="E574" t="str">
            <v>FAMISANAR E.P.S.</v>
          </cell>
        </row>
        <row r="575">
          <cell r="A575">
            <v>872135</v>
          </cell>
          <cell r="B575">
            <v>3251351</v>
          </cell>
          <cell r="C575" t="str">
            <v>HURTADO MORA PEDRO CARLOS</v>
          </cell>
          <cell r="D575">
            <v>2886600</v>
          </cell>
          <cell r="E575" t="str">
            <v>FAMISANAR E.P.S.</v>
          </cell>
        </row>
        <row r="576">
          <cell r="A576">
            <v>872520</v>
          </cell>
          <cell r="B576">
            <v>79311015</v>
          </cell>
          <cell r="C576" t="str">
            <v>BARRANTES CASTANEDA GERARDO</v>
          </cell>
          <cell r="D576">
            <v>1318200</v>
          </cell>
          <cell r="E576" t="str">
            <v>FAMISANAR E.P.S.</v>
          </cell>
        </row>
        <row r="577">
          <cell r="A577">
            <v>872850</v>
          </cell>
          <cell r="B577">
            <v>80268727</v>
          </cell>
          <cell r="C577" t="str">
            <v>DIAZ OVALLE JOSE NELSON</v>
          </cell>
          <cell r="D577">
            <v>2795300</v>
          </cell>
          <cell r="E577" t="str">
            <v>COMPENSAR EPS</v>
          </cell>
        </row>
        <row r="578">
          <cell r="A578">
            <v>873110</v>
          </cell>
          <cell r="B578">
            <v>93290845</v>
          </cell>
          <cell r="C578" t="str">
            <v>PALACIO GRIJALBA DUBERNEY</v>
          </cell>
          <cell r="D578">
            <v>2235200</v>
          </cell>
          <cell r="E578" t="str">
            <v>FAMISANAR E.P.S.</v>
          </cell>
        </row>
        <row r="579">
          <cell r="A579">
            <v>873264</v>
          </cell>
          <cell r="B579">
            <v>6012393</v>
          </cell>
          <cell r="C579" t="str">
            <v>MORENO ESPEJO ALVARO</v>
          </cell>
          <cell r="D579">
            <v>2795300</v>
          </cell>
          <cell r="E579" t="str">
            <v>CRUZ BLANCA E.P.S.</v>
          </cell>
        </row>
        <row r="580">
          <cell r="A580">
            <v>873440</v>
          </cell>
          <cell r="B580">
            <v>79147541</v>
          </cell>
          <cell r="C580" t="str">
            <v>ROJAS RODRIGUEZ ANDRES</v>
          </cell>
          <cell r="D580">
            <v>22430000</v>
          </cell>
          <cell r="E580" t="str">
            <v>SANITAS EPS</v>
          </cell>
        </row>
        <row r="581">
          <cell r="A581">
            <v>873659</v>
          </cell>
          <cell r="B581">
            <v>80260036</v>
          </cell>
          <cell r="C581" t="str">
            <v>REYES GONZALEZ LUIS ALFONSO</v>
          </cell>
          <cell r="D581">
            <v>2156600</v>
          </cell>
          <cell r="E581" t="str">
            <v>FAMISANAR E.P.S.</v>
          </cell>
        </row>
        <row r="582">
          <cell r="A582">
            <v>880012</v>
          </cell>
          <cell r="B582">
            <v>41904483</v>
          </cell>
          <cell r="C582" t="str">
            <v>CANO ARIAS ANGELA MARIA</v>
          </cell>
          <cell r="D582">
            <v>11559000</v>
          </cell>
          <cell r="E582" t="str">
            <v>SANITAS EPS</v>
          </cell>
        </row>
        <row r="583">
          <cell r="A583">
            <v>880013</v>
          </cell>
          <cell r="B583">
            <v>12255008</v>
          </cell>
          <cell r="C583" t="str">
            <v>PINILLA SIERRA ALEXANDER</v>
          </cell>
          <cell r="D583">
            <v>1463100</v>
          </cell>
          <cell r="E583" t="str">
            <v>COMPENSAR EPS</v>
          </cell>
        </row>
        <row r="584">
          <cell r="A584">
            <v>880022</v>
          </cell>
          <cell r="B584">
            <v>76160088</v>
          </cell>
          <cell r="C584" t="str">
            <v>ASTAIZA PATINO ALDEMAR</v>
          </cell>
          <cell r="D584">
            <v>1557300</v>
          </cell>
          <cell r="E584" t="str">
            <v>NUEVA EPS</v>
          </cell>
        </row>
        <row r="585">
          <cell r="A585">
            <v>880037</v>
          </cell>
          <cell r="B585">
            <v>51874112</v>
          </cell>
          <cell r="C585" t="str">
            <v>PARDO SOLORZANO AMANDA LUCIA</v>
          </cell>
          <cell r="D585">
            <v>2393300</v>
          </cell>
          <cell r="E585" t="str">
            <v>SANITAS EPS</v>
          </cell>
        </row>
        <row r="586">
          <cell r="A586">
            <v>880038</v>
          </cell>
          <cell r="B586">
            <v>51566037</v>
          </cell>
          <cell r="C586" t="str">
            <v>JIMENEZ GUTIERREZ VICTORIA EUGENIA</v>
          </cell>
          <cell r="D586">
            <v>3149300</v>
          </cell>
          <cell r="E586" t="str">
            <v>FAMISANAR E.P.S.</v>
          </cell>
        </row>
        <row r="587">
          <cell r="A587">
            <v>880054</v>
          </cell>
          <cell r="B587">
            <v>80367683</v>
          </cell>
          <cell r="C587" t="str">
            <v>CORTES SALINAS OSCAR IGNACIO</v>
          </cell>
          <cell r="D587">
            <v>1545200</v>
          </cell>
          <cell r="E587" t="str">
            <v>CRUZ BLANCA E.P.S.</v>
          </cell>
        </row>
        <row r="588">
          <cell r="A588">
            <v>880061</v>
          </cell>
          <cell r="B588">
            <v>79122358</v>
          </cell>
          <cell r="C588" t="str">
            <v>BONILLA PEREZ EDGAR</v>
          </cell>
          <cell r="D588">
            <v>1443500</v>
          </cell>
          <cell r="E588" t="str">
            <v>FAMISANAR E.P.S.</v>
          </cell>
        </row>
        <row r="589">
          <cell r="A589">
            <v>880069</v>
          </cell>
          <cell r="B589">
            <v>19350071</v>
          </cell>
          <cell r="C589" t="str">
            <v>MENESES SANTAMARIA CAMPO ELIAS</v>
          </cell>
          <cell r="D589">
            <v>2157500</v>
          </cell>
          <cell r="E589" t="str">
            <v>FAMISANAR E.P.S.</v>
          </cell>
        </row>
        <row r="590">
          <cell r="A590">
            <v>880081</v>
          </cell>
          <cell r="B590">
            <v>79049300</v>
          </cell>
          <cell r="C590" t="str">
            <v>CHAVARRO MATEUS JORGE</v>
          </cell>
          <cell r="D590">
            <v>1602500</v>
          </cell>
          <cell r="E590" t="str">
            <v>FAMISANAR E.P.S.</v>
          </cell>
        </row>
        <row r="591">
          <cell r="A591">
            <v>880091</v>
          </cell>
          <cell r="B591">
            <v>3090511</v>
          </cell>
          <cell r="C591" t="str">
            <v>RAMIREZ TORRES ANATOLIO</v>
          </cell>
          <cell r="D591">
            <v>1438900</v>
          </cell>
          <cell r="E591" t="str">
            <v>COMPENSAR EPS</v>
          </cell>
        </row>
        <row r="592">
          <cell r="A592">
            <v>880092</v>
          </cell>
          <cell r="B592">
            <v>93290184</v>
          </cell>
          <cell r="C592" t="str">
            <v>ECHEVERRY VIVAS ROGELIO</v>
          </cell>
          <cell r="D592">
            <v>2826200</v>
          </cell>
          <cell r="E592" t="str">
            <v>FAMISANAR E.P.S.</v>
          </cell>
        </row>
        <row r="593">
          <cell r="A593">
            <v>880116</v>
          </cell>
          <cell r="B593">
            <v>4286091</v>
          </cell>
          <cell r="C593" t="str">
            <v>FRAILE PLAZAS VICTOR MANUEL</v>
          </cell>
          <cell r="D593">
            <v>2795300</v>
          </cell>
          <cell r="E593" t="str">
            <v>NUEVA EPS</v>
          </cell>
        </row>
        <row r="594">
          <cell r="A594">
            <v>880122</v>
          </cell>
          <cell r="B594">
            <v>79430724</v>
          </cell>
          <cell r="C594" t="str">
            <v>DIAZ PENA ALEXANDER</v>
          </cell>
          <cell r="D594">
            <v>1764200</v>
          </cell>
          <cell r="E594" t="str">
            <v>COMPENSAR EPS</v>
          </cell>
        </row>
        <row r="595">
          <cell r="A595">
            <v>880123</v>
          </cell>
          <cell r="B595">
            <v>80435745</v>
          </cell>
          <cell r="C595" t="str">
            <v>TOLOZA   GUSTAVO</v>
          </cell>
          <cell r="D595">
            <v>1649500</v>
          </cell>
          <cell r="E595" t="str">
            <v>FAMISANAR E.P.S.</v>
          </cell>
        </row>
        <row r="596">
          <cell r="A596">
            <v>880124</v>
          </cell>
          <cell r="B596">
            <v>91300429</v>
          </cell>
          <cell r="C596" t="str">
            <v>LOPEZ QUITIAN REMBERTO</v>
          </cell>
          <cell r="D596">
            <v>1405200</v>
          </cell>
          <cell r="E596" t="str">
            <v>FAMISANAR E.P.S.</v>
          </cell>
        </row>
        <row r="597">
          <cell r="A597">
            <v>880125</v>
          </cell>
          <cell r="B597">
            <v>80365710</v>
          </cell>
          <cell r="C597" t="str">
            <v>CASTANEDA CASTANEDA MANUEL ANTONIO</v>
          </cell>
          <cell r="D597">
            <v>1545200</v>
          </cell>
          <cell r="E597" t="str">
            <v>NUEVA EPS</v>
          </cell>
        </row>
        <row r="598">
          <cell r="A598">
            <v>880133</v>
          </cell>
          <cell r="B598">
            <v>80362407</v>
          </cell>
          <cell r="C598" t="str">
            <v>LAVERDE LOPEZ VICTOR MANUEL</v>
          </cell>
          <cell r="D598">
            <v>1545200</v>
          </cell>
          <cell r="E598" t="str">
            <v>CAFESALUD E.P.S.</v>
          </cell>
        </row>
        <row r="599">
          <cell r="A599">
            <v>880142</v>
          </cell>
          <cell r="B599">
            <v>79305867</v>
          </cell>
          <cell r="C599" t="str">
            <v>JAIMES AYALA SEGUNDO ABELARDO</v>
          </cell>
          <cell r="D599">
            <v>1747700</v>
          </cell>
          <cell r="E599" t="str">
            <v>FAMISANAR E.P.S.</v>
          </cell>
        </row>
        <row r="600">
          <cell r="A600">
            <v>880156</v>
          </cell>
          <cell r="B600">
            <v>79446397</v>
          </cell>
          <cell r="C600" t="str">
            <v>MUNOZ RIOS FRANZUA DE JESUS</v>
          </cell>
          <cell r="D600">
            <v>1764200</v>
          </cell>
          <cell r="E600" t="str">
            <v>FAMISANAR E.P.S.</v>
          </cell>
        </row>
        <row r="601">
          <cell r="A601">
            <v>880159</v>
          </cell>
          <cell r="B601">
            <v>79351451</v>
          </cell>
          <cell r="C601" t="str">
            <v>VANEGAS TOQUICA NOLBERTO</v>
          </cell>
          <cell r="D601">
            <v>1545200</v>
          </cell>
          <cell r="E601" t="str">
            <v>COMPENSAR EPS</v>
          </cell>
        </row>
        <row r="602">
          <cell r="A602">
            <v>880163</v>
          </cell>
          <cell r="B602">
            <v>79301948</v>
          </cell>
          <cell r="C602" t="str">
            <v>GOMEZ DIAZ LUIS EDUARDO</v>
          </cell>
          <cell r="D602">
            <v>1347900</v>
          </cell>
          <cell r="E602" t="str">
            <v>NUEVA EPS</v>
          </cell>
        </row>
        <row r="603">
          <cell r="A603">
            <v>880186</v>
          </cell>
          <cell r="B603">
            <v>4188418</v>
          </cell>
          <cell r="C603" t="str">
            <v>MERCHAN RONDON BELARMINO</v>
          </cell>
          <cell r="D603">
            <v>1353900</v>
          </cell>
          <cell r="E603" t="str">
            <v>NUEVA EPS</v>
          </cell>
        </row>
        <row r="604">
          <cell r="A604">
            <v>880197</v>
          </cell>
          <cell r="B604">
            <v>91300435</v>
          </cell>
          <cell r="C604" t="str">
            <v>QUITIAN ARIZA LEONARDO</v>
          </cell>
          <cell r="D604">
            <v>1347900</v>
          </cell>
          <cell r="E604" t="str">
            <v>CRUZ BLANCA E.P.S.</v>
          </cell>
        </row>
        <row r="605">
          <cell r="A605">
            <v>890002</v>
          </cell>
          <cell r="B605">
            <v>11520247</v>
          </cell>
          <cell r="C605" t="str">
            <v>ACOSTA PACHON LUIS ENRIQUE</v>
          </cell>
          <cell r="D605">
            <v>1405200</v>
          </cell>
          <cell r="E605" t="str">
            <v>NUEVA EPS</v>
          </cell>
        </row>
        <row r="606">
          <cell r="A606">
            <v>890022</v>
          </cell>
          <cell r="B606">
            <v>79496196</v>
          </cell>
          <cell r="C606" t="str">
            <v>GARCIA GARCIA DIONELGAR</v>
          </cell>
          <cell r="D606">
            <v>1747700</v>
          </cell>
          <cell r="E606" t="str">
            <v>FAMISANAR E.P.S.</v>
          </cell>
        </row>
        <row r="607">
          <cell r="A607">
            <v>890032</v>
          </cell>
          <cell r="B607">
            <v>2357738</v>
          </cell>
          <cell r="C607" t="str">
            <v>MADRIGAL RADA JOSE EMIRO</v>
          </cell>
          <cell r="D607">
            <v>2825200</v>
          </cell>
          <cell r="E607" t="str">
            <v>FAMISANAR E.P.S.</v>
          </cell>
        </row>
        <row r="608">
          <cell r="A608">
            <v>890033</v>
          </cell>
          <cell r="B608">
            <v>91300816</v>
          </cell>
          <cell r="C608" t="str">
            <v>ARIZA GUEVARA OSCAR ORLANDO</v>
          </cell>
          <cell r="D608">
            <v>1289000</v>
          </cell>
          <cell r="E608" t="str">
            <v>FAMISANAR E.P.S.</v>
          </cell>
        </row>
        <row r="609">
          <cell r="A609">
            <v>890039</v>
          </cell>
          <cell r="B609">
            <v>79525645</v>
          </cell>
          <cell r="C609" t="str">
            <v>RIVEROS RIOS EDUARDO</v>
          </cell>
          <cell r="D609">
            <v>1747700</v>
          </cell>
          <cell r="E609" t="str">
            <v>FAMISANAR E.P.S.</v>
          </cell>
        </row>
        <row r="610">
          <cell r="A610">
            <v>890051</v>
          </cell>
          <cell r="B610">
            <v>1034472</v>
          </cell>
          <cell r="C610" t="str">
            <v>LOPEZ LOPEZ ARCELIO</v>
          </cell>
          <cell r="D610">
            <v>1403800</v>
          </cell>
          <cell r="E610" t="str">
            <v>CRUZ BLANCA E.P.S.</v>
          </cell>
        </row>
        <row r="611">
          <cell r="A611">
            <v>890056</v>
          </cell>
          <cell r="B611">
            <v>5770921</v>
          </cell>
          <cell r="C611" t="str">
            <v>ROMERO RUEDA LUIS ARTURO</v>
          </cell>
          <cell r="D611">
            <v>1405200</v>
          </cell>
          <cell r="E611" t="str">
            <v>FAMISANAR E.P.S.</v>
          </cell>
        </row>
        <row r="612">
          <cell r="A612">
            <v>890066</v>
          </cell>
          <cell r="B612">
            <v>91012885</v>
          </cell>
          <cell r="C612" t="str">
            <v>QUITIAN DUARTE HERNAN</v>
          </cell>
          <cell r="D612">
            <v>1332900</v>
          </cell>
          <cell r="E612" t="str">
            <v>NUEVA EPS</v>
          </cell>
        </row>
        <row r="613">
          <cell r="A613">
            <v>890073</v>
          </cell>
          <cell r="B613">
            <v>79407868</v>
          </cell>
          <cell r="C613" t="str">
            <v>DUARTE TORRES HUGO</v>
          </cell>
          <cell r="D613">
            <v>6533100</v>
          </cell>
          <cell r="E613" t="str">
            <v>SANITAS EPS</v>
          </cell>
        </row>
        <row r="614">
          <cell r="A614">
            <v>890075</v>
          </cell>
          <cell r="B614">
            <v>7332775</v>
          </cell>
          <cell r="C614" t="str">
            <v>GALINDO PABON ISIDRO</v>
          </cell>
          <cell r="D614">
            <v>1602500</v>
          </cell>
          <cell r="E614" t="str">
            <v>FAMISANAR E.P.S.</v>
          </cell>
        </row>
        <row r="615">
          <cell r="A615">
            <v>890083</v>
          </cell>
          <cell r="B615">
            <v>79364396</v>
          </cell>
          <cell r="C615" t="str">
            <v>SANCHEZ RODRIGUEZ EDGAR</v>
          </cell>
          <cell r="D615">
            <v>1347900</v>
          </cell>
          <cell r="E615" t="str">
            <v>CRUZ BLANCA E.P.S.</v>
          </cell>
        </row>
        <row r="616">
          <cell r="A616">
            <v>890108</v>
          </cell>
          <cell r="B616">
            <v>80428013</v>
          </cell>
          <cell r="C616" t="str">
            <v>BENITEZ GUERRERO JOSE ALFREDO</v>
          </cell>
          <cell r="D616">
            <v>1477700</v>
          </cell>
          <cell r="E616" t="str">
            <v>FAMISANAR E.P.S.</v>
          </cell>
        </row>
        <row r="617">
          <cell r="A617">
            <v>890110</v>
          </cell>
          <cell r="B617">
            <v>35375227</v>
          </cell>
          <cell r="C617" t="str">
            <v>CABALLERO ROMERO MARLEN AMPARO</v>
          </cell>
          <cell r="D617">
            <v>1289000</v>
          </cell>
          <cell r="E617" t="str">
            <v>NUEVA EPS</v>
          </cell>
        </row>
        <row r="618">
          <cell r="A618">
            <v>890116</v>
          </cell>
          <cell r="B618">
            <v>79126733</v>
          </cell>
          <cell r="C618" t="str">
            <v>VALENCIA VARGAS HERNAN</v>
          </cell>
          <cell r="D618">
            <v>2418300</v>
          </cell>
          <cell r="E618" t="str">
            <v>FAMISANAR E.P.S.</v>
          </cell>
        </row>
        <row r="619">
          <cell r="A619">
            <v>890120</v>
          </cell>
          <cell r="B619">
            <v>79465271</v>
          </cell>
          <cell r="C619" t="str">
            <v>RUBIANO MORENO JOSE GILBERTO</v>
          </cell>
          <cell r="D619">
            <v>1447900</v>
          </cell>
          <cell r="E619" t="str">
            <v>FAMISANAR E.P.S.</v>
          </cell>
        </row>
        <row r="620">
          <cell r="A620">
            <v>890128</v>
          </cell>
          <cell r="B620">
            <v>2976588</v>
          </cell>
          <cell r="C620" t="str">
            <v>RAMIREZ RODRIGUEZ WILLIAM HUGO</v>
          </cell>
          <cell r="D620">
            <v>2157500</v>
          </cell>
          <cell r="E620" t="str">
            <v>FAMISANAR E.P.S.</v>
          </cell>
        </row>
        <row r="621">
          <cell r="A621">
            <v>890134</v>
          </cell>
          <cell r="B621">
            <v>19289002</v>
          </cell>
          <cell r="C621" t="str">
            <v>CASTILLO SANCHEZ GUILLERMO</v>
          </cell>
          <cell r="D621">
            <v>1545300</v>
          </cell>
          <cell r="E621" t="str">
            <v>FAMISANAR E.P.S.</v>
          </cell>
        </row>
        <row r="622">
          <cell r="A622">
            <v>890141</v>
          </cell>
          <cell r="B622">
            <v>3250581</v>
          </cell>
          <cell r="C622" t="str">
            <v>CARDENAS CHACON JOSE RICARDO</v>
          </cell>
          <cell r="D622">
            <v>1405200</v>
          </cell>
          <cell r="E622" t="str">
            <v>FAMISANAR E.P.S.</v>
          </cell>
        </row>
        <row r="623">
          <cell r="A623">
            <v>890147</v>
          </cell>
          <cell r="B623">
            <v>80371162</v>
          </cell>
          <cell r="C623" t="str">
            <v>ALBARRACIN LEAL ALVARO</v>
          </cell>
          <cell r="D623">
            <v>1405200</v>
          </cell>
          <cell r="E623" t="str">
            <v>NUEVA EPS</v>
          </cell>
        </row>
        <row r="624">
          <cell r="A624">
            <v>890154</v>
          </cell>
          <cell r="B624">
            <v>19425046</v>
          </cell>
          <cell r="C624" t="str">
            <v>ACOSTA VILLARRAGA FIDEL IGNACIO</v>
          </cell>
          <cell r="D624">
            <v>1420800</v>
          </cell>
          <cell r="E624" t="str">
            <v>FAMISANAR E.P.S.</v>
          </cell>
        </row>
        <row r="625">
          <cell r="A625">
            <v>890155</v>
          </cell>
          <cell r="B625">
            <v>79432962</v>
          </cell>
          <cell r="C625" t="str">
            <v>GONZALEZ RODRIGUEZ CESAR ANTONIO</v>
          </cell>
          <cell r="D625">
            <v>2827300</v>
          </cell>
          <cell r="E625" t="str">
            <v>FAMISANAR E.P.S.</v>
          </cell>
        </row>
        <row r="626">
          <cell r="A626">
            <v>890163</v>
          </cell>
          <cell r="B626">
            <v>79386666</v>
          </cell>
          <cell r="C626" t="str">
            <v>BELTRAN SUAREZ JORGE ENRIQUE</v>
          </cell>
          <cell r="D626">
            <v>1545200</v>
          </cell>
          <cell r="E626" t="str">
            <v>FAMISANAR E.P.S.</v>
          </cell>
        </row>
        <row r="627">
          <cell r="A627">
            <v>890167</v>
          </cell>
          <cell r="B627">
            <v>51868660</v>
          </cell>
          <cell r="C627" t="str">
            <v>LEGUIZAMO CUESTA ROSA</v>
          </cell>
          <cell r="D627">
            <v>1289000</v>
          </cell>
          <cell r="E627" t="str">
            <v>NUEVA EPS</v>
          </cell>
        </row>
        <row r="628">
          <cell r="A628">
            <v>890171</v>
          </cell>
          <cell r="B628">
            <v>79407120</v>
          </cell>
          <cell r="C628" t="str">
            <v>QUINTERO VELANDIA JORGE ALIRIO</v>
          </cell>
          <cell r="D628">
            <v>2203200</v>
          </cell>
          <cell r="E628" t="str">
            <v>COMPENSAR EPS</v>
          </cell>
        </row>
        <row r="629">
          <cell r="A629">
            <v>890172</v>
          </cell>
          <cell r="B629">
            <v>79533117</v>
          </cell>
          <cell r="C629" t="str">
            <v>VARGAS SAENZ WILLIAM DARIO</v>
          </cell>
          <cell r="D629">
            <v>4976800</v>
          </cell>
          <cell r="E629" t="str">
            <v>COMPENSAR EPS</v>
          </cell>
        </row>
        <row r="630">
          <cell r="A630">
            <v>890204</v>
          </cell>
          <cell r="B630">
            <v>3000472</v>
          </cell>
          <cell r="C630" t="str">
            <v>RODRIGUEZ GUEVARA CARLOS ALFONSO</v>
          </cell>
          <cell r="D630">
            <v>1560000</v>
          </cell>
          <cell r="E630" t="str">
            <v>FAMISANAR E.P.S.</v>
          </cell>
        </row>
        <row r="631">
          <cell r="A631">
            <v>890205</v>
          </cell>
          <cell r="B631">
            <v>19369048</v>
          </cell>
          <cell r="C631" t="str">
            <v>VELANDIA CARRENO JOSE DOMINGO</v>
          </cell>
          <cell r="D631">
            <v>1347900</v>
          </cell>
          <cell r="E631" t="str">
            <v>FAMISANAR E.P.S.</v>
          </cell>
        </row>
        <row r="632">
          <cell r="A632">
            <v>890206</v>
          </cell>
          <cell r="B632">
            <v>3804008</v>
          </cell>
          <cell r="C632" t="str">
            <v>RUIZ ALVAREZ ROBINSON MANUEL</v>
          </cell>
          <cell r="D632">
            <v>2795300</v>
          </cell>
          <cell r="E632" t="str">
            <v>NUEVA EPS</v>
          </cell>
        </row>
        <row r="633">
          <cell r="A633">
            <v>890207</v>
          </cell>
          <cell r="B633">
            <v>19484957</v>
          </cell>
          <cell r="C633" t="str">
            <v>CORDERO GALVIZ RAUL</v>
          </cell>
          <cell r="D633">
            <v>1405200</v>
          </cell>
          <cell r="E633" t="str">
            <v>CRUZ BLANCA E.P.S.</v>
          </cell>
        </row>
        <row r="634">
          <cell r="A634">
            <v>890208</v>
          </cell>
          <cell r="B634">
            <v>10591755</v>
          </cell>
          <cell r="C634" t="str">
            <v>FUENTES MOLINA ORLANDO RAUL</v>
          </cell>
          <cell r="D634">
            <v>1340700</v>
          </cell>
          <cell r="E634" t="str">
            <v>COMPENSAR EPS</v>
          </cell>
        </row>
        <row r="635">
          <cell r="A635">
            <v>890216</v>
          </cell>
          <cell r="B635">
            <v>79511223</v>
          </cell>
          <cell r="C635" t="str">
            <v>CORTES SALINAS HECTOR ABSALON</v>
          </cell>
          <cell r="D635">
            <v>1602500</v>
          </cell>
          <cell r="E635" t="str">
            <v>CAFESALUD E.P.S.</v>
          </cell>
        </row>
        <row r="636">
          <cell r="A636">
            <v>890227</v>
          </cell>
          <cell r="B636">
            <v>5888471</v>
          </cell>
          <cell r="C636" t="str">
            <v>MADRIGAL RADA EDIBARDO</v>
          </cell>
          <cell r="D636">
            <v>1289000</v>
          </cell>
          <cell r="E636" t="str">
            <v>COMPENSAR EPS</v>
          </cell>
        </row>
        <row r="637">
          <cell r="A637">
            <v>890232</v>
          </cell>
          <cell r="B637">
            <v>79370688</v>
          </cell>
          <cell r="C637" t="str">
            <v>ROJAS RODRIGUEZ JAVIER MAURICIO</v>
          </cell>
          <cell r="D637">
            <v>2795300</v>
          </cell>
          <cell r="E637" t="str">
            <v>FAMISANAR E.P.S.</v>
          </cell>
        </row>
        <row r="638">
          <cell r="A638">
            <v>890237</v>
          </cell>
          <cell r="B638">
            <v>51664554</v>
          </cell>
          <cell r="C638" t="str">
            <v>FERRO CADENA MARIA CLAUDIA</v>
          </cell>
          <cell r="D638">
            <v>12000000</v>
          </cell>
          <cell r="E638" t="str">
            <v>SANITAS EPS</v>
          </cell>
        </row>
        <row r="639">
          <cell r="A639">
            <v>890242</v>
          </cell>
          <cell r="B639">
            <v>79464135</v>
          </cell>
          <cell r="C639" t="str">
            <v>LOPEZ RODRIGUEZ PEDRO ANTONIO</v>
          </cell>
          <cell r="D639">
            <v>2387000</v>
          </cell>
          <cell r="E639" t="str">
            <v>SALUD TOTAL EPS</v>
          </cell>
        </row>
        <row r="640">
          <cell r="A640">
            <v>890244</v>
          </cell>
          <cell r="B640">
            <v>19347372</v>
          </cell>
          <cell r="C640" t="str">
            <v>OBANDO JIMENEZ JUAN MANUEL</v>
          </cell>
          <cell r="D640">
            <v>2156900</v>
          </cell>
          <cell r="E640" t="str">
            <v>FAMISANAR E.P.S.</v>
          </cell>
        </row>
        <row r="641">
          <cell r="A641">
            <v>890252</v>
          </cell>
          <cell r="B641">
            <v>2194027</v>
          </cell>
          <cell r="C641" t="str">
            <v>GONZALEZ SANCHEZ PACIFICO</v>
          </cell>
          <cell r="D641">
            <v>1092100</v>
          </cell>
          <cell r="E641" t="str">
            <v>FAMISANAR E.P.S.</v>
          </cell>
        </row>
        <row r="642">
          <cell r="A642">
            <v>890259</v>
          </cell>
          <cell r="B642">
            <v>79046594</v>
          </cell>
          <cell r="C642" t="str">
            <v>AVELLA MONROY JOSE BERNARDO</v>
          </cell>
          <cell r="D642">
            <v>1747700</v>
          </cell>
          <cell r="E642" t="str">
            <v>FAMISANAR E.P.S.</v>
          </cell>
        </row>
        <row r="643">
          <cell r="A643">
            <v>890263</v>
          </cell>
          <cell r="B643">
            <v>11388484</v>
          </cell>
          <cell r="C643" t="str">
            <v>RIVEROS CRUZ JOSE ALBERTO</v>
          </cell>
          <cell r="D643">
            <v>2174300</v>
          </cell>
          <cell r="E643" t="str">
            <v>SANITAS EPS</v>
          </cell>
        </row>
        <row r="644">
          <cell r="A644">
            <v>890272</v>
          </cell>
          <cell r="B644">
            <v>4243521</v>
          </cell>
          <cell r="C644" t="str">
            <v>GONZALEZ RODRIGUEZ CLAUDIO</v>
          </cell>
          <cell r="D644">
            <v>2156700</v>
          </cell>
          <cell r="E644" t="str">
            <v>Nueva Promotora de Salud - Nueva EPS</v>
          </cell>
        </row>
        <row r="645">
          <cell r="A645">
            <v>890284</v>
          </cell>
          <cell r="B645">
            <v>52083920</v>
          </cell>
          <cell r="C645" t="str">
            <v>COMBARIZA ROZO MARIA CRISTINA</v>
          </cell>
          <cell r="D645">
            <v>3400000</v>
          </cell>
          <cell r="E645" t="str">
            <v>COMPENSAR EPS</v>
          </cell>
        </row>
        <row r="646">
          <cell r="A646">
            <v>890296</v>
          </cell>
          <cell r="B646">
            <v>3081153</v>
          </cell>
          <cell r="C646" t="str">
            <v>HERNANDEZ PALACIO DARIO</v>
          </cell>
          <cell r="D646">
            <v>1545200</v>
          </cell>
          <cell r="E646" t="str">
            <v>Nueva Promotora de Salud - Nueva EPS</v>
          </cell>
        </row>
        <row r="647">
          <cell r="A647">
            <v>890299</v>
          </cell>
          <cell r="B647">
            <v>3165736</v>
          </cell>
          <cell r="C647" t="str">
            <v>LEIVA GAITAN JOSE BENILDO</v>
          </cell>
          <cell r="D647">
            <v>2827300</v>
          </cell>
          <cell r="E647" t="str">
            <v>SANITAS EPS</v>
          </cell>
        </row>
        <row r="648">
          <cell r="A648">
            <v>900003</v>
          </cell>
          <cell r="B648">
            <v>51764940</v>
          </cell>
          <cell r="C648" t="str">
            <v>ARCE FONSECA LILIANA</v>
          </cell>
          <cell r="D648">
            <v>2437100</v>
          </cell>
          <cell r="E648" t="str">
            <v>SANITAS EPS</v>
          </cell>
        </row>
        <row r="649">
          <cell r="A649">
            <v>900015</v>
          </cell>
          <cell r="B649">
            <v>80365236</v>
          </cell>
          <cell r="C649" t="str">
            <v>HERRERA ESPEJO JIMMY EDUARDO</v>
          </cell>
          <cell r="D649">
            <v>1557300</v>
          </cell>
          <cell r="E649" t="str">
            <v>FAMISANAR E.P.S.</v>
          </cell>
        </row>
        <row r="650">
          <cell r="A650">
            <v>900016</v>
          </cell>
          <cell r="B650">
            <v>79558671</v>
          </cell>
          <cell r="C650" t="str">
            <v>GUEVARA RIVERA JUAN MANUEL</v>
          </cell>
          <cell r="D650">
            <v>2327800</v>
          </cell>
          <cell r="E650" t="str">
            <v>COMPENSAR EPS</v>
          </cell>
        </row>
        <row r="651">
          <cell r="A651">
            <v>900022</v>
          </cell>
          <cell r="B651">
            <v>80361306</v>
          </cell>
          <cell r="C651" t="str">
            <v>RUIZ CUBILLOS CARLOS ALBERTO</v>
          </cell>
          <cell r="D651">
            <v>2157500</v>
          </cell>
          <cell r="E651" t="str">
            <v>FAMISANAR E.P.S.</v>
          </cell>
        </row>
        <row r="652">
          <cell r="A652">
            <v>900026</v>
          </cell>
          <cell r="B652">
            <v>51558514</v>
          </cell>
          <cell r="C652" t="str">
            <v>CASTIBLANCO GOMEZ CONSUELO</v>
          </cell>
          <cell r="D652">
            <v>3904800</v>
          </cell>
          <cell r="E652" t="str">
            <v>FAMISANAR E.P.S.</v>
          </cell>
        </row>
        <row r="653">
          <cell r="A653">
            <v>900034</v>
          </cell>
          <cell r="B653">
            <v>79275239</v>
          </cell>
          <cell r="C653" t="str">
            <v>CORTES   RUBEN DARIO</v>
          </cell>
          <cell r="D653">
            <v>1460600</v>
          </cell>
          <cell r="E653" t="str">
            <v>FAMISANAR E.P.S.</v>
          </cell>
        </row>
        <row r="654">
          <cell r="A654">
            <v>900035</v>
          </cell>
          <cell r="B654">
            <v>79510387</v>
          </cell>
          <cell r="C654" t="str">
            <v>ENCISO BALLESTEROS JORGE DARIO</v>
          </cell>
          <cell r="D654">
            <v>1447500</v>
          </cell>
          <cell r="E654" t="str">
            <v>FAMISANAR E.P.S.</v>
          </cell>
        </row>
        <row r="655">
          <cell r="A655">
            <v>900039</v>
          </cell>
          <cell r="B655">
            <v>3000214</v>
          </cell>
          <cell r="C655" t="str">
            <v>RODRIGUEZ RODRIGUEZ JESUS HUMBERTO</v>
          </cell>
          <cell r="D655">
            <v>1318200</v>
          </cell>
          <cell r="E655" t="str">
            <v>COMPENSAR EPS</v>
          </cell>
        </row>
        <row r="656">
          <cell r="A656">
            <v>900043</v>
          </cell>
          <cell r="B656">
            <v>79426890</v>
          </cell>
          <cell r="C656" t="str">
            <v>ARAGON TOLE JAIR ALBERTO</v>
          </cell>
          <cell r="D656">
            <v>2212400</v>
          </cell>
          <cell r="E656" t="str">
            <v>FAMISANAR E.P.S.</v>
          </cell>
        </row>
        <row r="657">
          <cell r="A657">
            <v>900049</v>
          </cell>
          <cell r="B657">
            <v>6775925</v>
          </cell>
          <cell r="C657" t="str">
            <v>OCASION NEIRA JAVIER EMILIO</v>
          </cell>
          <cell r="D657">
            <v>2826500</v>
          </cell>
          <cell r="E657" t="str">
            <v>FAMISANAR E.P.S.</v>
          </cell>
        </row>
        <row r="658">
          <cell r="A658">
            <v>900051</v>
          </cell>
          <cell r="B658">
            <v>79431439</v>
          </cell>
          <cell r="C658" t="str">
            <v>VALDERRAMA HERRERA GREGORIO SALOMON</v>
          </cell>
          <cell r="D658">
            <v>1410100</v>
          </cell>
          <cell r="E658" t="str">
            <v>FAMISANAR E.P.S.</v>
          </cell>
        </row>
        <row r="659">
          <cell r="A659">
            <v>900053</v>
          </cell>
          <cell r="B659">
            <v>80433566</v>
          </cell>
          <cell r="C659" t="str">
            <v>CASTIBLANCO LOPEZ NELSON</v>
          </cell>
          <cell r="D659">
            <v>1545200</v>
          </cell>
          <cell r="E659" t="str">
            <v>Nueva Promotora de Salud - Nueva EPS</v>
          </cell>
        </row>
        <row r="660">
          <cell r="A660">
            <v>900063</v>
          </cell>
          <cell r="B660">
            <v>357823</v>
          </cell>
          <cell r="C660" t="str">
            <v>ALVAREZ MELO TEODORO</v>
          </cell>
          <cell r="D660">
            <v>1289000</v>
          </cell>
          <cell r="E660" t="str">
            <v>FAMISANAR E.P.S.</v>
          </cell>
        </row>
        <row r="661">
          <cell r="A661">
            <v>900065</v>
          </cell>
          <cell r="B661">
            <v>79237512</v>
          </cell>
          <cell r="C661" t="str">
            <v>ALFONSO NIVIA MISAEL</v>
          </cell>
          <cell r="D661">
            <v>1747700</v>
          </cell>
          <cell r="E661" t="str">
            <v>FAMISANAR E.P.S.</v>
          </cell>
        </row>
        <row r="662">
          <cell r="A662">
            <v>900078</v>
          </cell>
          <cell r="B662">
            <v>4099199</v>
          </cell>
          <cell r="C662" t="str">
            <v>NUNEZ BENITEZ SALUSTIANO</v>
          </cell>
          <cell r="D662">
            <v>1545200</v>
          </cell>
          <cell r="E662" t="str">
            <v>COMPENSAR EPS</v>
          </cell>
        </row>
        <row r="663">
          <cell r="A663">
            <v>900081</v>
          </cell>
          <cell r="B663">
            <v>18124754</v>
          </cell>
          <cell r="C663" t="str">
            <v>LORA ROJAS ALDUVAN DE JESUS</v>
          </cell>
          <cell r="D663">
            <v>1347900</v>
          </cell>
          <cell r="E663" t="str">
            <v>CRUZ BLANCA E.P.S.</v>
          </cell>
        </row>
        <row r="664">
          <cell r="A664">
            <v>900084</v>
          </cell>
          <cell r="B664">
            <v>51791767</v>
          </cell>
          <cell r="C664" t="str">
            <v>MOLANO   SANDRA</v>
          </cell>
          <cell r="D664">
            <v>2390100</v>
          </cell>
          <cell r="E664" t="str">
            <v>FAMISANAR E.P.S.</v>
          </cell>
        </row>
        <row r="665">
          <cell r="A665">
            <v>900094</v>
          </cell>
          <cell r="B665">
            <v>79408169</v>
          </cell>
          <cell r="C665" t="str">
            <v>RAMIREZ VELASQUEZ HUGO</v>
          </cell>
          <cell r="D665">
            <v>1455600</v>
          </cell>
          <cell r="E665" t="str">
            <v>FAMISANAR E.P.S.</v>
          </cell>
        </row>
        <row r="666">
          <cell r="A666">
            <v>900102</v>
          </cell>
          <cell r="B666">
            <v>52060562</v>
          </cell>
          <cell r="C666" t="str">
            <v>GUEVARA RIVERA MARTHA CECILIA</v>
          </cell>
          <cell r="D666">
            <v>2800000</v>
          </cell>
          <cell r="E666" t="str">
            <v>COMPENSAR EPS</v>
          </cell>
        </row>
        <row r="667">
          <cell r="A667">
            <v>900107</v>
          </cell>
          <cell r="B667">
            <v>79237696</v>
          </cell>
          <cell r="C667" t="str">
            <v>VELANDIA CARRENO PEDRO EMILIO</v>
          </cell>
          <cell r="D667">
            <v>1332900</v>
          </cell>
          <cell r="E667" t="str">
            <v>FAMISANAR E.P.S.</v>
          </cell>
        </row>
        <row r="668">
          <cell r="A668">
            <v>900113</v>
          </cell>
          <cell r="B668">
            <v>20424218</v>
          </cell>
          <cell r="C668" t="str">
            <v>MONTES RODRIGUEZ JULIA ISABEL</v>
          </cell>
          <cell r="D668">
            <v>3142100</v>
          </cell>
          <cell r="E668" t="str">
            <v>FAMISANAR E.P.S.</v>
          </cell>
        </row>
        <row r="669">
          <cell r="A669">
            <v>900117</v>
          </cell>
          <cell r="B669">
            <v>79431584</v>
          </cell>
          <cell r="C669" t="str">
            <v>MENESES PARRA MIGUEL ANGEL</v>
          </cell>
          <cell r="D669">
            <v>9025700</v>
          </cell>
          <cell r="E669" t="str">
            <v>COMPENSAR EPS</v>
          </cell>
        </row>
        <row r="670">
          <cell r="A670">
            <v>900120</v>
          </cell>
          <cell r="B670">
            <v>79319266</v>
          </cell>
          <cell r="C670" t="str">
            <v>CORREDOR PINZON PEDRO ENRIQUE</v>
          </cell>
          <cell r="D670">
            <v>4324100</v>
          </cell>
          <cell r="E670" t="str">
            <v>FAMISANAR E.P.S.</v>
          </cell>
        </row>
        <row r="671">
          <cell r="A671">
            <v>900121</v>
          </cell>
          <cell r="B671">
            <v>11431947</v>
          </cell>
          <cell r="C671" t="str">
            <v>LUNA SUSATAMA HUGO EDUARDO</v>
          </cell>
          <cell r="D671">
            <v>2156700</v>
          </cell>
          <cell r="E671" t="str">
            <v>FAMISANAR E.P.S.</v>
          </cell>
        </row>
        <row r="672">
          <cell r="A672">
            <v>910004</v>
          </cell>
          <cell r="B672">
            <v>79398431</v>
          </cell>
          <cell r="C672" t="str">
            <v>VALBUENA AVILA VICTOR MANUEL</v>
          </cell>
          <cell r="D672">
            <v>1545200</v>
          </cell>
          <cell r="E672" t="str">
            <v>FAMISANAR E.P.S.</v>
          </cell>
        </row>
        <row r="673">
          <cell r="A673">
            <v>910005</v>
          </cell>
          <cell r="B673">
            <v>80433536</v>
          </cell>
          <cell r="C673" t="str">
            <v>QUINTERO MORENO GERMAN</v>
          </cell>
          <cell r="D673">
            <v>1545200</v>
          </cell>
          <cell r="E673" t="str">
            <v>Nueva Promotora de Salud - Nueva EPS</v>
          </cell>
        </row>
        <row r="674">
          <cell r="A674">
            <v>910008</v>
          </cell>
          <cell r="B674">
            <v>11517026</v>
          </cell>
          <cell r="C674" t="str">
            <v>TORRES TEGUA MIGUEL ANTONIO</v>
          </cell>
          <cell r="D674">
            <v>1405200</v>
          </cell>
          <cell r="E674" t="str">
            <v>FAMISANAR E.P.S.</v>
          </cell>
        </row>
        <row r="675">
          <cell r="A675">
            <v>910009</v>
          </cell>
          <cell r="B675">
            <v>18389960</v>
          </cell>
          <cell r="C675" t="str">
            <v>AMAYA GALVIS LARRY ALEXANDER</v>
          </cell>
          <cell r="D675">
            <v>1688700</v>
          </cell>
          <cell r="E675" t="str">
            <v>FAMISANAR E.P.S.</v>
          </cell>
        </row>
        <row r="676">
          <cell r="A676">
            <v>910010</v>
          </cell>
          <cell r="B676">
            <v>79494766</v>
          </cell>
          <cell r="C676" t="str">
            <v>ROJAS BAUTISTA JOSE ADRIANO</v>
          </cell>
          <cell r="D676">
            <v>1405200</v>
          </cell>
          <cell r="E676" t="str">
            <v>FAMISANAR E.P.S.</v>
          </cell>
        </row>
        <row r="677">
          <cell r="A677">
            <v>910012</v>
          </cell>
          <cell r="B677">
            <v>11387196</v>
          </cell>
          <cell r="C677" t="str">
            <v>BETANCOURT GARCIA LUIS ALIRIO</v>
          </cell>
          <cell r="D677">
            <v>2795300</v>
          </cell>
          <cell r="E677" t="str">
            <v>COMPENSAR EPS</v>
          </cell>
        </row>
        <row r="678">
          <cell r="A678">
            <v>910020</v>
          </cell>
          <cell r="B678">
            <v>16637870</v>
          </cell>
          <cell r="C678" t="str">
            <v>SOLIS ALVAREZ JAVIER</v>
          </cell>
          <cell r="D678">
            <v>4941000</v>
          </cell>
          <cell r="E678" t="str">
            <v>COMPENSAR EPS</v>
          </cell>
        </row>
        <row r="679">
          <cell r="A679">
            <v>910031</v>
          </cell>
          <cell r="B679">
            <v>79208313</v>
          </cell>
          <cell r="C679" t="str">
            <v>QUIROGA   EDGAR</v>
          </cell>
          <cell r="D679">
            <v>1443500</v>
          </cell>
          <cell r="E679" t="str">
            <v>FAMISANAR E.P.S.</v>
          </cell>
        </row>
        <row r="680">
          <cell r="A680">
            <v>910037</v>
          </cell>
          <cell r="B680">
            <v>79579085</v>
          </cell>
          <cell r="C680" t="str">
            <v>VERGARA BAQUERO JOSE ANTONIO</v>
          </cell>
          <cell r="D680">
            <v>1312100</v>
          </cell>
          <cell r="E680" t="str">
            <v>FAMISANAR E.P.S.</v>
          </cell>
        </row>
        <row r="681">
          <cell r="A681">
            <v>910039</v>
          </cell>
          <cell r="B681">
            <v>79569526</v>
          </cell>
          <cell r="C681" t="str">
            <v>REYES VARGAS GERARDO</v>
          </cell>
          <cell r="D681">
            <v>1610500</v>
          </cell>
          <cell r="E681" t="str">
            <v>COMPENSAR EPS</v>
          </cell>
        </row>
        <row r="682">
          <cell r="A682">
            <v>910042</v>
          </cell>
          <cell r="B682">
            <v>79055943</v>
          </cell>
          <cell r="C682" t="str">
            <v>SARMIENTO ACOSTA EDWARD RUBEN</v>
          </cell>
          <cell r="D682">
            <v>1974000</v>
          </cell>
          <cell r="E682" t="str">
            <v>FAMISANAR E.P.S.</v>
          </cell>
        </row>
        <row r="683">
          <cell r="A683">
            <v>910044</v>
          </cell>
          <cell r="B683">
            <v>79594540</v>
          </cell>
          <cell r="C683" t="str">
            <v>GUTIERREZ BELTRAN CARLOS ALFONSO</v>
          </cell>
          <cell r="D683">
            <v>2825800</v>
          </cell>
          <cell r="E683" t="str">
            <v>FAMISANAR E.P.S.</v>
          </cell>
        </row>
        <row r="684">
          <cell r="A684">
            <v>910049</v>
          </cell>
          <cell r="B684">
            <v>79135030</v>
          </cell>
          <cell r="C684" t="str">
            <v>RAMIREZ SIERRA DARIO</v>
          </cell>
          <cell r="D684">
            <v>2860900</v>
          </cell>
          <cell r="E684" t="str">
            <v>CONSORCIO SAYP</v>
          </cell>
        </row>
        <row r="685">
          <cell r="A685">
            <v>910054</v>
          </cell>
          <cell r="B685">
            <v>79342744</v>
          </cell>
          <cell r="C685" t="str">
            <v>NOVA FONSECA ILBAR ALIRIO</v>
          </cell>
          <cell r="D685">
            <v>5249000</v>
          </cell>
          <cell r="E685" t="str">
            <v>SURAMERICANA EPS</v>
          </cell>
        </row>
        <row r="686">
          <cell r="A686">
            <v>910060</v>
          </cell>
          <cell r="B686">
            <v>80384121</v>
          </cell>
          <cell r="C686" t="str">
            <v>ALVARADO QUIROGA CARLOS JULIO</v>
          </cell>
          <cell r="D686">
            <v>1937000</v>
          </cell>
          <cell r="E686" t="str">
            <v>FAMISANAR E.P.S.</v>
          </cell>
        </row>
        <row r="687">
          <cell r="A687">
            <v>910062</v>
          </cell>
          <cell r="B687">
            <v>5712902</v>
          </cell>
          <cell r="C687" t="str">
            <v>PINZON PARDO LUIS ANCENO</v>
          </cell>
          <cell r="D687">
            <v>4950100</v>
          </cell>
          <cell r="E687" t="str">
            <v>COMPENSAR EPS</v>
          </cell>
        </row>
        <row r="688">
          <cell r="A688">
            <v>910070</v>
          </cell>
          <cell r="B688">
            <v>79425628</v>
          </cell>
          <cell r="C688" t="str">
            <v>BELTRAN PRIETO JOSE EDILBERTO</v>
          </cell>
          <cell r="D688">
            <v>1700100</v>
          </cell>
          <cell r="E688" t="str">
            <v>FAMISANAR E.P.S.</v>
          </cell>
        </row>
        <row r="689">
          <cell r="A689">
            <v>910079</v>
          </cell>
          <cell r="B689">
            <v>79243532</v>
          </cell>
          <cell r="C689" t="str">
            <v>ACOSTA OJEDA HECTOR EDUARDO</v>
          </cell>
          <cell r="D689">
            <v>1545200</v>
          </cell>
          <cell r="E689" t="str">
            <v>FAMISANAR E.P.S.</v>
          </cell>
        </row>
        <row r="690">
          <cell r="A690">
            <v>910081</v>
          </cell>
          <cell r="B690">
            <v>79394915</v>
          </cell>
          <cell r="C690" t="str">
            <v>ARIZA MORA JORGE OVIDIO</v>
          </cell>
          <cell r="D690">
            <v>3378500</v>
          </cell>
          <cell r="E690" t="str">
            <v>SANITAS EPS</v>
          </cell>
        </row>
        <row r="691">
          <cell r="A691">
            <v>910086</v>
          </cell>
          <cell r="B691">
            <v>5888984</v>
          </cell>
          <cell r="C691" t="str">
            <v>ROJAS   PAULO ENRIQUE</v>
          </cell>
          <cell r="D691">
            <v>1298500</v>
          </cell>
          <cell r="E691" t="str">
            <v>CRUZ BLANCA E.P.S.</v>
          </cell>
        </row>
        <row r="692">
          <cell r="A692">
            <v>910087</v>
          </cell>
          <cell r="B692">
            <v>79493338</v>
          </cell>
          <cell r="C692" t="str">
            <v>ALVAREZ GONZALEZ JOHN JAIRO</v>
          </cell>
          <cell r="D692">
            <v>9500000</v>
          </cell>
          <cell r="E692" t="str">
            <v>SANITAS EPS</v>
          </cell>
        </row>
        <row r="693">
          <cell r="A693">
            <v>910089</v>
          </cell>
          <cell r="B693">
            <v>79343047</v>
          </cell>
          <cell r="C693" t="str">
            <v>VALDES RAMIREZ HAROLD FABRICIO</v>
          </cell>
          <cell r="D693">
            <v>1953200</v>
          </cell>
          <cell r="E693" t="str">
            <v>CAFESALUD E.P.S.</v>
          </cell>
        </row>
        <row r="694">
          <cell r="A694">
            <v>910114</v>
          </cell>
          <cell r="B694">
            <v>5771353</v>
          </cell>
          <cell r="C694" t="str">
            <v>CAMACHO BARENO CIRO ALONSO</v>
          </cell>
          <cell r="D694">
            <v>2596600</v>
          </cell>
          <cell r="E694" t="str">
            <v>FAMISANAR E.P.S.</v>
          </cell>
        </row>
        <row r="695">
          <cell r="A695">
            <v>910121</v>
          </cell>
          <cell r="B695">
            <v>79351389</v>
          </cell>
          <cell r="C695" t="str">
            <v>PARDO GOMEZ FREDY BENICIO</v>
          </cell>
          <cell r="D695" t="str">
            <v>AL        8,750,000.00</v>
          </cell>
          <cell r="E695" t="str">
            <v>SANITAS EPS</v>
          </cell>
        </row>
        <row r="696">
          <cell r="A696">
            <v>910122</v>
          </cell>
          <cell r="B696">
            <v>9532518</v>
          </cell>
          <cell r="C696" t="str">
            <v>MEDINA MONTANEZ EDGAR</v>
          </cell>
          <cell r="D696">
            <v>2886600</v>
          </cell>
          <cell r="E696" t="str">
            <v>FAMISANAR E.P.S.</v>
          </cell>
        </row>
        <row r="697">
          <cell r="A697">
            <v>910127</v>
          </cell>
          <cell r="B697">
            <v>5771043</v>
          </cell>
          <cell r="C697" t="str">
            <v>CAMACHO BARENO ARGEMIRO</v>
          </cell>
          <cell r="D697">
            <v>1289000</v>
          </cell>
          <cell r="E697" t="str">
            <v>FAMISANAR E.P.S.</v>
          </cell>
        </row>
        <row r="698">
          <cell r="A698">
            <v>910132</v>
          </cell>
          <cell r="B698">
            <v>80401330</v>
          </cell>
          <cell r="C698" t="str">
            <v>RODRIGUEZ GORDO OSCAR LAUREANO</v>
          </cell>
          <cell r="D698">
            <v>4713200</v>
          </cell>
          <cell r="E698" t="str">
            <v>FAMISANAR E.P.S.</v>
          </cell>
        </row>
        <row r="699">
          <cell r="A699">
            <v>920002</v>
          </cell>
          <cell r="B699">
            <v>79452203</v>
          </cell>
          <cell r="C699" t="str">
            <v>CRUZ CABANZO EDGAR HERNAN</v>
          </cell>
          <cell r="D699">
            <v>1602500</v>
          </cell>
          <cell r="E699" t="str">
            <v>FAMISANAR E.P.S.</v>
          </cell>
        </row>
        <row r="700">
          <cell r="A700">
            <v>920010</v>
          </cell>
          <cell r="B700">
            <v>21015092</v>
          </cell>
          <cell r="C700" t="str">
            <v>GARCIA MORALES MYRIAM</v>
          </cell>
          <cell r="D700">
            <v>1447900</v>
          </cell>
          <cell r="E700" t="str">
            <v>FAMISANAR E.P.S.</v>
          </cell>
        </row>
        <row r="701">
          <cell r="A701">
            <v>920012</v>
          </cell>
          <cell r="B701">
            <v>39655953</v>
          </cell>
          <cell r="C701" t="str">
            <v>GUACANEME GUERRERO CONSUELO</v>
          </cell>
          <cell r="D701">
            <v>1664800</v>
          </cell>
          <cell r="E701" t="str">
            <v>FAMISANAR E.P.S.</v>
          </cell>
        </row>
        <row r="702">
          <cell r="A702">
            <v>920013</v>
          </cell>
          <cell r="B702">
            <v>79464788</v>
          </cell>
          <cell r="C702" t="str">
            <v>SANTAMARIA ROMERO JOHN PETER</v>
          </cell>
          <cell r="D702">
            <v>8660700</v>
          </cell>
          <cell r="E702" t="str">
            <v>SURAMERICANA EPS</v>
          </cell>
        </row>
        <row r="703">
          <cell r="A703">
            <v>920030</v>
          </cell>
          <cell r="B703">
            <v>80390744</v>
          </cell>
          <cell r="C703" t="str">
            <v>DIAZ PARDO MARIO ALFONSO</v>
          </cell>
          <cell r="D703">
            <v>1545200</v>
          </cell>
          <cell r="E703" t="str">
            <v>Nueva Promotora de Salud - Nueva EPS</v>
          </cell>
        </row>
        <row r="704">
          <cell r="A704">
            <v>920039</v>
          </cell>
          <cell r="B704">
            <v>79579454</v>
          </cell>
          <cell r="C704" t="str">
            <v>MATIZ WITTINGHAN HENRY</v>
          </cell>
          <cell r="D704">
            <v>1747700</v>
          </cell>
          <cell r="E704" t="str">
            <v>COMPENSAR EPS</v>
          </cell>
        </row>
        <row r="705">
          <cell r="A705">
            <v>920041</v>
          </cell>
          <cell r="B705">
            <v>79389242</v>
          </cell>
          <cell r="C705" t="str">
            <v>MOLINA GARZON WILLIAM HUMBERTO</v>
          </cell>
          <cell r="D705">
            <v>1545200</v>
          </cell>
          <cell r="E705" t="str">
            <v>FAMISANAR E.P.S.</v>
          </cell>
        </row>
        <row r="706">
          <cell r="A706">
            <v>920047</v>
          </cell>
          <cell r="B706">
            <v>79610281</v>
          </cell>
          <cell r="C706" t="str">
            <v>OROZCO VERGARA RICARDO</v>
          </cell>
          <cell r="D706">
            <v>1602500</v>
          </cell>
          <cell r="E706" t="str">
            <v>COMPENSAR EPS</v>
          </cell>
        </row>
        <row r="707">
          <cell r="A707">
            <v>920048</v>
          </cell>
          <cell r="B707">
            <v>51833916</v>
          </cell>
          <cell r="C707" t="str">
            <v>ROMERO MARINO GLORIA OMIRA</v>
          </cell>
          <cell r="D707">
            <v>1491000</v>
          </cell>
          <cell r="E707" t="str">
            <v>FAMISANAR E.P.S.</v>
          </cell>
        </row>
        <row r="708">
          <cell r="A708">
            <v>920055</v>
          </cell>
          <cell r="B708">
            <v>19407441</v>
          </cell>
          <cell r="C708" t="str">
            <v>CASTIBLANCO BRICENO RAFAEL ANTONIO</v>
          </cell>
          <cell r="D708">
            <v>1764200</v>
          </cell>
          <cell r="E708" t="str">
            <v>FAMISANAR E.P.S.</v>
          </cell>
        </row>
        <row r="709">
          <cell r="A709">
            <v>920061</v>
          </cell>
          <cell r="B709">
            <v>19388322</v>
          </cell>
          <cell r="C709" t="str">
            <v>SOLANO   JOSE ANTONIO</v>
          </cell>
          <cell r="D709">
            <v>2795300</v>
          </cell>
          <cell r="E709" t="str">
            <v>FAMISANAR E.P.S.</v>
          </cell>
        </row>
        <row r="710">
          <cell r="A710">
            <v>920064</v>
          </cell>
          <cell r="B710">
            <v>93123415</v>
          </cell>
          <cell r="C710" t="str">
            <v>PARRA MORENO EDILSON</v>
          </cell>
          <cell r="D710">
            <v>2869300</v>
          </cell>
          <cell r="E710" t="str">
            <v>Nueva Promotora de Salud - Nueva EPS</v>
          </cell>
        </row>
        <row r="711">
          <cell r="A711">
            <v>920067</v>
          </cell>
          <cell r="B711">
            <v>16277034</v>
          </cell>
          <cell r="C711" t="str">
            <v>RAMIREZ FONTECHA JUAN CARLOS</v>
          </cell>
          <cell r="D711">
            <v>1764200</v>
          </cell>
          <cell r="E711" t="str">
            <v>SANITAS EPS</v>
          </cell>
        </row>
        <row r="712">
          <cell r="A712">
            <v>920070</v>
          </cell>
          <cell r="B712">
            <v>79649308</v>
          </cell>
          <cell r="C712" t="str">
            <v>RODRIGUEZ AVENDANO ALONSO</v>
          </cell>
          <cell r="D712">
            <v>2795300</v>
          </cell>
          <cell r="E712" t="str">
            <v>FAMISANAR E.P.S.</v>
          </cell>
        </row>
        <row r="713">
          <cell r="A713">
            <v>920078</v>
          </cell>
          <cell r="B713">
            <v>91071154</v>
          </cell>
          <cell r="C713" t="str">
            <v>LOPEZ CARRILLO EDGAR</v>
          </cell>
          <cell r="D713">
            <v>1745400</v>
          </cell>
          <cell r="E713" t="str">
            <v>FAMISANAR E.P.S.</v>
          </cell>
        </row>
        <row r="714">
          <cell r="A714">
            <v>920081</v>
          </cell>
          <cell r="B714">
            <v>4238695</v>
          </cell>
          <cell r="C714" t="str">
            <v>MALDONADO LIZARAZO LUIS EDUARDO</v>
          </cell>
          <cell r="D714">
            <v>1330700</v>
          </cell>
          <cell r="E714" t="str">
            <v>FAMISANAR E.P.S.</v>
          </cell>
        </row>
        <row r="715">
          <cell r="A715">
            <v>920085</v>
          </cell>
          <cell r="B715">
            <v>91072459</v>
          </cell>
          <cell r="C715" t="str">
            <v>LOPEZ CARRILLO ULISES</v>
          </cell>
          <cell r="D715">
            <v>1405200</v>
          </cell>
          <cell r="E715" t="str">
            <v>Nueva Promotora de Salud - Nueva EPS</v>
          </cell>
        </row>
        <row r="716">
          <cell r="A716">
            <v>920091</v>
          </cell>
          <cell r="B716">
            <v>177451</v>
          </cell>
          <cell r="C716" t="str">
            <v>BERNAL CASTILLO PEDRO FERNEY</v>
          </cell>
          <cell r="D716">
            <v>1869300</v>
          </cell>
          <cell r="E716" t="str">
            <v>FAMISANAR E.P.S.</v>
          </cell>
        </row>
        <row r="717">
          <cell r="A717">
            <v>920097</v>
          </cell>
          <cell r="B717">
            <v>4287829</v>
          </cell>
          <cell r="C717" t="str">
            <v>PEREZ DIAZ LUIS ARMANDO</v>
          </cell>
          <cell r="D717">
            <v>1405200</v>
          </cell>
          <cell r="E717" t="str">
            <v>FAMISANAR E.P.S.</v>
          </cell>
        </row>
        <row r="718">
          <cell r="A718">
            <v>920100</v>
          </cell>
          <cell r="B718">
            <v>39759788</v>
          </cell>
          <cell r="C718" t="str">
            <v>PENA ARANGUREN AURA ALEXANDRA</v>
          </cell>
          <cell r="D718">
            <v>2990800</v>
          </cell>
          <cell r="E718" t="str">
            <v>SANITAS EPS</v>
          </cell>
        </row>
        <row r="719">
          <cell r="A719">
            <v>920108</v>
          </cell>
          <cell r="B719">
            <v>80513116</v>
          </cell>
          <cell r="C719" t="str">
            <v>OLARTE BENITEZ HELVER ARTEMIO</v>
          </cell>
          <cell r="D719">
            <v>4951600</v>
          </cell>
          <cell r="E719" t="str">
            <v>SANITAS EPS</v>
          </cell>
        </row>
        <row r="720">
          <cell r="A720">
            <v>920112</v>
          </cell>
          <cell r="B720">
            <v>83116215</v>
          </cell>
          <cell r="C720" t="str">
            <v>CENTENO JAIMES ELIECER</v>
          </cell>
          <cell r="D720">
            <v>1236300</v>
          </cell>
          <cell r="E720" t="str">
            <v>FAMISANAR E.P.S.</v>
          </cell>
        </row>
        <row r="721">
          <cell r="A721">
            <v>920114</v>
          </cell>
          <cell r="B721">
            <v>10548915</v>
          </cell>
          <cell r="C721" t="str">
            <v>PENAGOS TAFURT ALFONSO</v>
          </cell>
          <cell r="D721">
            <v>10331000</v>
          </cell>
          <cell r="E721" t="str">
            <v>SANITAS EPS</v>
          </cell>
        </row>
        <row r="722">
          <cell r="A722">
            <v>920118</v>
          </cell>
          <cell r="B722">
            <v>9635612</v>
          </cell>
          <cell r="C722" t="str">
            <v>SALAMANCA QUESADA PEDRO PABLO</v>
          </cell>
          <cell r="D722">
            <v>1545200</v>
          </cell>
          <cell r="E722" t="str">
            <v>FAMISANAR E.P.S.</v>
          </cell>
        </row>
        <row r="723">
          <cell r="A723">
            <v>920141</v>
          </cell>
          <cell r="B723">
            <v>79429614</v>
          </cell>
          <cell r="C723" t="str">
            <v>VARGAS RUIZ JOSE ALBERTO</v>
          </cell>
          <cell r="D723">
            <v>1545200</v>
          </cell>
          <cell r="E723" t="str">
            <v>Nueva Promotora de Salud - Nueva EPS</v>
          </cell>
        </row>
        <row r="724">
          <cell r="A724">
            <v>920145</v>
          </cell>
          <cell r="B724">
            <v>80374368</v>
          </cell>
          <cell r="C724" t="str">
            <v>SARMIENTO PALACIOS JONH ALEJANDRO</v>
          </cell>
          <cell r="D724">
            <v>2795300</v>
          </cell>
          <cell r="E724" t="str">
            <v>FAMISANAR E.P.S.</v>
          </cell>
        </row>
        <row r="725">
          <cell r="A725">
            <v>920146</v>
          </cell>
          <cell r="B725">
            <v>79135801</v>
          </cell>
          <cell r="C725" t="str">
            <v>COLMENARES MAYORGA MAURICIO</v>
          </cell>
          <cell r="D725">
            <v>1405200</v>
          </cell>
          <cell r="E725" t="str">
            <v>FAMISANAR E.P.S.</v>
          </cell>
        </row>
        <row r="726">
          <cell r="A726">
            <v>920155</v>
          </cell>
          <cell r="B726">
            <v>19414020</v>
          </cell>
          <cell r="C726" t="str">
            <v>LADINO ESCOBAR ERNESTO</v>
          </cell>
          <cell r="D726">
            <v>2156700</v>
          </cell>
          <cell r="E726" t="str">
            <v>SURAMERICANA EPS</v>
          </cell>
        </row>
        <row r="727">
          <cell r="A727">
            <v>920158</v>
          </cell>
          <cell r="B727">
            <v>79480578</v>
          </cell>
          <cell r="C727" t="str">
            <v>ARIZA CONGUTA HENRY</v>
          </cell>
          <cell r="D727">
            <v>1347900</v>
          </cell>
          <cell r="E727" t="str">
            <v>Nueva Promotora de Salud - Nueva EPS</v>
          </cell>
        </row>
        <row r="728">
          <cell r="A728">
            <v>920160</v>
          </cell>
          <cell r="B728">
            <v>79528182</v>
          </cell>
          <cell r="C728" t="str">
            <v>GARCIA MORALES JOSE ARMANDO</v>
          </cell>
          <cell r="D728">
            <v>2802200</v>
          </cell>
          <cell r="E728" t="str">
            <v>FAMISANAR E.P.S.</v>
          </cell>
        </row>
        <row r="729">
          <cell r="A729">
            <v>920161</v>
          </cell>
          <cell r="B729">
            <v>19486918</v>
          </cell>
          <cell r="C729" t="str">
            <v>ARIZA CONGUTA GERMAN</v>
          </cell>
          <cell r="D729">
            <v>1405200</v>
          </cell>
          <cell r="E729" t="str">
            <v>Nueva Promotora de Salud - Nueva EPS</v>
          </cell>
        </row>
        <row r="730">
          <cell r="A730">
            <v>920162</v>
          </cell>
          <cell r="B730">
            <v>79430311</v>
          </cell>
          <cell r="C730" t="str">
            <v>HERRERA PUENTES ALFONSO</v>
          </cell>
          <cell r="D730">
            <v>1545200</v>
          </cell>
          <cell r="E730" t="str">
            <v>FAMISANAR E.P.S.</v>
          </cell>
        </row>
        <row r="731">
          <cell r="A731">
            <v>920163</v>
          </cell>
          <cell r="B731">
            <v>79604901</v>
          </cell>
          <cell r="C731" t="str">
            <v>QUINTERO ESPITIA CARLOS ALBERTO</v>
          </cell>
          <cell r="D731">
            <v>1289000</v>
          </cell>
          <cell r="E731" t="str">
            <v>Nueva Promotora de Salud - Nueva EPS</v>
          </cell>
        </row>
        <row r="732">
          <cell r="A732">
            <v>920165</v>
          </cell>
          <cell r="B732">
            <v>52053762</v>
          </cell>
          <cell r="C732" t="str">
            <v>LEAL GALVIS ALIX BIBIANA</v>
          </cell>
          <cell r="D732">
            <v>3179500</v>
          </cell>
          <cell r="E732" t="str">
            <v>FAMISANAR E.P.S.</v>
          </cell>
        </row>
        <row r="733">
          <cell r="A733">
            <v>920170</v>
          </cell>
          <cell r="B733">
            <v>80399898</v>
          </cell>
          <cell r="C733" t="str">
            <v>INFANTE GONZALEZ JAVIER</v>
          </cell>
          <cell r="D733">
            <v>1463300</v>
          </cell>
          <cell r="E733" t="str">
            <v>Nueva Promotora de Salud - Nueva EPS</v>
          </cell>
        </row>
        <row r="734">
          <cell r="A734">
            <v>920171</v>
          </cell>
          <cell r="B734">
            <v>79498224</v>
          </cell>
          <cell r="C734" t="str">
            <v>BELTRAN CASTRO WILLIAM ARMANDO</v>
          </cell>
          <cell r="D734">
            <v>1682500</v>
          </cell>
          <cell r="E734" t="str">
            <v>COMPENSAR EPS</v>
          </cell>
        </row>
        <row r="735">
          <cell r="A735">
            <v>920173</v>
          </cell>
          <cell r="B735">
            <v>80362826</v>
          </cell>
          <cell r="C735" t="str">
            <v>SILVA   HUGO ORLANDO</v>
          </cell>
          <cell r="D735">
            <v>1289000</v>
          </cell>
          <cell r="E735" t="str">
            <v>FAMISANAR E.P.S.</v>
          </cell>
        </row>
        <row r="736">
          <cell r="A736">
            <v>920176</v>
          </cell>
          <cell r="B736">
            <v>51680300</v>
          </cell>
          <cell r="C736" t="str">
            <v>GARZON GARZON BLANCA CECILIA</v>
          </cell>
          <cell r="D736">
            <v>1898100</v>
          </cell>
          <cell r="E736" t="str">
            <v>Nueva Promotora de Salud - Nueva EPS</v>
          </cell>
        </row>
        <row r="737">
          <cell r="A737">
            <v>920179</v>
          </cell>
          <cell r="B737">
            <v>79658664</v>
          </cell>
          <cell r="C737" t="str">
            <v>LOPEZ TORRES GERMAN ALONSO</v>
          </cell>
          <cell r="D737">
            <v>1545200</v>
          </cell>
          <cell r="E737" t="str">
            <v>Nueva Promotora de Salud - Nueva EPS</v>
          </cell>
        </row>
        <row r="738">
          <cell r="A738">
            <v>920189</v>
          </cell>
          <cell r="B738">
            <v>5771194</v>
          </cell>
          <cell r="C738" t="str">
            <v>CAMACHO BARENO ABELARDO</v>
          </cell>
          <cell r="D738">
            <v>1472100</v>
          </cell>
          <cell r="E738" t="str">
            <v>FAMISANAR E.P.S.</v>
          </cell>
        </row>
        <row r="739">
          <cell r="A739">
            <v>930002</v>
          </cell>
          <cell r="B739">
            <v>79404676</v>
          </cell>
          <cell r="C739" t="str">
            <v>AMAYA HUERTAS HENRRY GEOVANNY</v>
          </cell>
          <cell r="D739">
            <v>1764200</v>
          </cell>
          <cell r="E739" t="str">
            <v>FAMISANAR E.P.S.</v>
          </cell>
        </row>
        <row r="740">
          <cell r="A740">
            <v>930011</v>
          </cell>
          <cell r="B740">
            <v>39537859</v>
          </cell>
          <cell r="C740" t="str">
            <v>MONTOYA GUERRERO YOLANDA</v>
          </cell>
          <cell r="D740">
            <v>5486100</v>
          </cell>
          <cell r="E740" t="str">
            <v>SANITAS EPS</v>
          </cell>
        </row>
        <row r="741">
          <cell r="A741">
            <v>930021</v>
          </cell>
          <cell r="B741">
            <v>19456145</v>
          </cell>
          <cell r="C741" t="str">
            <v>PARDO RODRIGUEZ CESAR AUGUSTO</v>
          </cell>
          <cell r="D741">
            <v>2157500</v>
          </cell>
          <cell r="E741" t="str">
            <v>Nueva Promotora de Salud - Nueva EPS</v>
          </cell>
        </row>
        <row r="742">
          <cell r="A742">
            <v>930029</v>
          </cell>
          <cell r="B742">
            <v>80380294</v>
          </cell>
          <cell r="C742" t="str">
            <v>ARIZA MARTIN SAUL</v>
          </cell>
          <cell r="D742">
            <v>1545200</v>
          </cell>
          <cell r="E742" t="str">
            <v>SANITAS EPS</v>
          </cell>
        </row>
        <row r="743">
          <cell r="A743">
            <v>930032</v>
          </cell>
          <cell r="B743">
            <v>3201774</v>
          </cell>
          <cell r="C743" t="str">
            <v>GONZALEZ MORALES GERMAN</v>
          </cell>
          <cell r="D743">
            <v>1405200</v>
          </cell>
          <cell r="E743" t="str">
            <v>FAMISANAR E.P.S.</v>
          </cell>
        </row>
        <row r="744">
          <cell r="A744">
            <v>930036</v>
          </cell>
          <cell r="B744">
            <v>92188899</v>
          </cell>
          <cell r="C744" t="str">
            <v>HERNANDEZ VITAL AMAURY GABRIEL</v>
          </cell>
          <cell r="D744">
            <v>1347900</v>
          </cell>
          <cell r="E744" t="str">
            <v>FAMISANAR E.P.S.</v>
          </cell>
        </row>
        <row r="745">
          <cell r="A745">
            <v>930043</v>
          </cell>
          <cell r="B745">
            <v>80469279</v>
          </cell>
          <cell r="C745" t="str">
            <v>PASCAGAZA CAMBEROS GONZALO</v>
          </cell>
          <cell r="D745">
            <v>5038600</v>
          </cell>
          <cell r="E745" t="str">
            <v>FAMISANAR E.P.S.</v>
          </cell>
        </row>
        <row r="746">
          <cell r="A746">
            <v>930044</v>
          </cell>
          <cell r="B746">
            <v>79455572</v>
          </cell>
          <cell r="C746" t="str">
            <v>HERNANDEZ VERA HELIO</v>
          </cell>
          <cell r="D746">
            <v>1289000</v>
          </cell>
          <cell r="E746" t="str">
            <v>FAMISANAR E.P.S.</v>
          </cell>
        </row>
        <row r="747">
          <cell r="A747">
            <v>930045</v>
          </cell>
          <cell r="B747">
            <v>5886035</v>
          </cell>
          <cell r="C747" t="str">
            <v>MONTIEL LOZANO MIGUEL ANGEL</v>
          </cell>
          <cell r="D747">
            <v>1748500</v>
          </cell>
          <cell r="E747" t="str">
            <v>Nueva Promotora de Salud - Nueva EPS</v>
          </cell>
        </row>
        <row r="748">
          <cell r="A748">
            <v>930046</v>
          </cell>
          <cell r="B748">
            <v>79559821</v>
          </cell>
          <cell r="C748" t="str">
            <v>CASTRO PINTO NELSON</v>
          </cell>
          <cell r="D748">
            <v>1602500</v>
          </cell>
          <cell r="E748" t="str">
            <v>COMPENSAR EPS</v>
          </cell>
        </row>
        <row r="749">
          <cell r="A749">
            <v>930048</v>
          </cell>
          <cell r="B749">
            <v>79129499</v>
          </cell>
          <cell r="C749" t="str">
            <v>SASTOQUE DIAZ LUIS EDUARDO</v>
          </cell>
          <cell r="D749">
            <v>1602500</v>
          </cell>
          <cell r="E749" t="str">
            <v>COMPENSAR EPS</v>
          </cell>
        </row>
        <row r="750">
          <cell r="A750">
            <v>930049</v>
          </cell>
          <cell r="B750">
            <v>79623153</v>
          </cell>
          <cell r="C750" t="str">
            <v>LADINO MORENO EDGAR ALBERTO</v>
          </cell>
          <cell r="D750">
            <v>1626500</v>
          </cell>
          <cell r="E750" t="str">
            <v>COMPENSAR EPS</v>
          </cell>
        </row>
        <row r="751">
          <cell r="A751">
            <v>930050</v>
          </cell>
          <cell r="B751">
            <v>79618568</v>
          </cell>
          <cell r="C751" t="str">
            <v>AMAYA REYES JOSE MANUEL</v>
          </cell>
          <cell r="D751">
            <v>1463100</v>
          </cell>
          <cell r="E751" t="str">
            <v>FAMISANAR E.P.S.</v>
          </cell>
        </row>
        <row r="752">
          <cell r="A752">
            <v>930056</v>
          </cell>
          <cell r="B752">
            <v>7332809</v>
          </cell>
          <cell r="C752" t="str">
            <v>MENDOZA MONDRAGON WILSON</v>
          </cell>
          <cell r="D752">
            <v>1551600</v>
          </cell>
          <cell r="E752" t="str">
            <v>Nueva Promotora de Salud - Nueva EPS</v>
          </cell>
        </row>
        <row r="753">
          <cell r="A753">
            <v>930060</v>
          </cell>
          <cell r="B753">
            <v>79447932</v>
          </cell>
          <cell r="C753" t="str">
            <v>NOVA   JOSE ARMANDO</v>
          </cell>
          <cell r="D753">
            <v>5162000</v>
          </cell>
          <cell r="E753" t="str">
            <v>SURAMERICANA EPS</v>
          </cell>
        </row>
        <row r="754">
          <cell r="A754">
            <v>930068</v>
          </cell>
          <cell r="B754">
            <v>11337384</v>
          </cell>
          <cell r="C754" t="str">
            <v>RUBIO CHACON CARLOS EDUARDO</v>
          </cell>
          <cell r="D754">
            <v>3015700</v>
          </cell>
          <cell r="E754" t="str">
            <v>Nueva Promotora de Salud - Nueva EPS</v>
          </cell>
        </row>
        <row r="755">
          <cell r="A755">
            <v>930072</v>
          </cell>
          <cell r="B755">
            <v>79697160</v>
          </cell>
          <cell r="C755" t="str">
            <v>MEDINA BLANCO EDUARDO</v>
          </cell>
          <cell r="D755">
            <v>1835300</v>
          </cell>
          <cell r="E755" t="str">
            <v>Nueva Promotora de Salud - Nueva EPS</v>
          </cell>
        </row>
        <row r="756">
          <cell r="A756">
            <v>930073</v>
          </cell>
          <cell r="B756">
            <v>80442762</v>
          </cell>
          <cell r="C756" t="str">
            <v>AVILA SISA JUAN DE JESUS</v>
          </cell>
          <cell r="D756">
            <v>1545200</v>
          </cell>
          <cell r="E756" t="str">
            <v>FAMISANAR E.P.S.</v>
          </cell>
        </row>
        <row r="757">
          <cell r="A757">
            <v>930074</v>
          </cell>
          <cell r="B757">
            <v>79482932</v>
          </cell>
          <cell r="C757" t="str">
            <v>OTERO RUEDA RAFAEL</v>
          </cell>
          <cell r="D757">
            <v>2157500</v>
          </cell>
          <cell r="E757" t="str">
            <v>COMPENSAR EPS</v>
          </cell>
        </row>
        <row r="758">
          <cell r="A758">
            <v>930083</v>
          </cell>
          <cell r="B758">
            <v>19420439</v>
          </cell>
          <cell r="C758" t="str">
            <v>ZABALA RIVERA VANYHONY ENRIQUE</v>
          </cell>
          <cell r="D758">
            <v>1447900</v>
          </cell>
          <cell r="E758" t="str">
            <v>COMPENSAR EPS</v>
          </cell>
        </row>
        <row r="759">
          <cell r="A759">
            <v>930084</v>
          </cell>
          <cell r="B759">
            <v>11343845</v>
          </cell>
          <cell r="C759" t="str">
            <v>PACHON RODRIGUEZ OMAR ALBERTO</v>
          </cell>
          <cell r="D759">
            <v>4727900</v>
          </cell>
          <cell r="E759" t="str">
            <v>SANITAS EPS</v>
          </cell>
        </row>
        <row r="760">
          <cell r="A760">
            <v>930097</v>
          </cell>
          <cell r="B760">
            <v>80272681</v>
          </cell>
          <cell r="C760" t="str">
            <v>MARTINEZ DURAN EDGAR WILLIAM</v>
          </cell>
          <cell r="D760">
            <v>1332900</v>
          </cell>
          <cell r="E760" t="str">
            <v>FAMISANAR E.P.S.</v>
          </cell>
        </row>
        <row r="761">
          <cell r="A761">
            <v>930102</v>
          </cell>
          <cell r="B761">
            <v>7229466</v>
          </cell>
          <cell r="C761" t="str">
            <v>MORALES MONTIEL GUSTAVO</v>
          </cell>
          <cell r="D761">
            <v>1744700</v>
          </cell>
          <cell r="E761" t="str">
            <v>COMPENSAR EPS</v>
          </cell>
        </row>
        <row r="762">
          <cell r="A762">
            <v>940009</v>
          </cell>
          <cell r="B762">
            <v>79578564</v>
          </cell>
          <cell r="C762" t="str">
            <v>MORENO RODRIGUEZ WILLIAM NOE</v>
          </cell>
          <cell r="D762">
            <v>5009300</v>
          </cell>
          <cell r="E762" t="str">
            <v>SANITAS EPS</v>
          </cell>
        </row>
        <row r="763">
          <cell r="A763">
            <v>940011</v>
          </cell>
          <cell r="B763">
            <v>35519095</v>
          </cell>
          <cell r="C763" t="str">
            <v>RINCON SABOGAL ANA JULIA</v>
          </cell>
          <cell r="D763">
            <v>2456900</v>
          </cell>
          <cell r="E763" t="str">
            <v>COMPENSAR EPS</v>
          </cell>
        </row>
        <row r="764">
          <cell r="A764">
            <v>940013</v>
          </cell>
          <cell r="B764">
            <v>79570712</v>
          </cell>
          <cell r="C764" t="str">
            <v>RIVERA CASTANEDA HUGO ELVER</v>
          </cell>
          <cell r="D764">
            <v>1289000</v>
          </cell>
          <cell r="E764" t="str">
            <v>FAMISANAR E.P.S.</v>
          </cell>
        </row>
        <row r="765">
          <cell r="A765">
            <v>940022</v>
          </cell>
          <cell r="B765">
            <v>79469925</v>
          </cell>
          <cell r="C765" t="str">
            <v>SANCHEZ MONTENEGRO EDILBERTO</v>
          </cell>
          <cell r="D765">
            <v>2156900</v>
          </cell>
          <cell r="E765" t="str">
            <v>Nueva Promotora de Salud - Nueva EPS</v>
          </cell>
        </row>
        <row r="766">
          <cell r="A766">
            <v>940028</v>
          </cell>
          <cell r="B766">
            <v>79417422</v>
          </cell>
          <cell r="C766" t="str">
            <v>SANTANA CASTILLO JORGE RICARDO</v>
          </cell>
          <cell r="D766">
            <v>21000000</v>
          </cell>
          <cell r="E766" t="str">
            <v>SANITAS EPS</v>
          </cell>
        </row>
        <row r="767">
          <cell r="A767">
            <v>940033</v>
          </cell>
          <cell r="B767">
            <v>10174166</v>
          </cell>
          <cell r="C767" t="str">
            <v>OLIVEROS LOPEZ JAIME</v>
          </cell>
          <cell r="D767">
            <v>1289000</v>
          </cell>
          <cell r="E767" t="str">
            <v>Nueva Promotora de Salud - Nueva EPS</v>
          </cell>
        </row>
        <row r="768">
          <cell r="A768">
            <v>940038</v>
          </cell>
          <cell r="B768">
            <v>39561024</v>
          </cell>
          <cell r="C768" t="str">
            <v>SEPULVEDA LOZANO ANGELA MARIA</v>
          </cell>
          <cell r="D768">
            <v>7217300</v>
          </cell>
          <cell r="E768" t="str">
            <v>SANITAS EPS</v>
          </cell>
        </row>
        <row r="769">
          <cell r="A769">
            <v>940039</v>
          </cell>
          <cell r="B769">
            <v>79714891</v>
          </cell>
          <cell r="C769" t="str">
            <v>GUTIERREZ BELTRAN JOHN JAIRO</v>
          </cell>
          <cell r="D769">
            <v>1599600</v>
          </cell>
          <cell r="E769" t="str">
            <v>CRUZ BLANCA E.P.S.</v>
          </cell>
        </row>
        <row r="770">
          <cell r="A770">
            <v>940041</v>
          </cell>
          <cell r="B770">
            <v>10592528</v>
          </cell>
          <cell r="C770" t="str">
            <v>ARDILA RUIZ LUIS EDGAR</v>
          </cell>
          <cell r="D770">
            <v>1545200</v>
          </cell>
          <cell r="E770" t="str">
            <v>COMPENSAR EPS</v>
          </cell>
        </row>
        <row r="771">
          <cell r="A771">
            <v>940044</v>
          </cell>
          <cell r="B771">
            <v>51890116</v>
          </cell>
          <cell r="C771" t="str">
            <v>IZAQUITA HIGUERA MARIA STELLA</v>
          </cell>
          <cell r="D771">
            <v>2378500</v>
          </cell>
          <cell r="E771" t="str">
            <v>FAMISANAR E.P.S.</v>
          </cell>
        </row>
        <row r="772">
          <cell r="A772">
            <v>940046</v>
          </cell>
          <cell r="B772">
            <v>79308884</v>
          </cell>
          <cell r="C772" t="str">
            <v>PIRACON SALAZAR HERNANDO EDUARDO</v>
          </cell>
          <cell r="D772">
            <v>1649500</v>
          </cell>
          <cell r="E772" t="str">
            <v>Nueva Promotora de Salud - Nueva EPS</v>
          </cell>
        </row>
        <row r="773">
          <cell r="A773">
            <v>940048</v>
          </cell>
          <cell r="B773">
            <v>79461708</v>
          </cell>
          <cell r="C773" t="str">
            <v>CRUZ ROBAYO ANGEL GUILLERMO</v>
          </cell>
          <cell r="D773">
            <v>1747700</v>
          </cell>
          <cell r="E773" t="str">
            <v>COMPENSAR EPS</v>
          </cell>
        </row>
        <row r="774">
          <cell r="A774">
            <v>940052</v>
          </cell>
          <cell r="B774">
            <v>83233579</v>
          </cell>
          <cell r="C774" t="str">
            <v>CAMPOS NARVAEZ NEICER</v>
          </cell>
          <cell r="D774">
            <v>1545200</v>
          </cell>
          <cell r="E774" t="str">
            <v>CRUZ BLANCA E.P.S.</v>
          </cell>
        </row>
        <row r="775">
          <cell r="A775">
            <v>940054</v>
          </cell>
          <cell r="B775">
            <v>79499266</v>
          </cell>
          <cell r="C775" t="str">
            <v>TOLOZA RINCON EDUAR</v>
          </cell>
          <cell r="D775">
            <v>1545200</v>
          </cell>
          <cell r="E775" t="str">
            <v>CRUZ BLANCA E.P.S.</v>
          </cell>
        </row>
        <row r="776">
          <cell r="A776">
            <v>940059</v>
          </cell>
          <cell r="B776">
            <v>74338764</v>
          </cell>
          <cell r="C776" t="str">
            <v>RINCON RODRIGUEZ RAFAEL GUILLERMO</v>
          </cell>
          <cell r="D776">
            <v>1447900</v>
          </cell>
          <cell r="E776" t="str">
            <v>Nueva Promotora de Salud - Nueva EPS</v>
          </cell>
        </row>
        <row r="777">
          <cell r="A777">
            <v>940060</v>
          </cell>
          <cell r="B777">
            <v>79445789</v>
          </cell>
          <cell r="C777" t="str">
            <v>ROMERO MORA EDGAR EDILSON</v>
          </cell>
          <cell r="D777">
            <v>1625700</v>
          </cell>
          <cell r="E777" t="str">
            <v>FAMISANAR E.P.S.</v>
          </cell>
        </row>
        <row r="778">
          <cell r="A778">
            <v>940061</v>
          </cell>
          <cell r="B778">
            <v>12276016</v>
          </cell>
          <cell r="C778" t="str">
            <v>CADENA ROJAS JOSE ENRIQUE</v>
          </cell>
          <cell r="D778">
            <v>2795300</v>
          </cell>
          <cell r="E778" t="str">
            <v>Nueva Promotora de Salud - Nueva EPS</v>
          </cell>
        </row>
        <row r="779">
          <cell r="A779">
            <v>940062</v>
          </cell>
          <cell r="B779">
            <v>80470970</v>
          </cell>
          <cell r="C779" t="str">
            <v>NUNEZ DUENAS JAIR</v>
          </cell>
          <cell r="D779">
            <v>1405200</v>
          </cell>
          <cell r="E779" t="str">
            <v>FAMISANAR E.P.S.</v>
          </cell>
        </row>
        <row r="780">
          <cell r="A780">
            <v>940065</v>
          </cell>
          <cell r="B780">
            <v>80373757</v>
          </cell>
          <cell r="C780" t="str">
            <v>VARGAS NINO LUIS ANTONIO</v>
          </cell>
          <cell r="D780">
            <v>1649500</v>
          </cell>
          <cell r="E780" t="str">
            <v>FAMISANAR E.P.S.</v>
          </cell>
        </row>
        <row r="781">
          <cell r="A781">
            <v>940066</v>
          </cell>
          <cell r="B781">
            <v>11307943</v>
          </cell>
          <cell r="C781" t="str">
            <v>MENDOZA LOZANO BENJAMIN</v>
          </cell>
          <cell r="D781">
            <v>2795300</v>
          </cell>
          <cell r="E781" t="str">
            <v>COMPENSAR EPS</v>
          </cell>
        </row>
        <row r="782">
          <cell r="A782">
            <v>940067</v>
          </cell>
          <cell r="B782">
            <v>2996156</v>
          </cell>
          <cell r="C782" t="str">
            <v>CRUZ DAZA LIBARDO</v>
          </cell>
          <cell r="D782">
            <v>2825800</v>
          </cell>
          <cell r="E782" t="str">
            <v>FAMISANAR E.P.S.</v>
          </cell>
        </row>
        <row r="783">
          <cell r="A783">
            <v>940068</v>
          </cell>
          <cell r="B783">
            <v>9635509</v>
          </cell>
          <cell r="C783" t="str">
            <v>RODRIGUEZ QUESADA LUIS ALFONSO</v>
          </cell>
          <cell r="D783">
            <v>1347900</v>
          </cell>
          <cell r="E783" t="str">
            <v>FAMISANAR E.P.S.</v>
          </cell>
        </row>
        <row r="784">
          <cell r="A784">
            <v>940072</v>
          </cell>
          <cell r="B784">
            <v>7171460</v>
          </cell>
          <cell r="C784" t="str">
            <v>BURGOS VILLATE LEONARDO ANTONIO</v>
          </cell>
          <cell r="D784">
            <v>1744700</v>
          </cell>
          <cell r="E784" t="str">
            <v>FAMISANAR E.P.S.</v>
          </cell>
        </row>
        <row r="785">
          <cell r="A785">
            <v>940074</v>
          </cell>
          <cell r="B785">
            <v>79422313</v>
          </cell>
          <cell r="C785" t="str">
            <v>TELLEZ RAMIREZ JOSE WILLIAM</v>
          </cell>
          <cell r="D785">
            <v>1551600</v>
          </cell>
          <cell r="E785" t="str">
            <v>Nueva Promotora de Salud - Nueva EPS</v>
          </cell>
        </row>
        <row r="786">
          <cell r="A786">
            <v>940076</v>
          </cell>
          <cell r="B786">
            <v>80437718</v>
          </cell>
          <cell r="C786" t="str">
            <v>ALVAREZ SEPULVEDA JORGE ENRIQUE</v>
          </cell>
          <cell r="D786">
            <v>1312100</v>
          </cell>
          <cell r="E786" t="str">
            <v>COMPENSAR EPS</v>
          </cell>
        </row>
        <row r="787">
          <cell r="A787">
            <v>940079</v>
          </cell>
          <cell r="B787">
            <v>79244076</v>
          </cell>
          <cell r="C787" t="str">
            <v>PASCAGAZA CAMBEROS JORGE ORLANDO</v>
          </cell>
          <cell r="D787">
            <v>1405200</v>
          </cell>
          <cell r="E787" t="str">
            <v>FAMISANAR E.P.S.</v>
          </cell>
        </row>
        <row r="788">
          <cell r="A788">
            <v>940080</v>
          </cell>
          <cell r="B788">
            <v>80492517</v>
          </cell>
          <cell r="C788" t="str">
            <v>GARCIA PRIETO JAIME GIOVANNY</v>
          </cell>
          <cell r="D788">
            <v>1315900</v>
          </cell>
          <cell r="E788" t="str">
            <v>COMPENSAR EPS</v>
          </cell>
        </row>
        <row r="789">
          <cell r="A789">
            <v>940083</v>
          </cell>
          <cell r="B789">
            <v>79384832</v>
          </cell>
          <cell r="C789" t="str">
            <v>BELTRAN SUAREZ CARLOS ALBERTO</v>
          </cell>
          <cell r="D789">
            <v>1289000</v>
          </cell>
          <cell r="E789" t="str">
            <v>FAMISANAR E.P.S.</v>
          </cell>
        </row>
        <row r="790">
          <cell r="A790">
            <v>940086</v>
          </cell>
          <cell r="B790">
            <v>80435185</v>
          </cell>
          <cell r="C790" t="str">
            <v>RAMIREZ GARZON ALEXANDER</v>
          </cell>
          <cell r="D790">
            <v>1545200</v>
          </cell>
          <cell r="E790" t="str">
            <v>FAMISANAR E.P.S.</v>
          </cell>
        </row>
        <row r="791">
          <cell r="A791">
            <v>940087</v>
          </cell>
          <cell r="B791">
            <v>80429231</v>
          </cell>
          <cell r="C791" t="str">
            <v>CARVAJAL ALVARADO PEDRO JESUS</v>
          </cell>
          <cell r="D791">
            <v>2795300</v>
          </cell>
          <cell r="E791" t="str">
            <v>FAMISANAR E.P.S.</v>
          </cell>
        </row>
        <row r="792">
          <cell r="A792">
            <v>940088</v>
          </cell>
          <cell r="B792">
            <v>79700780</v>
          </cell>
          <cell r="C792" t="str">
            <v>OROZCO VERGARA BRAULIO ANTONIO</v>
          </cell>
          <cell r="D792">
            <v>1314400</v>
          </cell>
          <cell r="E792" t="str">
            <v>COMPENSAR EPS</v>
          </cell>
        </row>
        <row r="793">
          <cell r="A793">
            <v>940097</v>
          </cell>
          <cell r="B793">
            <v>79460615</v>
          </cell>
          <cell r="C793" t="str">
            <v>POVEDA ROMERO EDGAR AUGUSTO</v>
          </cell>
          <cell r="D793">
            <v>3262300</v>
          </cell>
          <cell r="E793" t="str">
            <v>FAMISANAR E.P.S.</v>
          </cell>
        </row>
        <row r="794">
          <cell r="A794">
            <v>940098</v>
          </cell>
          <cell r="B794">
            <v>79519393</v>
          </cell>
          <cell r="C794" t="str">
            <v>MARTINEZ PRIETO JORGE ENRIQUE</v>
          </cell>
          <cell r="D794">
            <v>4976800</v>
          </cell>
          <cell r="E794" t="str">
            <v>COMPENSAR EPS</v>
          </cell>
        </row>
        <row r="795">
          <cell r="A795">
            <v>940100</v>
          </cell>
          <cell r="B795">
            <v>39701421</v>
          </cell>
          <cell r="C795" t="str">
            <v>CARDENAS GARCIA MARTHA CECILIA</v>
          </cell>
          <cell r="D795">
            <v>5852500</v>
          </cell>
          <cell r="E795" t="str">
            <v>SANITAS EPS</v>
          </cell>
        </row>
        <row r="796">
          <cell r="A796">
            <v>940107</v>
          </cell>
          <cell r="B796">
            <v>52036809</v>
          </cell>
          <cell r="C796" t="str">
            <v>CARO MORALES CLAUDIA MARCELA</v>
          </cell>
          <cell r="D796">
            <v>4941700</v>
          </cell>
          <cell r="E796" t="str">
            <v>ALIANSALUD EPS</v>
          </cell>
        </row>
        <row r="797">
          <cell r="A797">
            <v>950003</v>
          </cell>
          <cell r="B797">
            <v>79353469</v>
          </cell>
          <cell r="C797" t="str">
            <v>CASTRO MORENO HELMER MARTIN</v>
          </cell>
          <cell r="D797">
            <v>2203200</v>
          </cell>
          <cell r="E797" t="str">
            <v>ALIANSALUD EPS</v>
          </cell>
        </row>
        <row r="798">
          <cell r="A798">
            <v>950007</v>
          </cell>
          <cell r="B798">
            <v>79297318</v>
          </cell>
          <cell r="C798" t="str">
            <v>MENDEZ PUENTES ALVARO AUGUSTO</v>
          </cell>
          <cell r="D798">
            <v>2235200</v>
          </cell>
          <cell r="E798" t="str">
            <v>SANITAS EPS</v>
          </cell>
        </row>
        <row r="799">
          <cell r="A799">
            <v>950012</v>
          </cell>
          <cell r="B799">
            <v>52025908</v>
          </cell>
          <cell r="C799" t="str">
            <v>MARTINEZ DURAN LEOPOLDINA</v>
          </cell>
          <cell r="D799">
            <v>2836900</v>
          </cell>
          <cell r="E799" t="str">
            <v>ALIANSALUD EPS</v>
          </cell>
        </row>
        <row r="800">
          <cell r="A800">
            <v>950017</v>
          </cell>
          <cell r="B800">
            <v>52224394</v>
          </cell>
          <cell r="C800" t="str">
            <v>ALBA MARIN JENNY ESPERANZA</v>
          </cell>
          <cell r="D800">
            <v>1888100</v>
          </cell>
          <cell r="E800" t="str">
            <v>FAMISANAR E.P.S.</v>
          </cell>
        </row>
        <row r="801">
          <cell r="A801">
            <v>950020</v>
          </cell>
          <cell r="B801">
            <v>79579217</v>
          </cell>
          <cell r="C801" t="str">
            <v>PITTORE CRUZ LEONARDO</v>
          </cell>
          <cell r="D801">
            <v>3349600</v>
          </cell>
          <cell r="E801" t="str">
            <v>FAMISANAR E.P.S.</v>
          </cell>
        </row>
        <row r="802">
          <cell r="A802">
            <v>950024</v>
          </cell>
          <cell r="B802">
            <v>51821828</v>
          </cell>
          <cell r="C802" t="str">
            <v>NARANJO NOSSA ANA GRACIELA</v>
          </cell>
          <cell r="D802">
            <v>3072600</v>
          </cell>
          <cell r="E802" t="str">
            <v>FAMISANAR E.P.S.</v>
          </cell>
        </row>
        <row r="803">
          <cell r="A803">
            <v>950026</v>
          </cell>
          <cell r="B803">
            <v>79582099</v>
          </cell>
          <cell r="C803" t="str">
            <v>RODRIGUEZ ULLOA LUIS FERNANDO</v>
          </cell>
          <cell r="D803">
            <v>1456400</v>
          </cell>
          <cell r="E803" t="str">
            <v>FAMISANAR E.P.S.</v>
          </cell>
        </row>
        <row r="804">
          <cell r="A804">
            <v>950032</v>
          </cell>
          <cell r="B804">
            <v>51943834</v>
          </cell>
          <cell r="C804" t="str">
            <v>ROA GALVIS MYRIAM</v>
          </cell>
          <cell r="D804">
            <v>1479400</v>
          </cell>
          <cell r="E804" t="str">
            <v>FAMISANAR E.P.S.</v>
          </cell>
        </row>
        <row r="805">
          <cell r="A805">
            <v>950044</v>
          </cell>
          <cell r="B805">
            <v>79594342</v>
          </cell>
          <cell r="C805" t="str">
            <v>ROBLES RIVEROS WILLIAM</v>
          </cell>
          <cell r="D805">
            <v>1682500</v>
          </cell>
          <cell r="E805" t="str">
            <v>COMPENSAR EPS</v>
          </cell>
        </row>
        <row r="806">
          <cell r="A806">
            <v>950045</v>
          </cell>
          <cell r="B806">
            <v>79432849</v>
          </cell>
          <cell r="C806" t="str">
            <v>RODRIGUEZ MENDEZ JOSE VICENTE</v>
          </cell>
          <cell r="D806">
            <v>1347900</v>
          </cell>
          <cell r="E806" t="str">
            <v>FAMISANAR E.P.S.</v>
          </cell>
        </row>
        <row r="807">
          <cell r="A807">
            <v>950046</v>
          </cell>
          <cell r="B807">
            <v>79558750</v>
          </cell>
          <cell r="C807" t="str">
            <v>ORJUELA RIANO LUIS RODOLFO</v>
          </cell>
          <cell r="D807">
            <v>1318200</v>
          </cell>
          <cell r="E807" t="str">
            <v>SANITAS EPS</v>
          </cell>
        </row>
        <row r="808">
          <cell r="A808">
            <v>950047</v>
          </cell>
          <cell r="B808">
            <v>79767761</v>
          </cell>
          <cell r="C808" t="str">
            <v>SALAMANCA RIOS JOHN ALBEIRO</v>
          </cell>
          <cell r="D808">
            <v>2372500</v>
          </cell>
          <cell r="E808" t="str">
            <v>FAMISANAR E.P.S.</v>
          </cell>
        </row>
        <row r="809">
          <cell r="A809">
            <v>950048</v>
          </cell>
          <cell r="B809">
            <v>79456403</v>
          </cell>
          <cell r="C809" t="str">
            <v>BERNAL ACEVEDO DANIEL</v>
          </cell>
          <cell r="D809">
            <v>1673600</v>
          </cell>
          <cell r="E809" t="str">
            <v>Nueva Promotora de Salud - Nueva EPS</v>
          </cell>
        </row>
        <row r="810">
          <cell r="A810">
            <v>950051</v>
          </cell>
          <cell r="B810">
            <v>79569608</v>
          </cell>
          <cell r="C810" t="str">
            <v>GARCIA BARBOSA ALEXANDER</v>
          </cell>
          <cell r="D810">
            <v>2795300</v>
          </cell>
          <cell r="E810" t="str">
            <v>FAMISANAR E.P.S.</v>
          </cell>
        </row>
        <row r="811">
          <cell r="A811">
            <v>950052</v>
          </cell>
          <cell r="B811">
            <v>79826209</v>
          </cell>
          <cell r="C811" t="str">
            <v>ALGE HERRERA LUIS ALFONSO</v>
          </cell>
          <cell r="D811">
            <v>1447900</v>
          </cell>
          <cell r="E811" t="str">
            <v>CRUZ BLANCA E.P.S.</v>
          </cell>
        </row>
        <row r="812">
          <cell r="A812">
            <v>950053</v>
          </cell>
          <cell r="B812">
            <v>91450140</v>
          </cell>
          <cell r="C812" t="str">
            <v>RUEDA PEREZ LEON ARMANDO</v>
          </cell>
          <cell r="D812">
            <v>1405200</v>
          </cell>
          <cell r="E812" t="str">
            <v>FAMISANAR E.P.S.</v>
          </cell>
        </row>
        <row r="813">
          <cell r="A813">
            <v>950054</v>
          </cell>
          <cell r="B813">
            <v>79848116</v>
          </cell>
          <cell r="C813" t="str">
            <v>URREGO CARDENAS CARLOS JOSE</v>
          </cell>
          <cell r="D813">
            <v>2860900</v>
          </cell>
          <cell r="E813" t="str">
            <v>COMPENSAR EPS</v>
          </cell>
        </row>
        <row r="814">
          <cell r="A814">
            <v>950062</v>
          </cell>
          <cell r="B814">
            <v>91294230</v>
          </cell>
          <cell r="C814" t="str">
            <v>AMADO AMADO CRISTIAN JOSUE</v>
          </cell>
          <cell r="D814">
            <v>7492200</v>
          </cell>
          <cell r="E814" t="str">
            <v>SURAMERICANA EPS</v>
          </cell>
        </row>
        <row r="815">
          <cell r="A815">
            <v>950064</v>
          </cell>
          <cell r="B815">
            <v>52149758</v>
          </cell>
          <cell r="C815" t="str">
            <v>ORTIZ MEZA ANDREA DEL PILAR</v>
          </cell>
          <cell r="D815">
            <v>4312300</v>
          </cell>
          <cell r="E815" t="str">
            <v>SANITAS EPS</v>
          </cell>
        </row>
        <row r="816">
          <cell r="A816">
            <v>950067</v>
          </cell>
          <cell r="B816">
            <v>79635674</v>
          </cell>
          <cell r="C816" t="str">
            <v>ALFONSO ACOSTA LEONEL ALFONSO</v>
          </cell>
          <cell r="D816">
            <v>1289000</v>
          </cell>
          <cell r="E816" t="str">
            <v>FAMISANAR E.P.S.</v>
          </cell>
        </row>
        <row r="817">
          <cell r="A817">
            <v>950068</v>
          </cell>
          <cell r="B817">
            <v>79703851</v>
          </cell>
          <cell r="C817" t="str">
            <v>HENAO ESCUDERO RUBEN DARIO</v>
          </cell>
          <cell r="D817">
            <v>1289000</v>
          </cell>
          <cell r="E817" t="str">
            <v>FAMISANAR E.P.S.</v>
          </cell>
        </row>
        <row r="818">
          <cell r="A818">
            <v>950070</v>
          </cell>
          <cell r="B818">
            <v>79846132</v>
          </cell>
          <cell r="C818" t="str">
            <v>ARIAS   JESUS ANDRES</v>
          </cell>
          <cell r="D818">
            <v>1289000</v>
          </cell>
          <cell r="E818" t="str">
            <v>FAMISANAR E.P.S.</v>
          </cell>
        </row>
        <row r="819">
          <cell r="A819">
            <v>950071</v>
          </cell>
          <cell r="B819">
            <v>94225225</v>
          </cell>
          <cell r="C819" t="str">
            <v>ANGULO   LUIS ERNESTO</v>
          </cell>
          <cell r="D819">
            <v>1364500</v>
          </cell>
          <cell r="E819" t="str">
            <v>FAMISANAR E.P.S.</v>
          </cell>
        </row>
        <row r="820">
          <cell r="A820">
            <v>960004</v>
          </cell>
          <cell r="B820">
            <v>79491274</v>
          </cell>
          <cell r="C820" t="str">
            <v>PERDOMO QUIROGA WILLIAM EVER</v>
          </cell>
          <cell r="D820">
            <v>3135700</v>
          </cell>
          <cell r="E820" t="str">
            <v>SURAMERICANA EPS</v>
          </cell>
        </row>
        <row r="821">
          <cell r="A821">
            <v>960005</v>
          </cell>
          <cell r="B821">
            <v>79827532</v>
          </cell>
          <cell r="C821" t="str">
            <v>SALAMANCA ROMERO FREDY ALEXANDER</v>
          </cell>
          <cell r="D821">
            <v>1314400</v>
          </cell>
          <cell r="E821" t="str">
            <v>COMPENSAR EPS</v>
          </cell>
        </row>
        <row r="822">
          <cell r="A822">
            <v>960007</v>
          </cell>
          <cell r="B822">
            <v>79849471</v>
          </cell>
          <cell r="C822" t="str">
            <v>GARCIA ALBIAR WILSON ALEXANDER</v>
          </cell>
          <cell r="D822">
            <v>1438900</v>
          </cell>
          <cell r="E822" t="str">
            <v>COMPENSAR EPS</v>
          </cell>
        </row>
        <row r="823">
          <cell r="A823">
            <v>960009</v>
          </cell>
          <cell r="B823">
            <v>79840669</v>
          </cell>
          <cell r="C823" t="str">
            <v>GONZALEZ TORRALBA FREDY ALBERTO</v>
          </cell>
          <cell r="D823">
            <v>1443500</v>
          </cell>
          <cell r="E823" t="str">
            <v>FAMISANAR E.P.S.</v>
          </cell>
        </row>
        <row r="824">
          <cell r="A824">
            <v>960018</v>
          </cell>
          <cell r="B824">
            <v>79828619</v>
          </cell>
          <cell r="C824" t="str">
            <v>VILLANUEVA SANTANA DUBERNEY</v>
          </cell>
          <cell r="D824">
            <v>1545200</v>
          </cell>
          <cell r="E824" t="str">
            <v>SANITAS EPS</v>
          </cell>
        </row>
        <row r="825">
          <cell r="A825">
            <v>970011</v>
          </cell>
          <cell r="B825">
            <v>91073100</v>
          </cell>
          <cell r="C825" t="str">
            <v>URIBE ARDILA LUIS HUMBERTO</v>
          </cell>
          <cell r="D825">
            <v>1447900</v>
          </cell>
          <cell r="E825" t="str">
            <v>SURAMERICANA EPS</v>
          </cell>
        </row>
        <row r="826">
          <cell r="A826">
            <v>970012</v>
          </cell>
          <cell r="B826">
            <v>79465313</v>
          </cell>
          <cell r="C826" t="str">
            <v>NARVAEZ ACOSTA PEDRO ANTONIO</v>
          </cell>
          <cell r="D826">
            <v>1649500</v>
          </cell>
          <cell r="E826" t="str">
            <v>SURAMERICANA EPS</v>
          </cell>
        </row>
        <row r="827">
          <cell r="A827">
            <v>970015</v>
          </cell>
          <cell r="B827">
            <v>52178365</v>
          </cell>
          <cell r="C827" t="str">
            <v>GALINDO ALMONACID LINA MARIA</v>
          </cell>
          <cell r="D827">
            <v>7422500</v>
          </cell>
          <cell r="E827" t="str">
            <v>ALIANSALUD EPS</v>
          </cell>
        </row>
        <row r="828">
          <cell r="A828">
            <v>980005</v>
          </cell>
          <cell r="B828">
            <v>79398146</v>
          </cell>
          <cell r="C828" t="str">
            <v>RICO RAMIREZ NELSON DARIO</v>
          </cell>
          <cell r="D828">
            <v>8100000</v>
          </cell>
          <cell r="E828" t="str">
            <v>SANITAS EPS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N3" t="str">
            <v>FAMISANAR E.P.S.</v>
          </cell>
          <cell r="AA3">
            <v>0</v>
          </cell>
        </row>
        <row r="4">
          <cell r="N4" t="str">
            <v>FAMISANAR E.P.S.</v>
          </cell>
          <cell r="AA4">
            <v>0</v>
          </cell>
        </row>
        <row r="5">
          <cell r="N5" t="str">
            <v>FAMISANAR E.P.S.</v>
          </cell>
          <cell r="AA5">
            <v>25690</v>
          </cell>
        </row>
        <row r="6">
          <cell r="N6" t="str">
            <v>FAMISANAR E.P.S.</v>
          </cell>
          <cell r="AA6">
            <v>0</v>
          </cell>
        </row>
        <row r="7">
          <cell r="N7" t="str">
            <v>NUEVA EMPRESA PROMOTORA DE SALUD S.A</v>
          </cell>
          <cell r="AA7">
            <v>0</v>
          </cell>
        </row>
        <row r="8">
          <cell r="N8" t="str">
            <v>FAMISANAR E.P.S.</v>
          </cell>
          <cell r="AA8">
            <v>0</v>
          </cell>
        </row>
        <row r="9">
          <cell r="N9" t="str">
            <v>FAMISANAR E.P.S.</v>
          </cell>
          <cell r="AA9">
            <v>285881</v>
          </cell>
        </row>
        <row r="10">
          <cell r="N10" t="str">
            <v>FAMISANAR E.P.S.</v>
          </cell>
          <cell r="AA10">
            <v>0</v>
          </cell>
        </row>
        <row r="11">
          <cell r="N11" t="str">
            <v>CAFESALUD E.P.S.</v>
          </cell>
          <cell r="AA11">
            <v>0</v>
          </cell>
        </row>
        <row r="12">
          <cell r="N12" t="str">
            <v>CAFESALUD E.P.S.</v>
          </cell>
          <cell r="AA12">
            <v>0</v>
          </cell>
        </row>
        <row r="13">
          <cell r="N13" t="str">
            <v>CAFESALUD E.P.S.</v>
          </cell>
          <cell r="AA13">
            <v>78137</v>
          </cell>
        </row>
        <row r="14">
          <cell r="N14" t="str">
            <v>CAFESALUD E.P.S.</v>
          </cell>
          <cell r="AA14">
            <v>39069</v>
          </cell>
        </row>
        <row r="15">
          <cell r="N15" t="str">
            <v>FAMISANAR E.P.S.</v>
          </cell>
          <cell r="AA15">
            <v>121406</v>
          </cell>
        </row>
        <row r="16">
          <cell r="N16" t="str">
            <v>FAMISANAR E.P.S.</v>
          </cell>
          <cell r="AA16">
            <v>364218</v>
          </cell>
        </row>
        <row r="17">
          <cell r="N17" t="str">
            <v>NUEVA EPS</v>
          </cell>
          <cell r="AA17">
            <v>0</v>
          </cell>
        </row>
        <row r="18">
          <cell r="N18" t="str">
            <v>ENTIDAD PROMOTORA DE SALUD ORGANISMO COOPERAT</v>
          </cell>
          <cell r="AA18">
            <v>0</v>
          </cell>
        </row>
        <row r="19">
          <cell r="N19" t="str">
            <v>ENTIDAD PROMOTORA DE SALUD ORGANISMO COOPERAT</v>
          </cell>
          <cell r="AA19">
            <v>0</v>
          </cell>
        </row>
        <row r="20">
          <cell r="N20" t="str">
            <v>FAMISANAR E.P.S.</v>
          </cell>
          <cell r="AA20">
            <v>0</v>
          </cell>
        </row>
        <row r="21">
          <cell r="N21" t="str">
            <v>FAMISANAR E.P.S.</v>
          </cell>
          <cell r="AA21">
            <v>0</v>
          </cell>
        </row>
        <row r="22">
          <cell r="N22" t="str">
            <v>FAMISANAR E.P.S.</v>
          </cell>
          <cell r="AA22">
            <v>0</v>
          </cell>
        </row>
        <row r="23">
          <cell r="N23" t="str">
            <v>FAMISANAR E.P.S.</v>
          </cell>
          <cell r="AA23">
            <v>0</v>
          </cell>
        </row>
        <row r="24">
          <cell r="N24" t="str">
            <v>CAJA DE COMPENSACION FAMILIAR COMPENSAR</v>
          </cell>
          <cell r="AA24">
            <v>0</v>
          </cell>
        </row>
        <row r="25">
          <cell r="N25" t="str">
            <v>FAMISANAR E.P.S.</v>
          </cell>
          <cell r="AA25">
            <v>0</v>
          </cell>
        </row>
        <row r="26">
          <cell r="N26" t="str">
            <v>FAMISANAR E.P.S.</v>
          </cell>
          <cell r="AA26">
            <v>0</v>
          </cell>
        </row>
        <row r="27">
          <cell r="N27" t="str">
            <v>SALUD TOTAL S.A.</v>
          </cell>
          <cell r="AA27">
            <v>0</v>
          </cell>
        </row>
        <row r="28">
          <cell r="N28" t="str">
            <v>ENTIDAD PROMOTORA DE SALUD SANITAS S.A. EPS</v>
          </cell>
          <cell r="AA28">
            <v>0</v>
          </cell>
        </row>
        <row r="29">
          <cell r="N29" t="str">
            <v>FAMISANAR E.P.S.</v>
          </cell>
          <cell r="AA29">
            <v>782039</v>
          </cell>
        </row>
        <row r="30">
          <cell r="N30" t="str">
            <v>ALIANSALUD EPS</v>
          </cell>
          <cell r="AA30">
            <v>0</v>
          </cell>
        </row>
        <row r="31">
          <cell r="N31" t="str">
            <v>ALIANSALUD EPS</v>
          </cell>
          <cell r="AA31">
            <v>0</v>
          </cell>
        </row>
        <row r="32">
          <cell r="N32" t="str">
            <v>ALIANSALUD EPS</v>
          </cell>
          <cell r="AA32">
            <v>0</v>
          </cell>
        </row>
        <row r="33">
          <cell r="N33" t="str">
            <v>FAMISANAR E.P.S.</v>
          </cell>
          <cell r="AA33">
            <v>0</v>
          </cell>
        </row>
        <row r="34">
          <cell r="N34" t="str">
            <v>FAMISANAR E.P.S.</v>
          </cell>
          <cell r="AA34">
            <v>0</v>
          </cell>
        </row>
        <row r="35">
          <cell r="N35" t="str">
            <v>SALUD TOTAL S.A.</v>
          </cell>
          <cell r="AA35">
            <v>128451</v>
          </cell>
        </row>
        <row r="36">
          <cell r="N36" t="str">
            <v>CRUZ BLANCA E.P.S. S.A.</v>
          </cell>
          <cell r="AA36">
            <v>0</v>
          </cell>
        </row>
        <row r="37">
          <cell r="N37" t="str">
            <v>CRUZ BLANCA E.P.S. S.A.</v>
          </cell>
          <cell r="AA37">
            <v>0</v>
          </cell>
        </row>
        <row r="38">
          <cell r="N38" t="str">
            <v>FAMISANAR E.P.S.</v>
          </cell>
          <cell r="AA38">
            <v>466667</v>
          </cell>
        </row>
        <row r="39">
          <cell r="N39" t="str">
            <v>FAMISANAR E.P.S.</v>
          </cell>
          <cell r="AA39">
            <v>25579</v>
          </cell>
        </row>
        <row r="40">
          <cell r="N40" t="str">
            <v>FAMISANAR E.P.S.</v>
          </cell>
          <cell r="AA40">
            <v>0</v>
          </cell>
        </row>
        <row r="41">
          <cell r="N41" t="str">
            <v>FAMISANAR E.P.S.</v>
          </cell>
          <cell r="AA41">
            <v>0</v>
          </cell>
        </row>
        <row r="42">
          <cell r="N42" t="str">
            <v>FAMISANAR E.P.S.</v>
          </cell>
          <cell r="AA42">
            <v>0</v>
          </cell>
        </row>
        <row r="43">
          <cell r="N43" t="str">
            <v>NUEVA EMPRESA PROMOTORA DE SALUD S.A</v>
          </cell>
          <cell r="AA43">
            <v>0</v>
          </cell>
        </row>
        <row r="44">
          <cell r="N44" t="str">
            <v>ENTIDAD PROMOTORA DE SALUD SANITAS S.A. EPS</v>
          </cell>
          <cell r="AA44">
            <v>0</v>
          </cell>
        </row>
        <row r="45">
          <cell r="N45" t="str">
            <v>POSITIVA</v>
          </cell>
          <cell r="AA45">
            <v>0</v>
          </cell>
        </row>
        <row r="46">
          <cell r="N46" t="str">
            <v>ENTIDAD PROMOTORA DE SALUD SANITAS S.A. EPS</v>
          </cell>
          <cell r="AA46">
            <v>0</v>
          </cell>
        </row>
        <row r="47">
          <cell r="N47" t="str">
            <v>ENTIDAD PROMOTORA DE SALUD SANITAS S.A. EPS</v>
          </cell>
          <cell r="AA47">
            <v>0</v>
          </cell>
        </row>
        <row r="48">
          <cell r="N48" t="str">
            <v>ENTIDAD PROMOTORA DE SALUD SANITAS S.A. EPS</v>
          </cell>
          <cell r="AA48">
            <v>0</v>
          </cell>
        </row>
        <row r="49">
          <cell r="N49" t="str">
            <v>ENTIDAD PROMOTORA DE SALUD SANITAS S.A. EPS</v>
          </cell>
          <cell r="AA49">
            <v>0</v>
          </cell>
        </row>
        <row r="50">
          <cell r="N50" t="str">
            <v>SANITAS EPS</v>
          </cell>
          <cell r="AA50">
            <v>0</v>
          </cell>
        </row>
        <row r="51">
          <cell r="N51" t="str">
            <v>SANITAS EPS</v>
          </cell>
          <cell r="AA51">
            <v>0</v>
          </cell>
        </row>
        <row r="52">
          <cell r="N52" t="str">
            <v>POSITIVA</v>
          </cell>
          <cell r="AA52">
            <v>283500</v>
          </cell>
        </row>
        <row r="53">
          <cell r="N53" t="str">
            <v>NUEVA EMPRESA PROMOTORA DE SALUD S.A</v>
          </cell>
          <cell r="AA53">
            <v>0</v>
          </cell>
        </row>
        <row r="54">
          <cell r="N54" t="str">
            <v>CRUZ BLANCA E.P.S. S.A.</v>
          </cell>
          <cell r="AA54">
            <v>0</v>
          </cell>
        </row>
        <row r="55">
          <cell r="N55" t="str">
            <v>POSITIVA</v>
          </cell>
          <cell r="AA55">
            <v>0</v>
          </cell>
        </row>
        <row r="56">
          <cell r="N56" t="str">
            <v>CRUZ BLANCA E.P.S. S.A.</v>
          </cell>
          <cell r="AA56">
            <v>0</v>
          </cell>
        </row>
        <row r="57">
          <cell r="N57" t="str">
            <v>CRUZ BLANCA E.P.S. S.A.</v>
          </cell>
          <cell r="AA57">
            <v>0</v>
          </cell>
        </row>
        <row r="58">
          <cell r="N58" t="str">
            <v>CRUZ BLANCA E.P.S. S.A.</v>
          </cell>
          <cell r="AA58">
            <v>0</v>
          </cell>
        </row>
        <row r="59">
          <cell r="N59" t="str">
            <v>FAMISANAR E.P.S.</v>
          </cell>
          <cell r="AA59">
            <v>0</v>
          </cell>
        </row>
        <row r="60">
          <cell r="N60" t="str">
            <v>CAJA DE COMPENSACION FAMILIAR COMPENSAR</v>
          </cell>
          <cell r="AA60">
            <v>-1</v>
          </cell>
        </row>
        <row r="61">
          <cell r="N61" t="str">
            <v>NUEVA EPS</v>
          </cell>
          <cell r="AA61">
            <v>193320</v>
          </cell>
        </row>
        <row r="62">
          <cell r="N62" t="str">
            <v>NUEVA EMPRESA PROMOTORA DE SALUD S.A</v>
          </cell>
          <cell r="AA62">
            <v>0</v>
          </cell>
        </row>
        <row r="63">
          <cell r="N63" t="str">
            <v>NUEVA EMPRESA PROMOTORA DE SALUD S.A</v>
          </cell>
          <cell r="AA63">
            <v>21480</v>
          </cell>
        </row>
        <row r="64">
          <cell r="N64" t="str">
            <v>FAMISANAR E.P.S.</v>
          </cell>
          <cell r="AA64">
            <v>0</v>
          </cell>
        </row>
        <row r="65">
          <cell r="N65" t="str">
            <v>FAMISANAR E.P.S.</v>
          </cell>
          <cell r="AA65">
            <v>0</v>
          </cell>
        </row>
        <row r="66">
          <cell r="N66" t="str">
            <v>ENTIDAD PROMOTORA DE SALUD ORGANISMO COOPERAT</v>
          </cell>
          <cell r="AA66">
            <v>0</v>
          </cell>
        </row>
        <row r="67">
          <cell r="N67" t="str">
            <v>POSITIVA</v>
          </cell>
          <cell r="AA67">
            <v>0</v>
          </cell>
        </row>
        <row r="68">
          <cell r="N68" t="str">
            <v>CAFESALUD E.P.S.</v>
          </cell>
          <cell r="AA68">
            <v>0</v>
          </cell>
        </row>
        <row r="69">
          <cell r="N69" t="str">
            <v>CAFESALUD E.P.S.</v>
          </cell>
          <cell r="AA69">
            <v>296281</v>
          </cell>
        </row>
        <row r="70">
          <cell r="N70" t="str">
            <v>SALUD TOTAL S.A.</v>
          </cell>
          <cell r="AA70">
            <v>0</v>
          </cell>
        </row>
        <row r="71">
          <cell r="N71" t="str">
            <v>FAMISANAR E.P.S.</v>
          </cell>
          <cell r="AA71">
            <v>0</v>
          </cell>
        </row>
        <row r="72">
          <cell r="N72" t="str">
            <v>FAMISANAR E.P.S.</v>
          </cell>
          <cell r="AA72">
            <v>0</v>
          </cell>
        </row>
        <row r="73">
          <cell r="N73" t="str">
            <v>FAMISANAR E.P.S.</v>
          </cell>
          <cell r="AA73">
            <v>0</v>
          </cell>
        </row>
        <row r="74">
          <cell r="N74" t="str">
            <v>FAMISANAR E.P.S.</v>
          </cell>
          <cell r="AA74">
            <v>0</v>
          </cell>
        </row>
        <row r="75">
          <cell r="N75" t="str">
            <v>CAJA DE COMPENSACION FAMILIAR COMPENSAR</v>
          </cell>
          <cell r="AA75">
            <v>0</v>
          </cell>
        </row>
        <row r="76">
          <cell r="N76" t="str">
            <v>CAJA DE COMPENSACION FAMILIAR COMPENSAR</v>
          </cell>
          <cell r="AA76">
            <v>0</v>
          </cell>
        </row>
        <row r="77">
          <cell r="N77" t="str">
            <v>CAJA DE COMPENSACION FAMILIAR COMPENSAR</v>
          </cell>
          <cell r="AA77">
            <v>0</v>
          </cell>
        </row>
        <row r="78">
          <cell r="N78" t="str">
            <v>CAJA DE COMPENSACION FAMILIAR COMPENSAR</v>
          </cell>
          <cell r="AA78">
            <v>0</v>
          </cell>
        </row>
        <row r="79">
          <cell r="N79" t="str">
            <v>COMPENSAR EPS</v>
          </cell>
          <cell r="AA79">
            <v>859865</v>
          </cell>
        </row>
        <row r="80">
          <cell r="N80" t="str">
            <v>FAMISANAR E.P.S.</v>
          </cell>
          <cell r="AA80">
            <v>0</v>
          </cell>
        </row>
        <row r="81">
          <cell r="N81" t="str">
            <v>FAMISANAR E.P.S.</v>
          </cell>
          <cell r="AA81">
            <v>0</v>
          </cell>
        </row>
        <row r="82">
          <cell r="N82" t="e">
            <v>#N/A</v>
          </cell>
          <cell r="AA82">
            <v>0</v>
          </cell>
        </row>
        <row r="83">
          <cell r="N83" t="str">
            <v>FAMISANAR E.P.S.</v>
          </cell>
          <cell r="AA83">
            <v>0</v>
          </cell>
        </row>
        <row r="84">
          <cell r="N84" t="str">
            <v>FAMISANAR E.P.S.</v>
          </cell>
          <cell r="AA84">
            <v>0</v>
          </cell>
        </row>
        <row r="85">
          <cell r="N85" t="str">
            <v>FAMISANAR E.P.S.</v>
          </cell>
          <cell r="AA85">
            <v>0</v>
          </cell>
        </row>
        <row r="86">
          <cell r="N86" t="str">
            <v>FAMISANAR E.P.S.</v>
          </cell>
          <cell r="AA86">
            <v>0</v>
          </cell>
        </row>
        <row r="87">
          <cell r="N87" t="str">
            <v>FAMISANAR E.P.S.</v>
          </cell>
          <cell r="AA87">
            <v>0</v>
          </cell>
        </row>
        <row r="88">
          <cell r="N88" t="str">
            <v>POSITIVA</v>
          </cell>
          <cell r="AA88">
            <v>303600</v>
          </cell>
        </row>
        <row r="89">
          <cell r="N89" t="str">
            <v>POSITIVA</v>
          </cell>
          <cell r="AA89">
            <v>-36067</v>
          </cell>
        </row>
        <row r="90">
          <cell r="N90" t="str">
            <v>POSITIVA</v>
          </cell>
          <cell r="AA90">
            <v>132600</v>
          </cell>
        </row>
        <row r="91">
          <cell r="N91" t="str">
            <v>FAMISANAR E.P.S.</v>
          </cell>
          <cell r="AA91">
            <v>0</v>
          </cell>
        </row>
        <row r="92">
          <cell r="N92" t="str">
            <v>FAMISANAR E.P.S.</v>
          </cell>
          <cell r="AA92">
            <v>0</v>
          </cell>
        </row>
        <row r="93">
          <cell r="N93" t="str">
            <v>FAMISANAR E.P.S.</v>
          </cell>
          <cell r="AA93">
            <v>0</v>
          </cell>
        </row>
        <row r="94">
          <cell r="N94" t="str">
            <v>POSITIVA</v>
          </cell>
          <cell r="AA94">
            <v>214833</v>
          </cell>
        </row>
        <row r="95">
          <cell r="N95" t="str">
            <v>FAMISANAR E.P.S.</v>
          </cell>
          <cell r="AA95">
            <v>429667</v>
          </cell>
        </row>
        <row r="96">
          <cell r="N96" t="str">
            <v>FAMISANAR E.P.S.</v>
          </cell>
          <cell r="AA96">
            <v>57292</v>
          </cell>
        </row>
        <row r="97">
          <cell r="N97" t="str">
            <v>POSITIVA</v>
          </cell>
          <cell r="AA97">
            <v>85933</v>
          </cell>
        </row>
        <row r="98">
          <cell r="N98" t="str">
            <v>POSITIVA</v>
          </cell>
          <cell r="AA98">
            <v>859333</v>
          </cell>
        </row>
        <row r="99">
          <cell r="N99" t="str">
            <v>POSITIVA</v>
          </cell>
          <cell r="AA99">
            <v>86867</v>
          </cell>
        </row>
        <row r="100">
          <cell r="N100" t="str">
            <v>POSITIVA</v>
          </cell>
          <cell r="AA100">
            <v>171867</v>
          </cell>
        </row>
        <row r="101">
          <cell r="N101" t="str">
            <v>POSITIVA</v>
          </cell>
          <cell r="AA101">
            <v>42967</v>
          </cell>
        </row>
        <row r="102">
          <cell r="N102" t="str">
            <v>POSITIVA</v>
          </cell>
          <cell r="AA102">
            <v>868667</v>
          </cell>
        </row>
        <row r="103">
          <cell r="N103" t="str">
            <v>POSITIVA</v>
          </cell>
          <cell r="AA103">
            <v>434333</v>
          </cell>
        </row>
        <row r="104">
          <cell r="N104" t="str">
            <v>POSITIVA</v>
          </cell>
          <cell r="AA104">
            <v>304033</v>
          </cell>
        </row>
        <row r="105">
          <cell r="N105" t="str">
            <v>FAMISANAR E.P.S.</v>
          </cell>
          <cell r="AA105">
            <v>75115</v>
          </cell>
        </row>
        <row r="106">
          <cell r="N106" t="str">
            <v>FAMISANAR E.P.S.</v>
          </cell>
          <cell r="AA106">
            <v>0</v>
          </cell>
        </row>
        <row r="107">
          <cell r="N107" t="str">
            <v>CAJA DE COMPENSACION FAMILIAR COMPENSAR</v>
          </cell>
          <cell r="AA107">
            <v>134851</v>
          </cell>
        </row>
        <row r="108">
          <cell r="N108" t="str">
            <v>FAMISANAR E.P.S.</v>
          </cell>
          <cell r="AA108">
            <v>0</v>
          </cell>
        </row>
        <row r="109">
          <cell r="N109" t="str">
            <v>FAMISANAR E.P.S.</v>
          </cell>
          <cell r="AA109">
            <v>0</v>
          </cell>
        </row>
        <row r="110">
          <cell r="N110" t="str">
            <v>POSITIVA</v>
          </cell>
          <cell r="AA110">
            <v>0</v>
          </cell>
        </row>
        <row r="111">
          <cell r="N111" t="str">
            <v>NUEVA EMPRESA PROMOTORA DE SALUD S.A</v>
          </cell>
          <cell r="AA111">
            <v>92627</v>
          </cell>
        </row>
        <row r="112">
          <cell r="N112" t="str">
            <v>NUEVA EMPRESA PROMOTORA DE SALUD S.A</v>
          </cell>
          <cell r="AA112">
            <v>0</v>
          </cell>
        </row>
        <row r="113">
          <cell r="N113" t="str">
            <v>NUEVA EMPRESA PROMOTORA DE SALUD S.A</v>
          </cell>
          <cell r="AA113">
            <v>0</v>
          </cell>
        </row>
        <row r="114">
          <cell r="N114" t="str">
            <v>NUEVA EMPRESA PROMOTORA DE SALUD S.A</v>
          </cell>
          <cell r="AA114">
            <v>0</v>
          </cell>
        </row>
        <row r="115">
          <cell r="N115" t="str">
            <v>NUEVA EMPRESA PROMOTORA DE SALUD S.A</v>
          </cell>
          <cell r="AA115">
            <v>0</v>
          </cell>
        </row>
        <row r="116">
          <cell r="N116" t="str">
            <v>NUEVA EMPRESA PROMOTORA DE SALUD S.A</v>
          </cell>
          <cell r="AA116">
            <v>0</v>
          </cell>
        </row>
        <row r="117">
          <cell r="N117" t="str">
            <v>NUEVA EMPRESA PROMOTORA DE SALUD S.A</v>
          </cell>
          <cell r="AA117">
            <v>0</v>
          </cell>
        </row>
        <row r="118">
          <cell r="N118" t="str">
            <v>ENTIDAD PROMOTORA DE SALUD SANITAS S.A. EPS</v>
          </cell>
          <cell r="AA118">
            <v>0</v>
          </cell>
        </row>
        <row r="119">
          <cell r="N119" t="str">
            <v>FAMISANAR E.P.S.</v>
          </cell>
          <cell r="AA119">
            <v>0</v>
          </cell>
        </row>
        <row r="120">
          <cell r="N120" t="str">
            <v>FAMISANAR E.P.S.</v>
          </cell>
          <cell r="AA120">
            <v>0</v>
          </cell>
        </row>
        <row r="121">
          <cell r="N121" t="str">
            <v>FAMISANAR E.P.S.</v>
          </cell>
          <cell r="AA121">
            <v>0</v>
          </cell>
        </row>
        <row r="122">
          <cell r="N122" t="e">
            <v>#N/A</v>
          </cell>
          <cell r="AA122">
            <v>21480</v>
          </cell>
        </row>
        <row r="123">
          <cell r="N123" t="str">
            <v>FAMISANAR E.P.S.</v>
          </cell>
          <cell r="AA123">
            <v>0</v>
          </cell>
        </row>
        <row r="124">
          <cell r="N124" t="str">
            <v>ENTIDAD PROMOTORA DE SALUD SANITAS S.A. EPS</v>
          </cell>
          <cell r="AA124">
            <v>0</v>
          </cell>
        </row>
        <row r="125">
          <cell r="N125" t="str">
            <v>ENTIDAD PROMOTORA DE SALUD ORGANISMO COOPERAT</v>
          </cell>
          <cell r="AA125">
            <v>24290</v>
          </cell>
        </row>
        <row r="126">
          <cell r="N126" t="e">
            <v>#N/A</v>
          </cell>
          <cell r="AA126">
            <v>0</v>
          </cell>
        </row>
        <row r="127">
          <cell r="N127" t="str">
            <v>NUEVA EMPRESA PROMOTORA DE SALUD S.A</v>
          </cell>
          <cell r="AA127">
            <v>0</v>
          </cell>
        </row>
        <row r="128">
          <cell r="N128" t="str">
            <v>CAJA DE COMPENSACION FAMILIAR COMPENSAR</v>
          </cell>
          <cell r="AA128">
            <v>0</v>
          </cell>
        </row>
        <row r="129">
          <cell r="N129" t="str">
            <v>POSITIVA</v>
          </cell>
          <cell r="AA129">
            <v>0</v>
          </cell>
        </row>
        <row r="130">
          <cell r="N130" t="str">
            <v>CAJA DE COMPENSACION FAMILIAR COMPENSAR</v>
          </cell>
          <cell r="AA130">
            <v>0</v>
          </cell>
        </row>
        <row r="131">
          <cell r="N131" t="str">
            <v>POSITIVA</v>
          </cell>
          <cell r="AA131">
            <v>52231</v>
          </cell>
        </row>
        <row r="132">
          <cell r="N132" t="str">
            <v>POSITIVA</v>
          </cell>
          <cell r="AA132">
            <v>111923</v>
          </cell>
        </row>
        <row r="133">
          <cell r="N133" t="str">
            <v>POSITIVA</v>
          </cell>
          <cell r="AA133">
            <v>156692</v>
          </cell>
        </row>
        <row r="134">
          <cell r="N134" t="str">
            <v>POSITIVA</v>
          </cell>
          <cell r="AA134">
            <v>111923</v>
          </cell>
        </row>
        <row r="135">
          <cell r="N135">
            <v>0</v>
          </cell>
          <cell r="AA135">
            <v>-241108</v>
          </cell>
        </row>
        <row r="136">
          <cell r="N136" t="str">
            <v>CAJA DE COMPENSACION FAMILIAR COMPENSAR</v>
          </cell>
          <cell r="AA136">
            <v>-203988</v>
          </cell>
        </row>
        <row r="137">
          <cell r="N137" t="str">
            <v>CAJA DE COMPENSACION FAMILIAR COMPENSAR</v>
          </cell>
          <cell r="AA137">
            <v>0</v>
          </cell>
        </row>
        <row r="138">
          <cell r="N138" t="str">
            <v>CAJA DE COMPENSACION FAMILIAR COMPENSAR</v>
          </cell>
          <cell r="AA138">
            <v>-236812</v>
          </cell>
        </row>
        <row r="139">
          <cell r="N139" t="str">
            <v>CAJA DE COMPENSACION FAMILIAR COMPENSAR</v>
          </cell>
          <cell r="AA139">
            <v>0</v>
          </cell>
        </row>
        <row r="140">
          <cell r="N140" t="str">
            <v>CAJA DE COMPENSACION FAMILIAR COMPENSAR</v>
          </cell>
          <cell r="AA140">
            <v>0</v>
          </cell>
        </row>
        <row r="141">
          <cell r="N141" t="str">
            <v>CRUZ BLANCA E.P.S. S.A.</v>
          </cell>
          <cell r="AA141">
            <v>0</v>
          </cell>
        </row>
        <row r="142">
          <cell r="N142" t="str">
            <v>POSITIVA</v>
          </cell>
          <cell r="AA142">
            <v>0</v>
          </cell>
        </row>
        <row r="143">
          <cell r="N143" t="str">
            <v>FAMISANAR E.P.S.</v>
          </cell>
          <cell r="AA143">
            <v>0</v>
          </cell>
        </row>
        <row r="144">
          <cell r="N144" t="str">
            <v>FAMISANAR E.P.S.</v>
          </cell>
          <cell r="AA144">
            <v>84449</v>
          </cell>
        </row>
        <row r="145">
          <cell r="N145" t="str">
            <v>FAMISANAR E.P.S.</v>
          </cell>
          <cell r="AA145">
            <v>0</v>
          </cell>
        </row>
        <row r="146">
          <cell r="N146" t="str">
            <v>CAJA DE COMPENSACION FAMILIAR COMPENSAR</v>
          </cell>
          <cell r="AA146">
            <v>0</v>
          </cell>
        </row>
        <row r="147">
          <cell r="N147" t="str">
            <v>COMPENSAR EPS</v>
          </cell>
          <cell r="AA147">
            <v>0</v>
          </cell>
        </row>
        <row r="148">
          <cell r="N148" t="e">
            <v>#N/A</v>
          </cell>
          <cell r="AA148">
            <v>0</v>
          </cell>
        </row>
        <row r="149">
          <cell r="N149" t="str">
            <v>POSITIVA</v>
          </cell>
          <cell r="AA149">
            <v>0</v>
          </cell>
        </row>
        <row r="150">
          <cell r="N150" t="str">
            <v>FAMISANAR E.P.S.</v>
          </cell>
          <cell r="AA150">
            <v>0</v>
          </cell>
        </row>
        <row r="151">
          <cell r="N151" t="str">
            <v>NUEVA EMPRESA PROMOTORA DE SALUD S.A</v>
          </cell>
          <cell r="AA151">
            <v>-8678</v>
          </cell>
        </row>
        <row r="152">
          <cell r="N152" t="str">
            <v>NUEVA EMPRESA PROMOTORA DE SALUD S.A</v>
          </cell>
          <cell r="AA152">
            <v>121229</v>
          </cell>
        </row>
        <row r="153">
          <cell r="N153" t="str">
            <v>NUEVA EMPRESA PROMOTORA DE SALUD S.A</v>
          </cell>
          <cell r="AA153">
            <v>48492</v>
          </cell>
        </row>
        <row r="154">
          <cell r="N154" t="str">
            <v>NUEVA EMPRESA PROMOTORA DE SALUD S.A</v>
          </cell>
          <cell r="AA154">
            <v>0</v>
          </cell>
        </row>
        <row r="155">
          <cell r="N155" t="str">
            <v>NUEVA EMPRESA PROMOTORA DE SALUD S.A</v>
          </cell>
          <cell r="AA155">
            <v>0</v>
          </cell>
        </row>
        <row r="156">
          <cell r="N156" t="str">
            <v>FAMISANAR E.P.S.</v>
          </cell>
          <cell r="AA156">
            <v>0</v>
          </cell>
        </row>
        <row r="157">
          <cell r="N157" t="str">
            <v>FAMISANAR E.P.S.</v>
          </cell>
          <cell r="AA157">
            <v>0</v>
          </cell>
        </row>
        <row r="158">
          <cell r="N158" t="str">
            <v>FAMISANAR E.P.S.</v>
          </cell>
          <cell r="AA158">
            <v>0</v>
          </cell>
        </row>
        <row r="159">
          <cell r="N159" t="str">
            <v>FAMISANAR E.P.S.</v>
          </cell>
          <cell r="AA159">
            <v>615999</v>
          </cell>
        </row>
        <row r="160">
          <cell r="N160" t="str">
            <v>FAMISANAR E.P.S.</v>
          </cell>
          <cell r="AA160">
            <v>579960</v>
          </cell>
        </row>
        <row r="161">
          <cell r="N161" t="str">
            <v>FAMISANAR E.P.S.</v>
          </cell>
          <cell r="AA161">
            <v>42960</v>
          </cell>
        </row>
        <row r="162">
          <cell r="N162" t="str">
            <v>FAMISANAR E.P.S.</v>
          </cell>
          <cell r="AA162">
            <v>558480</v>
          </cell>
        </row>
        <row r="163">
          <cell r="N163" t="str">
            <v>SALUD TOTAL S.A.</v>
          </cell>
          <cell r="AA163">
            <v>124451</v>
          </cell>
        </row>
        <row r="164">
          <cell r="N164" t="str">
            <v>CAJA DE COMPENSACION FAMILIAR COMPENSAR</v>
          </cell>
          <cell r="AA164">
            <v>0</v>
          </cell>
        </row>
        <row r="165">
          <cell r="N165" t="str">
            <v>NUEVA EMPRESA PROMOTORA DE SALUD S.A</v>
          </cell>
          <cell r="AA165">
            <v>0</v>
          </cell>
        </row>
        <row r="166">
          <cell r="N166" t="str">
            <v>NUEVA EMPRESA PROMOTORA DE SALUD S.A</v>
          </cell>
          <cell r="AA166">
            <v>0</v>
          </cell>
        </row>
        <row r="167">
          <cell r="N167" t="str">
            <v>NUEVA EMPRESA PROMOTORA DE SALUD S.A</v>
          </cell>
          <cell r="AA167">
            <v>0</v>
          </cell>
        </row>
        <row r="168">
          <cell r="N168" t="str">
            <v>NUEVA EPS</v>
          </cell>
          <cell r="AA168">
            <v>0</v>
          </cell>
        </row>
        <row r="169">
          <cell r="N169" t="str">
            <v>NUEVA EPS</v>
          </cell>
          <cell r="AA169">
            <v>0</v>
          </cell>
        </row>
        <row r="170">
          <cell r="N170" t="str">
            <v>ENTIDAD PROMOTORA DE SALUD SANITAS S.A. EPS</v>
          </cell>
          <cell r="AA170">
            <v>0</v>
          </cell>
        </row>
        <row r="171">
          <cell r="N171" t="str">
            <v>CRUZ BLANCA E.P.S. S.A.</v>
          </cell>
          <cell r="AA171">
            <v>0</v>
          </cell>
        </row>
        <row r="172">
          <cell r="N172" t="str">
            <v>ENTIDAD PROMOTORA DE SALUD SANITAS S.A. EPS</v>
          </cell>
          <cell r="AA172">
            <v>0</v>
          </cell>
        </row>
        <row r="173">
          <cell r="N173" t="str">
            <v>CAJA DE COMPENSACION FAMILIAR COMPENSAR</v>
          </cell>
          <cell r="AA173">
            <v>0</v>
          </cell>
        </row>
        <row r="174">
          <cell r="N174" t="str">
            <v>CAJA DE COMPENSACION FAMILIAR COMPENSAR</v>
          </cell>
          <cell r="AA174">
            <v>0</v>
          </cell>
        </row>
        <row r="175">
          <cell r="N175" t="str">
            <v>POSITIVA</v>
          </cell>
          <cell r="AA175">
            <v>0</v>
          </cell>
        </row>
        <row r="176">
          <cell r="N176" t="str">
            <v>EPS Y MEDICINA PREPAGADA SURAMERICANA S.A</v>
          </cell>
          <cell r="AA176">
            <v>0</v>
          </cell>
        </row>
        <row r="177">
          <cell r="N177" t="str">
            <v>EPS Y MEDICINA PREPAGADA SURAMERICANA S.A</v>
          </cell>
          <cell r="AA177">
            <v>0</v>
          </cell>
        </row>
        <row r="178">
          <cell r="N178" t="str">
            <v>EPS Y MEDICINA PREPAGADA SURAMERICANA S.A</v>
          </cell>
          <cell r="AA178">
            <v>0</v>
          </cell>
        </row>
        <row r="179">
          <cell r="N179" t="str">
            <v>CRUZ BLANCA E.P.S. S.A.</v>
          </cell>
          <cell r="AA179">
            <v>0</v>
          </cell>
        </row>
        <row r="180">
          <cell r="N180" t="str">
            <v>CRUZ BLANCA E.P.S. S.A.</v>
          </cell>
          <cell r="AA180">
            <v>42960</v>
          </cell>
        </row>
        <row r="181">
          <cell r="N181" t="str">
            <v>CAJA DE COMPENSACION FAMILIAR COMPENSAR</v>
          </cell>
          <cell r="AA181">
            <v>50891</v>
          </cell>
        </row>
        <row r="182">
          <cell r="N182" t="str">
            <v>ALIANSALUD EPS</v>
          </cell>
          <cell r="AA182">
            <v>140874</v>
          </cell>
        </row>
        <row r="183">
          <cell r="N183" t="str">
            <v>ENTIDAD PROMOTORA DE SALUD SERVICIO OCCIDENTA</v>
          </cell>
          <cell r="AA183">
            <v>0</v>
          </cell>
        </row>
        <row r="184">
          <cell r="N184" t="str">
            <v>ENTIDAD PROMOTORA DE SALUD SERVICIO OCCIDENTA</v>
          </cell>
          <cell r="AA184">
            <v>0</v>
          </cell>
        </row>
        <row r="185">
          <cell r="N185" t="str">
            <v>ENTIDAD PROMOTORA DE SALUD SERVICIO OCCIDENTA</v>
          </cell>
          <cell r="AA185">
            <v>0</v>
          </cell>
        </row>
        <row r="186">
          <cell r="N186" t="str">
            <v>S.O.S.</v>
          </cell>
          <cell r="AA186">
            <v>0</v>
          </cell>
        </row>
        <row r="187">
          <cell r="N187" t="str">
            <v>ALIANSALUD EPS</v>
          </cell>
          <cell r="AA187">
            <v>0</v>
          </cell>
        </row>
        <row r="188">
          <cell r="N188" t="str">
            <v>ALIANSALUD EPS</v>
          </cell>
          <cell r="AA188">
            <v>0</v>
          </cell>
        </row>
        <row r="189">
          <cell r="N189" t="str">
            <v>ALIANSALUD EPS</v>
          </cell>
          <cell r="AA189">
            <v>0</v>
          </cell>
        </row>
        <row r="190">
          <cell r="N190" t="str">
            <v>ALIANSALUD EPS</v>
          </cell>
          <cell r="AA190">
            <v>0</v>
          </cell>
        </row>
        <row r="191">
          <cell r="N191" t="str">
            <v>FAMISANAR E.P.S.</v>
          </cell>
          <cell r="AA191">
            <v>0</v>
          </cell>
        </row>
        <row r="192">
          <cell r="N192" t="str">
            <v>SALUD TOTAL S.A.</v>
          </cell>
          <cell r="AA192">
            <v>0</v>
          </cell>
        </row>
        <row r="193">
          <cell r="N193" t="str">
            <v>SALUD TOTAL S.A.</v>
          </cell>
          <cell r="AA193">
            <v>0</v>
          </cell>
        </row>
        <row r="194">
          <cell r="N194" t="str">
            <v>SALUD TOTAL S.A.</v>
          </cell>
          <cell r="AA194">
            <v>0</v>
          </cell>
        </row>
        <row r="195">
          <cell r="N195" t="str">
            <v>POSITIVA</v>
          </cell>
          <cell r="AA195">
            <v>0</v>
          </cell>
        </row>
        <row r="196">
          <cell r="N196" t="str">
            <v>SALUD TOTAL S.A.</v>
          </cell>
          <cell r="AA196">
            <v>0</v>
          </cell>
        </row>
        <row r="197">
          <cell r="N197" t="str">
            <v>SALUD TOTAL S.A.</v>
          </cell>
          <cell r="AA197">
            <v>0</v>
          </cell>
        </row>
        <row r="198">
          <cell r="N198" t="str">
            <v>ENTIDAD PROMOTORA DE SALUD SANITAS S.A. EPS</v>
          </cell>
          <cell r="AA198">
            <v>0</v>
          </cell>
        </row>
        <row r="199">
          <cell r="N199" t="str">
            <v>ENTIDAD PROMOTORA DE SALUD ORGANISMO COOPERAT</v>
          </cell>
          <cell r="AA199">
            <v>0</v>
          </cell>
        </row>
        <row r="200">
          <cell r="N200" t="str">
            <v>ENTIDAD PROMOTORA DE SALUD ORGANISMO COOPERAT</v>
          </cell>
          <cell r="AA200">
            <v>0</v>
          </cell>
        </row>
        <row r="201">
          <cell r="N201" t="str">
            <v>ENTIDAD PROMOTORA DE SALUD ORGANISMO COOPERAT</v>
          </cell>
          <cell r="AA201">
            <v>0</v>
          </cell>
        </row>
        <row r="202">
          <cell r="N202" t="str">
            <v>FAMISANAR E.P.S.</v>
          </cell>
          <cell r="AA202">
            <v>0</v>
          </cell>
        </row>
        <row r="203">
          <cell r="N203" t="str">
            <v>FAMISANAR E.P.S.</v>
          </cell>
          <cell r="AA203">
            <v>0</v>
          </cell>
        </row>
        <row r="204">
          <cell r="N204" t="str">
            <v>FAMISANAR E.P.S.</v>
          </cell>
          <cell r="AA204">
            <v>0</v>
          </cell>
        </row>
        <row r="205">
          <cell r="N205" t="str">
            <v>FAMISANAR E.P.S.</v>
          </cell>
          <cell r="AA205">
            <v>0</v>
          </cell>
        </row>
        <row r="206">
          <cell r="N206" t="str">
            <v>FAMISANAR E.P.S.</v>
          </cell>
          <cell r="AA206">
            <v>0</v>
          </cell>
        </row>
        <row r="207">
          <cell r="N207" t="str">
            <v>FAMISANAR E.P.S.</v>
          </cell>
          <cell r="AA207">
            <v>470424</v>
          </cell>
        </row>
        <row r="208">
          <cell r="N208" t="str">
            <v>FAMISANAR E.P.S.</v>
          </cell>
          <cell r="AA208">
            <v>78404</v>
          </cell>
        </row>
        <row r="209">
          <cell r="N209" t="str">
            <v>FAMISANAR E.P.S.</v>
          </cell>
          <cell r="AA209">
            <v>156808</v>
          </cell>
        </row>
        <row r="210">
          <cell r="N210" t="str">
            <v>FAMISANAR E.P.S.</v>
          </cell>
          <cell r="AA210">
            <v>0</v>
          </cell>
        </row>
        <row r="211">
          <cell r="N211" t="str">
            <v>NUEVA EMPRESA PROMOTORA DE SALUD S.A</v>
          </cell>
          <cell r="AA211">
            <v>0</v>
          </cell>
        </row>
        <row r="212">
          <cell r="N212" t="str">
            <v>NUEVA EMPRESA PROMOTORA DE SALUD S.A</v>
          </cell>
          <cell r="AA212">
            <v>0</v>
          </cell>
        </row>
        <row r="213">
          <cell r="N213" t="str">
            <v>NUEVA EMPRESA PROMOTORA DE SALUD S.A</v>
          </cell>
          <cell r="AA213">
            <v>0</v>
          </cell>
        </row>
        <row r="214">
          <cell r="N214" t="str">
            <v>NUEVA EMPRESA PROMOTORA DE SALUD S.A</v>
          </cell>
          <cell r="AA214">
            <v>118273</v>
          </cell>
        </row>
        <row r="215">
          <cell r="N215" t="str">
            <v>NUEVA EMPRESA PROMOTORA DE SALUD S.A</v>
          </cell>
          <cell r="AA215">
            <v>0</v>
          </cell>
        </row>
        <row r="216">
          <cell r="N216" t="str">
            <v>NUEVA EMPRESA PROMOTORA DE SALUD S.A</v>
          </cell>
          <cell r="AA216">
            <v>275969</v>
          </cell>
        </row>
        <row r="217">
          <cell r="N217" t="str">
            <v>FAMISANAR E.P.S.</v>
          </cell>
          <cell r="AA217">
            <v>0</v>
          </cell>
        </row>
        <row r="218">
          <cell r="N218" t="str">
            <v>FAMISANAR E.P.S.</v>
          </cell>
          <cell r="AA218">
            <v>0</v>
          </cell>
        </row>
        <row r="219">
          <cell r="N219" t="str">
            <v>FAMISANAR E.P.S.</v>
          </cell>
          <cell r="AA219">
            <v>0</v>
          </cell>
        </row>
        <row r="220">
          <cell r="N220" t="str">
            <v>FAMISANAR E.P.S.</v>
          </cell>
          <cell r="AA220">
            <v>0</v>
          </cell>
        </row>
        <row r="221">
          <cell r="N221" t="str">
            <v>FAMISANAR E.P.S.</v>
          </cell>
          <cell r="AA221">
            <v>87338</v>
          </cell>
        </row>
        <row r="222">
          <cell r="N222" t="str">
            <v>FAMISANAR E.P.S.</v>
          </cell>
          <cell r="AA222">
            <v>0</v>
          </cell>
        </row>
        <row r="223">
          <cell r="N223" t="str">
            <v>ENTIDAD PROMOTORA DE SALUD SANITAS S.A. EPS</v>
          </cell>
          <cell r="AA223">
            <v>0</v>
          </cell>
        </row>
        <row r="224">
          <cell r="N224" t="str">
            <v>ENTIDAD PROMOTORA DE SALUD SANITAS S.A. EPS</v>
          </cell>
          <cell r="AA224">
            <v>0</v>
          </cell>
        </row>
        <row r="225">
          <cell r="N225" t="str">
            <v>ENTIDAD PROMOTORA DE SALUD SANITAS S.A. EPS</v>
          </cell>
          <cell r="AA225">
            <v>0</v>
          </cell>
        </row>
        <row r="226">
          <cell r="N226" t="str">
            <v>ENTIDAD PROMOTORA DE SALUD SANITAS S.A. EPS</v>
          </cell>
          <cell r="AA226">
            <v>0</v>
          </cell>
        </row>
        <row r="227">
          <cell r="N227" t="str">
            <v>ENTIDAD PROMOTORA DE SALUD SANITAS S.A. EPS</v>
          </cell>
          <cell r="AA227">
            <v>0</v>
          </cell>
        </row>
        <row r="228">
          <cell r="N228" t="str">
            <v>ENTIDAD PROMOTORA DE SALUD SANITAS S.A. EPS</v>
          </cell>
          <cell r="AA228">
            <v>0</v>
          </cell>
        </row>
        <row r="229">
          <cell r="N229" t="str">
            <v>ENTIDAD PROMOTORA DE SALUD SANITAS S.A. EPS</v>
          </cell>
          <cell r="AA229">
            <v>0</v>
          </cell>
        </row>
        <row r="230">
          <cell r="N230" t="str">
            <v>ENTIDAD PROMOTORA DE SALUD SANITAS S.A. EPS</v>
          </cell>
          <cell r="AA230">
            <v>0</v>
          </cell>
        </row>
        <row r="231">
          <cell r="N231" t="str">
            <v>ENTIDAD PROMOTORA DE SALUD SANITAS S.A. EPS</v>
          </cell>
          <cell r="AA231">
            <v>0</v>
          </cell>
        </row>
        <row r="232">
          <cell r="N232" t="str">
            <v>ENTIDAD PROMOTORA DE SALUD SANITAS S.A. EPS</v>
          </cell>
          <cell r="AA232">
            <v>0</v>
          </cell>
        </row>
        <row r="233">
          <cell r="N233" t="str">
            <v>CAJA DE COMPENSACION FAMILIAR COMPENSAR</v>
          </cell>
          <cell r="AA233">
            <v>0</v>
          </cell>
        </row>
        <row r="234">
          <cell r="N234" t="str">
            <v>CAJA DE COMPENSACION FAMILIAR COMPENSAR</v>
          </cell>
          <cell r="AA234">
            <v>0</v>
          </cell>
        </row>
        <row r="235">
          <cell r="N235" t="str">
            <v>CAJA DE COMPENSACION FAMILIAR COMPENSAR</v>
          </cell>
          <cell r="AA235">
            <v>0</v>
          </cell>
        </row>
        <row r="236">
          <cell r="N236" t="str">
            <v>COMPENSAR EPS</v>
          </cell>
          <cell r="AA236">
            <v>0</v>
          </cell>
        </row>
        <row r="237">
          <cell r="N237" t="str">
            <v>CAJA DE COMPENSACION FAMILIAR COMPENSAR</v>
          </cell>
          <cell r="AA237">
            <v>0</v>
          </cell>
        </row>
        <row r="238">
          <cell r="N238" t="str">
            <v>CAJA DE COMPENSACION FAMILIAR COMPENSAR</v>
          </cell>
          <cell r="AA238">
            <v>0</v>
          </cell>
        </row>
        <row r="239">
          <cell r="N239" t="str">
            <v>CAJA DE COMPENSACION FAMILIAR COMPENSAR</v>
          </cell>
          <cell r="AA239">
            <v>0</v>
          </cell>
        </row>
        <row r="240">
          <cell r="N240" t="str">
            <v>FAMISANAR E.P.S.</v>
          </cell>
          <cell r="AA240">
            <v>0</v>
          </cell>
        </row>
        <row r="241">
          <cell r="N241" t="str">
            <v>FAMISANAR E.P.S.</v>
          </cell>
          <cell r="AA241">
            <v>80271</v>
          </cell>
        </row>
        <row r="242">
          <cell r="N242" t="str">
            <v>FAMISANAR E.P.S.</v>
          </cell>
          <cell r="AA242">
            <v>0</v>
          </cell>
        </row>
        <row r="243">
          <cell r="N243" t="str">
            <v>FAMISANAR E.P.S.</v>
          </cell>
          <cell r="AA243">
            <v>0</v>
          </cell>
        </row>
        <row r="244">
          <cell r="N244" t="str">
            <v>POSITIVA</v>
          </cell>
          <cell r="AA244">
            <v>0</v>
          </cell>
        </row>
        <row r="245">
          <cell r="N245" t="str">
            <v>FAMISANAR E.P.S.</v>
          </cell>
          <cell r="AA245">
            <v>0</v>
          </cell>
        </row>
        <row r="246">
          <cell r="N246" t="str">
            <v>NUEVA EMPRESA PROMOTORA DE SALUD S.A</v>
          </cell>
          <cell r="AA246">
            <v>0</v>
          </cell>
        </row>
        <row r="247">
          <cell r="N247" t="str">
            <v>FAMISANAR E.P.S.</v>
          </cell>
          <cell r="AA247">
            <v>0</v>
          </cell>
        </row>
        <row r="248">
          <cell r="N248" t="str">
            <v>FAMISANAR E.P.S.</v>
          </cell>
          <cell r="AA248">
            <v>0</v>
          </cell>
        </row>
        <row r="249">
          <cell r="N249" t="str">
            <v>FAMISANAR E.P.S.</v>
          </cell>
          <cell r="AA249">
            <v>0</v>
          </cell>
        </row>
        <row r="250">
          <cell r="N250" t="str">
            <v>FAMISANAR E.P.S.</v>
          </cell>
          <cell r="AA250">
            <v>0</v>
          </cell>
        </row>
        <row r="251">
          <cell r="N251" t="str">
            <v>FAMISANAR E.P.S.</v>
          </cell>
          <cell r="AA251">
            <v>0</v>
          </cell>
        </row>
        <row r="252">
          <cell r="N252" t="str">
            <v>CRUZ BLANCA E.P.S. S.A.</v>
          </cell>
          <cell r="AA252">
            <v>0</v>
          </cell>
        </row>
        <row r="253">
          <cell r="N253" t="str">
            <v>CRUZ BLANCA E.P.S. S.A.</v>
          </cell>
          <cell r="AA253">
            <v>0</v>
          </cell>
        </row>
        <row r="254">
          <cell r="N254" t="str">
            <v>CRUZ BLANCA E.P.S. S.A.</v>
          </cell>
          <cell r="AA254">
            <v>0</v>
          </cell>
        </row>
        <row r="255">
          <cell r="N255" t="str">
            <v>CAJA DE COMPENSACION FAMILIAR COMPENSAR</v>
          </cell>
          <cell r="AA255">
            <v>577667</v>
          </cell>
        </row>
        <row r="256">
          <cell r="N256" t="str">
            <v>CAJA DE COMPENSACION FAMILIAR COMPENSAR</v>
          </cell>
          <cell r="AA256">
            <v>0</v>
          </cell>
        </row>
        <row r="257">
          <cell r="N257" t="str">
            <v>COOMEVA ENTIDAD PROMOTORA DE SALUD S.A.</v>
          </cell>
          <cell r="AA257">
            <v>0</v>
          </cell>
        </row>
        <row r="258">
          <cell r="N258" t="str">
            <v>COOMEVA ENTIDAD PROMOTORA DE SALUD S.A.</v>
          </cell>
          <cell r="AA258">
            <v>0</v>
          </cell>
        </row>
        <row r="259">
          <cell r="N259" t="str">
            <v>FAMISANAR E.P.S.</v>
          </cell>
          <cell r="AA259">
            <v>164008</v>
          </cell>
        </row>
        <row r="260">
          <cell r="N260" t="str">
            <v>FAMISANAR E.P.S.</v>
          </cell>
          <cell r="AA260">
            <v>0</v>
          </cell>
        </row>
        <row r="261">
          <cell r="N261" t="str">
            <v>FAMISANAR E.P.S.</v>
          </cell>
          <cell r="AA261">
            <v>0</v>
          </cell>
        </row>
        <row r="262">
          <cell r="N262" t="str">
            <v>FAMISANAR E.P.S.</v>
          </cell>
          <cell r="AA262">
            <v>0</v>
          </cell>
        </row>
        <row r="263">
          <cell r="N263" t="str">
            <v>FAMISANAR E.P.S.</v>
          </cell>
          <cell r="AA263">
            <v>946714</v>
          </cell>
        </row>
        <row r="264">
          <cell r="N264" t="str">
            <v>ENTIDAD PROMOTORA DE SALUD ORGANISMO COOPERAT</v>
          </cell>
          <cell r="AA264">
            <v>0</v>
          </cell>
        </row>
        <row r="265">
          <cell r="N265" t="str">
            <v>NUEVA EMPRESA PROMOTORA DE SALUD S.A</v>
          </cell>
          <cell r="AA265">
            <v>277852</v>
          </cell>
        </row>
        <row r="266">
          <cell r="N266" t="str">
            <v>NUEVA EPS</v>
          </cell>
          <cell r="AA266">
            <v>0</v>
          </cell>
        </row>
        <row r="267">
          <cell r="N267" t="str">
            <v>NUEVA EMPRESA PROMOTORA DE SALUD S.A</v>
          </cell>
          <cell r="AA267">
            <v>46713</v>
          </cell>
        </row>
        <row r="268">
          <cell r="N268" t="str">
            <v>CAJA DE COMPENSACION FAMILIAR COMPENSAR</v>
          </cell>
          <cell r="AA268">
            <v>30224</v>
          </cell>
        </row>
        <row r="269">
          <cell r="N269" t="str">
            <v>POSITIVA</v>
          </cell>
          <cell r="AA269">
            <v>0</v>
          </cell>
        </row>
        <row r="270">
          <cell r="N270" t="str">
            <v>CRUZ BLANCA E.P.S. S.A.</v>
          </cell>
          <cell r="AA270">
            <v>726503</v>
          </cell>
        </row>
        <row r="271">
          <cell r="N271" t="str">
            <v>ENTIDAD PROMOTORA DE SALUD ORGANISMO COOPERAT</v>
          </cell>
          <cell r="AA271">
            <v>0</v>
          </cell>
        </row>
        <row r="272">
          <cell r="N272" t="str">
            <v>ENTIDAD PROMOTORA DE SALUD ORGANISMO COOPERAT</v>
          </cell>
          <cell r="AA272">
            <v>0</v>
          </cell>
        </row>
        <row r="273">
          <cell r="N273" t="str">
            <v>ENTIDAD PROMOTORA DE SALUD ORGANISMO COOPERAT</v>
          </cell>
          <cell r="AA273">
            <v>0</v>
          </cell>
        </row>
        <row r="274">
          <cell r="N274" t="str">
            <v>CAFESALUD E.P.S.</v>
          </cell>
          <cell r="AA274">
            <v>0</v>
          </cell>
        </row>
        <row r="275">
          <cell r="N275" t="str">
            <v>FAMISANAR E.P.S.</v>
          </cell>
          <cell r="AA275">
            <v>0</v>
          </cell>
        </row>
        <row r="276">
          <cell r="N276" t="str">
            <v>FAMISANAR E.P.S.</v>
          </cell>
          <cell r="AA276">
            <v>0</v>
          </cell>
        </row>
        <row r="277">
          <cell r="N277" t="str">
            <v>NUEVA EMPRESA PROMOTORA DE SALUD S.A</v>
          </cell>
          <cell r="AA277">
            <v>0</v>
          </cell>
        </row>
        <row r="278">
          <cell r="N278" t="str">
            <v>POSITIVA</v>
          </cell>
          <cell r="AA278">
            <v>0</v>
          </cell>
        </row>
        <row r="279">
          <cell r="N279" t="str">
            <v>ENTIDAD PROMOTORA DE SALUD SANITAS S.A. EPS</v>
          </cell>
          <cell r="AA279">
            <v>0</v>
          </cell>
        </row>
        <row r="280">
          <cell r="N280" t="str">
            <v>FAMISANAR E.P.S.</v>
          </cell>
          <cell r="AA280">
            <v>0</v>
          </cell>
        </row>
        <row r="281">
          <cell r="N281" t="str">
            <v>ENTIDAD PROMOTORA DE SALUD SANITAS S.A. EPS</v>
          </cell>
          <cell r="AA281">
            <v>0</v>
          </cell>
        </row>
        <row r="282">
          <cell r="N282" t="str">
            <v>POSITIVA</v>
          </cell>
          <cell r="AA282">
            <v>0</v>
          </cell>
        </row>
        <row r="283">
          <cell r="N283" t="str">
            <v>POSITIVA</v>
          </cell>
          <cell r="AA283">
            <v>0</v>
          </cell>
        </row>
        <row r="284">
          <cell r="N284" t="str">
            <v>POSITIVA</v>
          </cell>
          <cell r="AA284">
            <v>0</v>
          </cell>
        </row>
        <row r="285">
          <cell r="N285" t="str">
            <v>FAMISANAR E.P.S.</v>
          </cell>
          <cell r="AA285">
            <v>301348</v>
          </cell>
        </row>
        <row r="286">
          <cell r="N286" t="str">
            <v>FAMISANAR E.P.S.</v>
          </cell>
          <cell r="AA286">
            <v>0</v>
          </cell>
        </row>
        <row r="287">
          <cell r="N287" t="str">
            <v>FAMISANAR E.P.S.</v>
          </cell>
          <cell r="AA287">
            <v>0</v>
          </cell>
        </row>
        <row r="288">
          <cell r="N288" t="str">
            <v>FAMISANAR E.P.S.</v>
          </cell>
          <cell r="AA288">
            <v>967515</v>
          </cell>
        </row>
        <row r="289">
          <cell r="N289" t="str">
            <v>POSITIVA</v>
          </cell>
          <cell r="AA289">
            <v>0</v>
          </cell>
        </row>
        <row r="290">
          <cell r="N290" t="str">
            <v>ENTIDAD PROMOTORA DE SALUD SANITAS S.A. EPS</v>
          </cell>
          <cell r="AA290">
            <v>0</v>
          </cell>
        </row>
        <row r="291">
          <cell r="N291" t="str">
            <v>SANITAS EPS</v>
          </cell>
          <cell r="AA291">
            <v>0</v>
          </cell>
        </row>
        <row r="292">
          <cell r="N292" t="str">
            <v>EPS Y MEDICINA PREPAGADA SURAMERICANA S.A</v>
          </cell>
          <cell r="AA292">
            <v>0</v>
          </cell>
        </row>
        <row r="293">
          <cell r="N293" t="str">
            <v>EPS Y MEDICINA PREPAGADA SURAMERICANA S.A</v>
          </cell>
          <cell r="AA293">
            <v>0</v>
          </cell>
        </row>
        <row r="294">
          <cell r="N294" t="str">
            <v>EPS Y MEDICINA PREPAGADA SURAMERICANA S.A</v>
          </cell>
          <cell r="AA294">
            <v>0</v>
          </cell>
        </row>
        <row r="295">
          <cell r="N295" t="str">
            <v>POSITIVA</v>
          </cell>
          <cell r="AA295">
            <v>0</v>
          </cell>
        </row>
        <row r="296">
          <cell r="N296" t="str">
            <v>POSITIVA</v>
          </cell>
          <cell r="AA296">
            <v>180367</v>
          </cell>
        </row>
        <row r="297">
          <cell r="N297" t="str">
            <v>SALUD TOTAL S.A.</v>
          </cell>
          <cell r="AA297">
            <v>0</v>
          </cell>
        </row>
        <row r="298">
          <cell r="N298" t="str">
            <v>CRUZ BLANCA E.P.S. S.A.</v>
          </cell>
          <cell r="AA298">
            <v>569200</v>
          </cell>
        </row>
        <row r="299">
          <cell r="N299" t="str">
            <v>CRUZ BLANCA E.P.S.</v>
          </cell>
          <cell r="AA299">
            <v>0</v>
          </cell>
        </row>
        <row r="300">
          <cell r="N300" t="str">
            <v>CAJA DE COMPENSACION FAMILIAR COMPENSAR</v>
          </cell>
          <cell r="AA300">
            <v>0</v>
          </cell>
        </row>
        <row r="301">
          <cell r="N301" t="str">
            <v>ENTIDAD PROMOTORA DE SALUD ORGANISMO COOPERAT</v>
          </cell>
          <cell r="AA301">
            <v>0</v>
          </cell>
        </row>
        <row r="302">
          <cell r="N302" t="str">
            <v>ENTIDAD PROMOTORA DE SALUD ORGANISMO COOPERAT</v>
          </cell>
          <cell r="AA302">
            <v>0</v>
          </cell>
        </row>
        <row r="303">
          <cell r="N303" t="str">
            <v>ENTIDAD PROMOTORA DE SALUD ORGANISMO COOPERAT</v>
          </cell>
          <cell r="AA303">
            <v>0</v>
          </cell>
        </row>
        <row r="304">
          <cell r="N304" t="str">
            <v>CRUZ BLANCA E.P.S. S.A.</v>
          </cell>
          <cell r="AA304">
            <v>0</v>
          </cell>
        </row>
        <row r="305">
          <cell r="N305" t="str">
            <v>SALUD TOTAL S.A.</v>
          </cell>
          <cell r="AA305">
            <v>0</v>
          </cell>
        </row>
        <row r="306">
          <cell r="N306" t="str">
            <v>SALUD TOTAL S.A.</v>
          </cell>
          <cell r="AA306">
            <v>0</v>
          </cell>
        </row>
        <row r="307">
          <cell r="N307" t="str">
            <v>SALUD TOTAL S.A.</v>
          </cell>
          <cell r="AA307">
            <v>0</v>
          </cell>
        </row>
        <row r="308">
          <cell r="N308" t="str">
            <v>SALUD TOTAL S.A.</v>
          </cell>
          <cell r="AA308">
            <v>0</v>
          </cell>
        </row>
        <row r="309">
          <cell r="N309" t="str">
            <v>CAFESALUD E.P.S.</v>
          </cell>
          <cell r="AA309">
            <v>0</v>
          </cell>
        </row>
        <row r="310">
          <cell r="N310" t="str">
            <v>CAFESALUD E.P.S.</v>
          </cell>
          <cell r="AA310">
            <v>0</v>
          </cell>
        </row>
        <row r="311">
          <cell r="N311" t="str">
            <v>POSITIVA</v>
          </cell>
          <cell r="AA311">
            <v>0</v>
          </cell>
        </row>
        <row r="312">
          <cell r="N312" t="str">
            <v>POSITIVA</v>
          </cell>
          <cell r="AA312">
            <v>91000</v>
          </cell>
        </row>
        <row r="313">
          <cell r="N313" t="str">
            <v>CAJA DE COMPENSACION FAMILIAR COMPENSAR</v>
          </cell>
          <cell r="AA313">
            <v>0</v>
          </cell>
        </row>
        <row r="314">
          <cell r="N314" t="str">
            <v>CAJA DE COMPENSACION FAMILIAR COMPENSAR</v>
          </cell>
          <cell r="AA314">
            <v>0</v>
          </cell>
        </row>
        <row r="315">
          <cell r="N315" t="str">
            <v>CAJA DE COMPENSACION FAMILIAR COMPENSAR</v>
          </cell>
          <cell r="AA315">
            <v>0</v>
          </cell>
        </row>
        <row r="316">
          <cell r="N316" t="str">
            <v>CAJA DE COMPENSACION FAMILIAR COMPENSAR</v>
          </cell>
          <cell r="AA316">
            <v>0</v>
          </cell>
        </row>
        <row r="317">
          <cell r="N317" t="str">
            <v>CAJA DE COMPENSACION FAMILIAR COMPENSAR</v>
          </cell>
          <cell r="AA317">
            <v>0</v>
          </cell>
        </row>
        <row r="318">
          <cell r="N318" t="str">
            <v>CAJA DE COMPENSACION FAMILIAR COMPENSAR</v>
          </cell>
          <cell r="AA318">
            <v>0</v>
          </cell>
        </row>
        <row r="319">
          <cell r="N319" t="str">
            <v>FAMISANAR E.P.S.</v>
          </cell>
          <cell r="AA319">
            <v>0</v>
          </cell>
        </row>
        <row r="320">
          <cell r="N320" t="str">
            <v>FAMISANAR E.P.S.</v>
          </cell>
          <cell r="AA320">
            <v>0</v>
          </cell>
        </row>
        <row r="321">
          <cell r="N321" t="str">
            <v>CAJA DE COMPENSACION FAMILIAR COMPENSAR</v>
          </cell>
          <cell r="AA321">
            <v>0</v>
          </cell>
        </row>
        <row r="322">
          <cell r="N322" t="str">
            <v>FAMISANAR E.P.S.</v>
          </cell>
          <cell r="AA322">
            <v>992094</v>
          </cell>
        </row>
        <row r="323">
          <cell r="N323" t="str">
            <v>NUEVA EMPRESA PROMOTORA DE SALUD S.A</v>
          </cell>
          <cell r="AA323">
            <v>0</v>
          </cell>
        </row>
        <row r="324">
          <cell r="N324" t="str">
            <v>NUEVA EMPRESA PROMOTORA DE SALUD S.A</v>
          </cell>
          <cell r="AA324">
            <v>0</v>
          </cell>
        </row>
        <row r="325">
          <cell r="N325" t="str">
            <v>NUEVA EMPRESA PROMOTORA DE SALUD S.A</v>
          </cell>
          <cell r="AA325">
            <v>708569</v>
          </cell>
        </row>
        <row r="326">
          <cell r="N326" t="str">
            <v>NUEVA EMPRESA PROMOTORA DE SALUD S.A</v>
          </cell>
          <cell r="AA326">
            <v>236190</v>
          </cell>
        </row>
        <row r="327">
          <cell r="N327" t="str">
            <v>NUEVA EMPRESA PROMOTORA DE SALUD S.A</v>
          </cell>
          <cell r="AA327">
            <v>177142</v>
          </cell>
        </row>
        <row r="328">
          <cell r="N328" t="str">
            <v>ALIANSALUD EPS</v>
          </cell>
          <cell r="AA328">
            <v>1092677</v>
          </cell>
        </row>
        <row r="329">
          <cell r="N329" t="str">
            <v>ALIANSALUD EPS</v>
          </cell>
          <cell r="AA329">
            <v>312193</v>
          </cell>
        </row>
        <row r="330">
          <cell r="N330" t="str">
            <v>ALIANSALUD EPS</v>
          </cell>
          <cell r="AA330">
            <v>0</v>
          </cell>
        </row>
        <row r="331">
          <cell r="N331" t="str">
            <v>ALIANSALUD EPS</v>
          </cell>
          <cell r="AA331">
            <v>0</v>
          </cell>
        </row>
        <row r="332">
          <cell r="N332" t="str">
            <v>FAMISANAR E.P.S.</v>
          </cell>
          <cell r="AA332">
            <v>0</v>
          </cell>
        </row>
        <row r="333">
          <cell r="N333" t="str">
            <v>SALUD TOTAL EPS</v>
          </cell>
          <cell r="AA333">
            <v>116139</v>
          </cell>
        </row>
        <row r="334">
          <cell r="N334" t="str">
            <v>FAMISANAR E.P.S.</v>
          </cell>
          <cell r="AA334">
            <v>0</v>
          </cell>
        </row>
        <row r="335">
          <cell r="N335" t="str">
            <v>FAMISANAR E.P.S.</v>
          </cell>
          <cell r="AA335">
            <v>0</v>
          </cell>
        </row>
        <row r="336">
          <cell r="N336" t="str">
            <v>FAMISANAR E.P.S.</v>
          </cell>
          <cell r="AA336">
            <v>0</v>
          </cell>
        </row>
        <row r="337">
          <cell r="N337" t="str">
            <v>FAMISANAR E.P.S.</v>
          </cell>
          <cell r="AA337">
            <v>0</v>
          </cell>
        </row>
        <row r="338">
          <cell r="N338" t="str">
            <v>ENTIDAD PROMOTORA DE SALUD ORGANISMO COOPERAT</v>
          </cell>
          <cell r="AA338">
            <v>114233</v>
          </cell>
        </row>
        <row r="339">
          <cell r="N339" t="str">
            <v>ENTIDAD PROMOTORA DE SALUD ORGANISMO COOPERAT</v>
          </cell>
          <cell r="AA339">
            <v>0</v>
          </cell>
        </row>
        <row r="340">
          <cell r="N340" t="str">
            <v>CAFESALUD E.P.S.</v>
          </cell>
          <cell r="AA340">
            <v>0</v>
          </cell>
        </row>
        <row r="341">
          <cell r="N341" t="str">
            <v>CAJA DE COMPENSACION FAMILIAR COMPENSAR</v>
          </cell>
          <cell r="AA341">
            <v>0</v>
          </cell>
        </row>
        <row r="342">
          <cell r="N342" t="str">
            <v>CAJA DE COMPENSACION FAMILIAR COMPENSAR</v>
          </cell>
          <cell r="AA342">
            <v>0</v>
          </cell>
        </row>
        <row r="343">
          <cell r="N343" t="str">
            <v>POSITIVA</v>
          </cell>
          <cell r="AA343">
            <v>0</v>
          </cell>
        </row>
        <row r="344">
          <cell r="N344" t="str">
            <v>FAMISANAR E.P.S.</v>
          </cell>
          <cell r="AA344">
            <v>0</v>
          </cell>
        </row>
        <row r="345">
          <cell r="N345" t="e">
            <v>#N/A</v>
          </cell>
          <cell r="AA345">
            <v>0</v>
          </cell>
        </row>
        <row r="346">
          <cell r="N346" t="str">
            <v>FAMISANAR E.P.S.</v>
          </cell>
          <cell r="AA346">
            <v>0</v>
          </cell>
        </row>
        <row r="347">
          <cell r="N347" t="str">
            <v>FAMISANAR E.P.S.</v>
          </cell>
          <cell r="AA347">
            <v>278814</v>
          </cell>
        </row>
        <row r="348">
          <cell r="N348" t="str">
            <v>NUEVA EMPRESA PROMOTORA DE SALUD S.A</v>
          </cell>
          <cell r="AA348">
            <v>42180</v>
          </cell>
        </row>
        <row r="349">
          <cell r="N349" t="str">
            <v>NUEVA EMPRESA PROMOTORA DE SALUD S.A</v>
          </cell>
          <cell r="AA349">
            <v>0</v>
          </cell>
        </row>
        <row r="350">
          <cell r="N350" t="str">
            <v>SALUD TOTAL EPS</v>
          </cell>
          <cell r="AA350">
            <v>0</v>
          </cell>
        </row>
        <row r="351">
          <cell r="N351" t="str">
            <v>POSITIVA</v>
          </cell>
          <cell r="AA351">
            <v>0</v>
          </cell>
        </row>
        <row r="352">
          <cell r="N352" t="str">
            <v>SALUD TOTAL S.A.</v>
          </cell>
          <cell r="AA352">
            <v>0</v>
          </cell>
        </row>
        <row r="353">
          <cell r="N353" t="str">
            <v>CRUZ BLANCA E.P.S. S.A.</v>
          </cell>
          <cell r="AA353">
            <v>0</v>
          </cell>
        </row>
        <row r="354">
          <cell r="N354" t="str">
            <v>CRUZ BLANCA E.P.S. S.A.</v>
          </cell>
          <cell r="AA354">
            <v>0</v>
          </cell>
        </row>
        <row r="355">
          <cell r="N355" t="str">
            <v>CRUZ BLANCA E.P.S. S.A.</v>
          </cell>
          <cell r="AA355">
            <v>0</v>
          </cell>
        </row>
        <row r="356">
          <cell r="N356" t="str">
            <v>CRUZ BLANCA E.P.S. S.A.</v>
          </cell>
          <cell r="AA356">
            <v>0</v>
          </cell>
        </row>
        <row r="357">
          <cell r="N357" t="str">
            <v>CRUZ BLANCA E.P.S. S.A.</v>
          </cell>
          <cell r="AA357">
            <v>0</v>
          </cell>
        </row>
        <row r="358">
          <cell r="N358" t="str">
            <v>CRUZ BLANCA E.P.S. S.A.</v>
          </cell>
          <cell r="AA358">
            <v>0</v>
          </cell>
        </row>
        <row r="359">
          <cell r="N359" t="str">
            <v>CRUZ BLANCA E.P.S.</v>
          </cell>
          <cell r="AA359">
            <v>0</v>
          </cell>
        </row>
        <row r="360">
          <cell r="N360" t="str">
            <v>POSITIVA</v>
          </cell>
          <cell r="AA360">
            <v>33067</v>
          </cell>
        </row>
        <row r="361">
          <cell r="N361" t="str">
            <v>FAMISANAR E.P.S.</v>
          </cell>
          <cell r="AA361">
            <v>0</v>
          </cell>
        </row>
        <row r="362">
          <cell r="N362" t="str">
            <v>FAMISANAR E.P.S.</v>
          </cell>
          <cell r="AA362">
            <v>0</v>
          </cell>
        </row>
        <row r="363">
          <cell r="N363" t="str">
            <v>FAMISANAR E.P.S.</v>
          </cell>
          <cell r="AA363">
            <v>0</v>
          </cell>
        </row>
        <row r="364">
          <cell r="N364" t="str">
            <v>SALUD TOTAL S.A.</v>
          </cell>
          <cell r="AA364">
            <v>48965</v>
          </cell>
        </row>
        <row r="365">
          <cell r="N365" t="str">
            <v>POSITIVA</v>
          </cell>
          <cell r="AA365">
            <v>0</v>
          </cell>
        </row>
        <row r="366">
          <cell r="N366" t="str">
            <v>SALUD TOTAL S.A.</v>
          </cell>
          <cell r="AA366">
            <v>21480</v>
          </cell>
        </row>
        <row r="367">
          <cell r="N367" t="str">
            <v>SALUD TOTAL S.A.</v>
          </cell>
          <cell r="AA367">
            <v>0</v>
          </cell>
        </row>
        <row r="368">
          <cell r="N368" t="str">
            <v>SALUD TOTAL S.A.</v>
          </cell>
          <cell r="AA368">
            <v>0</v>
          </cell>
        </row>
        <row r="369">
          <cell r="N369" t="str">
            <v>FAMISANAR E.P.S.</v>
          </cell>
          <cell r="AA369">
            <v>235745</v>
          </cell>
        </row>
        <row r="370">
          <cell r="N370" t="str">
            <v>POSITIVA</v>
          </cell>
          <cell r="AA370">
            <v>0</v>
          </cell>
        </row>
        <row r="371">
          <cell r="N371" t="str">
            <v>FAMISANAR E.P.S.</v>
          </cell>
          <cell r="AA371">
            <v>0</v>
          </cell>
        </row>
        <row r="372">
          <cell r="N372" t="str">
            <v>FAMISANAR E.P.S.</v>
          </cell>
          <cell r="AA372">
            <v>0</v>
          </cell>
        </row>
        <row r="373">
          <cell r="N373" t="str">
            <v>FAMISANAR E.P.S.</v>
          </cell>
          <cell r="AA373">
            <v>0</v>
          </cell>
        </row>
        <row r="374">
          <cell r="N374" t="str">
            <v>POSITIVA</v>
          </cell>
          <cell r="AA374">
            <v>0</v>
          </cell>
        </row>
        <row r="375">
          <cell r="N375" t="str">
            <v>POSITIVA</v>
          </cell>
          <cell r="AA375">
            <v>-33866</v>
          </cell>
        </row>
        <row r="376">
          <cell r="N376" t="str">
            <v>POSITIVA</v>
          </cell>
          <cell r="AA376">
            <v>0</v>
          </cell>
        </row>
        <row r="377">
          <cell r="N377" t="str">
            <v>POSITIVA</v>
          </cell>
          <cell r="AA377">
            <v>135467</v>
          </cell>
        </row>
        <row r="378">
          <cell r="N378" t="str">
            <v>POSITIVA</v>
          </cell>
          <cell r="AA378">
            <v>0</v>
          </cell>
        </row>
        <row r="379">
          <cell r="N379" t="str">
            <v>ENTIDAD PROMOTORA DE SALUD ORGANISMO COOPERAT</v>
          </cell>
          <cell r="AA379">
            <v>0</v>
          </cell>
        </row>
        <row r="380">
          <cell r="N380" t="e">
            <v>#N/A</v>
          </cell>
          <cell r="AA380">
            <v>0</v>
          </cell>
        </row>
        <row r="381">
          <cell r="N381" t="str">
            <v>ENTIDAD PROMOTORA DE SALUD ORGANISMO COOPERAT</v>
          </cell>
          <cell r="AA381">
            <v>0</v>
          </cell>
        </row>
        <row r="382">
          <cell r="N382" t="str">
            <v>ENTIDAD PROMOTORA DE SALUD ORGANISMO COOPERAT</v>
          </cell>
          <cell r="AA382">
            <v>0</v>
          </cell>
        </row>
        <row r="383">
          <cell r="N383" t="str">
            <v>ENTIDAD PROMOTORA DE SALUD ORGANISMO COOPERAT</v>
          </cell>
          <cell r="AA383">
            <v>0</v>
          </cell>
        </row>
        <row r="384">
          <cell r="N384" t="str">
            <v>SANITAS EPS</v>
          </cell>
          <cell r="AA384">
            <v>0</v>
          </cell>
        </row>
        <row r="385">
          <cell r="N385" t="str">
            <v>SANITAS EPS</v>
          </cell>
          <cell r="AA385">
            <v>0</v>
          </cell>
        </row>
        <row r="386">
          <cell r="N386" t="str">
            <v>POSITIVA</v>
          </cell>
          <cell r="AA386">
            <v>0</v>
          </cell>
        </row>
        <row r="387">
          <cell r="N387" t="str">
            <v>POSITIVA</v>
          </cell>
          <cell r="AA387">
            <v>0.8999999999650754</v>
          </cell>
        </row>
        <row r="388">
          <cell r="N388" t="str">
            <v>POSITIVA</v>
          </cell>
          <cell r="AA388">
            <v>9.9999999976716936E-2</v>
          </cell>
        </row>
        <row r="389">
          <cell r="N389" t="str">
            <v>POSITIVA</v>
          </cell>
          <cell r="AA389">
            <v>0</v>
          </cell>
        </row>
        <row r="390">
          <cell r="N390" t="str">
            <v>POSITIVA</v>
          </cell>
          <cell r="AA390">
            <v>-12672.000000000029</v>
          </cell>
        </row>
        <row r="391">
          <cell r="N391" t="str">
            <v>POSITIVA</v>
          </cell>
          <cell r="AA391">
            <v>-50689.000000000116</v>
          </cell>
        </row>
        <row r="392">
          <cell r="N392" t="str">
            <v>POSITIVA</v>
          </cell>
          <cell r="AA392">
            <v>2133</v>
          </cell>
        </row>
        <row r="393">
          <cell r="N393" t="str">
            <v>POSITIVA</v>
          </cell>
          <cell r="AA393">
            <v>533</v>
          </cell>
        </row>
        <row r="394">
          <cell r="N394" t="str">
            <v>POSITIVA</v>
          </cell>
          <cell r="AA394">
            <v>3467</v>
          </cell>
        </row>
        <row r="395">
          <cell r="N395" t="str">
            <v>POSITIVA</v>
          </cell>
          <cell r="AA395">
            <v>149033</v>
          </cell>
        </row>
        <row r="396">
          <cell r="N396" t="str">
            <v>POSITIVA</v>
          </cell>
          <cell r="AA396">
            <v>113967</v>
          </cell>
        </row>
        <row r="397">
          <cell r="N397" t="str">
            <v>POSITIVA</v>
          </cell>
          <cell r="AA397">
            <v>157800</v>
          </cell>
        </row>
        <row r="398">
          <cell r="N398" t="str">
            <v>POSITIVA</v>
          </cell>
          <cell r="AA398">
            <v>105200</v>
          </cell>
        </row>
        <row r="399">
          <cell r="N399" t="str">
            <v>POSITIVA</v>
          </cell>
          <cell r="AA399">
            <v>263000</v>
          </cell>
        </row>
        <row r="400">
          <cell r="N400" t="str">
            <v>POSITIVA</v>
          </cell>
          <cell r="AA400">
            <v>-263200</v>
          </cell>
        </row>
        <row r="401">
          <cell r="N401" t="str">
            <v>POSITIVA</v>
          </cell>
          <cell r="AA401">
            <v>1536000</v>
          </cell>
        </row>
        <row r="402">
          <cell r="N402" t="str">
            <v>POSITIVA</v>
          </cell>
          <cell r="AA402">
            <v>-106000</v>
          </cell>
        </row>
        <row r="403">
          <cell r="N403" t="str">
            <v>POSITIVA</v>
          </cell>
          <cell r="AA403">
            <v>-106000</v>
          </cell>
        </row>
        <row r="404">
          <cell r="N404" t="str">
            <v>POSITIVA</v>
          </cell>
          <cell r="AA404">
            <v>-212000</v>
          </cell>
        </row>
        <row r="405">
          <cell r="N405" t="str">
            <v>FAMISANAR E.P.S.</v>
          </cell>
          <cell r="AA405">
            <v>0</v>
          </cell>
        </row>
        <row r="406">
          <cell r="N406" t="str">
            <v>FAMISANAR E.P.S.</v>
          </cell>
          <cell r="AA406">
            <v>502656</v>
          </cell>
        </row>
        <row r="407">
          <cell r="N407" t="str">
            <v>FAMISANAR E.P.S.</v>
          </cell>
          <cell r="AA407">
            <v>915957</v>
          </cell>
        </row>
        <row r="408">
          <cell r="N408" t="str">
            <v>FAMISANAR E.P.S.</v>
          </cell>
          <cell r="AA408">
            <v>686968</v>
          </cell>
        </row>
        <row r="409">
          <cell r="N409" t="str">
            <v>FAMISANAR E.P.S.</v>
          </cell>
          <cell r="AA409">
            <v>1030452</v>
          </cell>
        </row>
        <row r="410">
          <cell r="N410" t="str">
            <v>FAMISANAR E.P.S.</v>
          </cell>
          <cell r="AA410">
            <v>686968</v>
          </cell>
        </row>
        <row r="411">
          <cell r="N411" t="str">
            <v>SALUD TOTAL S.A.</v>
          </cell>
          <cell r="AA411">
            <v>0</v>
          </cell>
        </row>
        <row r="412">
          <cell r="N412" t="str">
            <v>SALUD TOTAL EPS</v>
          </cell>
          <cell r="AA412">
            <v>0</v>
          </cell>
        </row>
        <row r="413">
          <cell r="N413" t="str">
            <v>FAMISANAR E.P.S.</v>
          </cell>
          <cell r="AA413">
            <v>0</v>
          </cell>
        </row>
        <row r="414">
          <cell r="N414" t="str">
            <v>POSITIVA</v>
          </cell>
          <cell r="AA414">
            <v>38</v>
          </cell>
        </row>
        <row r="415">
          <cell r="N415" t="e">
            <v>#N/A</v>
          </cell>
          <cell r="AA415">
            <v>0</v>
          </cell>
        </row>
        <row r="416">
          <cell r="N416" t="str">
            <v>POSITIVA</v>
          </cell>
          <cell r="AA416">
            <v>0</v>
          </cell>
        </row>
        <row r="417">
          <cell r="N417" t="str">
            <v>SALUD TOTAL S.A.</v>
          </cell>
          <cell r="AA417">
            <v>0</v>
          </cell>
        </row>
        <row r="418">
          <cell r="N418" t="str">
            <v>POSITIVA</v>
          </cell>
          <cell r="AA418">
            <v>0</v>
          </cell>
        </row>
        <row r="419">
          <cell r="N419" t="str">
            <v>POSITIVA</v>
          </cell>
          <cell r="AA419">
            <v>0</v>
          </cell>
        </row>
        <row r="420">
          <cell r="N420" t="str">
            <v>POSITIVA</v>
          </cell>
          <cell r="AA420">
            <v>0</v>
          </cell>
        </row>
        <row r="421">
          <cell r="N421" t="str">
            <v>FAMISANAR E.P.S.</v>
          </cell>
          <cell r="AA421">
            <v>655633</v>
          </cell>
        </row>
        <row r="422">
          <cell r="N422" t="str">
            <v>POSITIVA</v>
          </cell>
          <cell r="AA422">
            <v>0</v>
          </cell>
        </row>
        <row r="423">
          <cell r="N423" t="str">
            <v>SALUD TOTAL S.A.</v>
          </cell>
          <cell r="AA423">
            <v>116351</v>
          </cell>
        </row>
        <row r="424">
          <cell r="N424" t="str">
            <v>CAJA DE COMPENSACION FAMILIAR COMPENSAR</v>
          </cell>
          <cell r="AA424">
            <v>0</v>
          </cell>
        </row>
        <row r="425">
          <cell r="N425" t="str">
            <v>CAJA DE COMPENSACION FAMILIAR COMPENSAR</v>
          </cell>
          <cell r="AA425">
            <v>0</v>
          </cell>
        </row>
        <row r="426">
          <cell r="N426" t="str">
            <v>CAJA DE COMPENSACION FAMILIAR COMPENSAR</v>
          </cell>
          <cell r="AA426">
            <v>0</v>
          </cell>
        </row>
        <row r="427">
          <cell r="N427" t="str">
            <v>FAMISANAR E.P.S.</v>
          </cell>
          <cell r="AA427">
            <v>0</v>
          </cell>
        </row>
        <row r="428">
          <cell r="N428" t="str">
            <v>FAMISANAR E.P.S.</v>
          </cell>
          <cell r="AA428">
            <v>0</v>
          </cell>
        </row>
        <row r="429">
          <cell r="N429" t="str">
            <v>CRUZ BLANCA E.P.S. S.A.</v>
          </cell>
          <cell r="AA429">
            <v>37157</v>
          </cell>
        </row>
        <row r="430">
          <cell r="N430" t="str">
            <v>CRUZ BLANCA E.P.S. S.A.</v>
          </cell>
          <cell r="AA430">
            <v>111472</v>
          </cell>
        </row>
        <row r="431">
          <cell r="N431" t="str">
            <v>POSITIVA</v>
          </cell>
          <cell r="AA431">
            <v>314833</v>
          </cell>
        </row>
        <row r="432">
          <cell r="N432" t="str">
            <v>POSITIVA</v>
          </cell>
          <cell r="AA432">
            <v>188900</v>
          </cell>
        </row>
        <row r="433">
          <cell r="N433" t="str">
            <v>CRUZ BLANCA E.P.S. S.A.</v>
          </cell>
          <cell r="AA433">
            <v>423767</v>
          </cell>
        </row>
        <row r="434">
          <cell r="N434" t="str">
            <v>CAJA DE COMPENSACION FAMILIAR COMPENSAR</v>
          </cell>
          <cell r="AA434">
            <v>0</v>
          </cell>
        </row>
        <row r="435">
          <cell r="N435" t="str">
            <v>CAJA DE COMPENSACION FAMILIAR COMPENSAR</v>
          </cell>
          <cell r="AA435">
            <v>0</v>
          </cell>
        </row>
        <row r="436">
          <cell r="N436" t="str">
            <v>CAJA DE COMPENSACION FAMILIAR COMPENSAR</v>
          </cell>
          <cell r="AA436">
            <v>0</v>
          </cell>
        </row>
        <row r="437">
          <cell r="N437" t="str">
            <v>CAJA DE COMPENSACION FAMILIAR COMPENSAR</v>
          </cell>
          <cell r="AA437">
            <v>0</v>
          </cell>
        </row>
        <row r="438">
          <cell r="N438" t="str">
            <v>FAMISANAR E.P.S.</v>
          </cell>
          <cell r="AA438">
            <v>0</v>
          </cell>
        </row>
        <row r="439">
          <cell r="N439" t="str">
            <v>FAMISANAR E.P.S.</v>
          </cell>
          <cell r="AA439">
            <v>0</v>
          </cell>
        </row>
        <row r="440">
          <cell r="N440" t="str">
            <v>POSITIVA</v>
          </cell>
          <cell r="AA440">
            <v>0</v>
          </cell>
        </row>
        <row r="441">
          <cell r="N441" t="str">
            <v>FAMISANAR E.P.S.</v>
          </cell>
          <cell r="AA441">
            <v>0</v>
          </cell>
        </row>
        <row r="442">
          <cell r="N442" t="str">
            <v>FAMISANAR E.P.S.</v>
          </cell>
          <cell r="AA442">
            <v>0</v>
          </cell>
        </row>
        <row r="443">
          <cell r="N443" t="e">
            <v>#N/A</v>
          </cell>
          <cell r="AA443">
            <v>0</v>
          </cell>
        </row>
        <row r="444">
          <cell r="N444" t="str">
            <v>POSITIVA</v>
          </cell>
          <cell r="AA444">
            <v>0</v>
          </cell>
        </row>
        <row r="445">
          <cell r="N445" t="str">
            <v>CRUZ BLANCA E.P.S. S.A.</v>
          </cell>
          <cell r="AA445">
            <v>0</v>
          </cell>
        </row>
        <row r="446">
          <cell r="N446" t="str">
            <v>COMPENSAR EPS</v>
          </cell>
          <cell r="AA446">
            <v>0</v>
          </cell>
        </row>
        <row r="447">
          <cell r="N447" t="str">
            <v>FAMISANAR E.P.S.</v>
          </cell>
          <cell r="AA447">
            <v>82760</v>
          </cell>
        </row>
        <row r="448">
          <cell r="N448" t="str">
            <v>COMPENSAR EPS</v>
          </cell>
          <cell r="AA448">
            <v>0</v>
          </cell>
        </row>
        <row r="449">
          <cell r="N449" t="str">
            <v>ENTIDAD PROMOTORA DE SALUD SANITAS S.A. EPS</v>
          </cell>
          <cell r="AA449">
            <v>0</v>
          </cell>
        </row>
        <row r="450">
          <cell r="N450" t="str">
            <v>CAFESALUD E.P.S.</v>
          </cell>
          <cell r="AA450">
            <v>0</v>
          </cell>
        </row>
        <row r="451">
          <cell r="N451" t="str">
            <v>ENTIDAD PROMOTORA DE SALUD ORGANISMO COOPERAT</v>
          </cell>
          <cell r="AA451">
            <v>0</v>
          </cell>
        </row>
        <row r="452">
          <cell r="N452" t="str">
            <v>NUEVA EMPRESA PROMOTORA DE SALUD S.A</v>
          </cell>
          <cell r="AA452">
            <v>0</v>
          </cell>
        </row>
        <row r="453">
          <cell r="N453" t="str">
            <v>NUEVA EMPRESA PROMOTORA DE SALUD S.A</v>
          </cell>
          <cell r="AA453">
            <v>0</v>
          </cell>
        </row>
        <row r="454">
          <cell r="N454" t="str">
            <v>NUEVA EMPRESA PROMOTORA DE SALUD S.A</v>
          </cell>
          <cell r="AA454">
            <v>0</v>
          </cell>
        </row>
        <row r="455">
          <cell r="N455" t="str">
            <v>NUEVA EMPRESA PROMOTORA DE SALUD S.A</v>
          </cell>
          <cell r="AA455">
            <v>0</v>
          </cell>
        </row>
        <row r="456">
          <cell r="N456" t="str">
            <v>NUEVA EMPRESA PROMOTORA DE SALUD S.A</v>
          </cell>
          <cell r="AA456">
            <v>-49308</v>
          </cell>
        </row>
        <row r="457">
          <cell r="N457" t="str">
            <v>NUEVA EMPRESA PROMOTORA DE SALUD S.A</v>
          </cell>
          <cell r="AA457">
            <v>0</v>
          </cell>
        </row>
        <row r="458">
          <cell r="N458" t="str">
            <v>FAMISANAR E.P.S.</v>
          </cell>
          <cell r="AA458">
            <v>0</v>
          </cell>
        </row>
        <row r="459">
          <cell r="N459" t="str">
            <v>FAMISANAR E.P.S.</v>
          </cell>
          <cell r="AA459">
            <v>3834230</v>
          </cell>
        </row>
        <row r="460">
          <cell r="N460" t="str">
            <v>FAMISANAR E.P.S.</v>
          </cell>
          <cell r="AA460">
            <v>0</v>
          </cell>
        </row>
        <row r="461">
          <cell r="N461" t="str">
            <v>FAMISANAR E.P.S.</v>
          </cell>
          <cell r="AA461">
            <v>0</v>
          </cell>
        </row>
        <row r="462">
          <cell r="N462" t="str">
            <v>FAMISANAR E.P.S.</v>
          </cell>
          <cell r="AA462">
            <v>0</v>
          </cell>
        </row>
        <row r="463">
          <cell r="N463" t="str">
            <v>FAMISANAR E.P.S.</v>
          </cell>
          <cell r="AA463">
            <v>0</v>
          </cell>
        </row>
        <row r="464">
          <cell r="N464" t="str">
            <v>FAMISANAR E.P.S.</v>
          </cell>
          <cell r="AA464">
            <v>0</v>
          </cell>
        </row>
        <row r="465">
          <cell r="N465" t="str">
            <v>FAMISANAR E.P.S.</v>
          </cell>
          <cell r="AA465">
            <v>0</v>
          </cell>
        </row>
        <row r="466">
          <cell r="N466" t="str">
            <v>FAMISANAR E.P.S.</v>
          </cell>
          <cell r="AA466">
            <v>0</v>
          </cell>
        </row>
        <row r="467">
          <cell r="N467" t="str">
            <v>FAMISANAR E.P.S.</v>
          </cell>
          <cell r="AA467">
            <v>0</v>
          </cell>
        </row>
        <row r="468">
          <cell r="N468" t="str">
            <v>FAMISANAR E.P.S.</v>
          </cell>
          <cell r="AA468">
            <v>0</v>
          </cell>
        </row>
        <row r="469">
          <cell r="N469" t="str">
            <v>FAMISANAR E.P.S.</v>
          </cell>
          <cell r="AA469">
            <v>0</v>
          </cell>
        </row>
        <row r="470">
          <cell r="N470" t="str">
            <v>FAMISANAR E.P.S.</v>
          </cell>
          <cell r="AA470">
            <v>0</v>
          </cell>
        </row>
        <row r="471">
          <cell r="N471" t="str">
            <v>FAMISANAR E.P.S.</v>
          </cell>
          <cell r="AA471">
            <v>0</v>
          </cell>
        </row>
        <row r="472">
          <cell r="N472" t="str">
            <v>FAMISANAR E.P.S.</v>
          </cell>
          <cell r="AA472">
            <v>0</v>
          </cell>
        </row>
        <row r="473">
          <cell r="N473" t="str">
            <v>FAMISANAR E.P.S.</v>
          </cell>
          <cell r="AA473">
            <v>0</v>
          </cell>
        </row>
        <row r="474">
          <cell r="N474" t="str">
            <v>FAMISANAR E.P.S.</v>
          </cell>
          <cell r="AA474">
            <v>0</v>
          </cell>
        </row>
        <row r="475">
          <cell r="N475" t="str">
            <v>FAMISANAR E.P.S.</v>
          </cell>
          <cell r="AA475">
            <v>0</v>
          </cell>
        </row>
        <row r="476">
          <cell r="N476" t="str">
            <v>FAMISANAR E.P.S.</v>
          </cell>
          <cell r="AA476">
            <v>0</v>
          </cell>
        </row>
        <row r="477">
          <cell r="N477" t="str">
            <v>FAMISANAR E.P.S.</v>
          </cell>
          <cell r="AA477">
            <v>0</v>
          </cell>
        </row>
        <row r="478">
          <cell r="N478" t="str">
            <v>FAMISANAR E.P.S.</v>
          </cell>
          <cell r="AA478">
            <v>0</v>
          </cell>
        </row>
        <row r="479">
          <cell r="N479" t="str">
            <v>FAMISANAR E.P.S.</v>
          </cell>
          <cell r="AA479">
            <v>0</v>
          </cell>
        </row>
        <row r="480">
          <cell r="N480" t="str">
            <v>FAMISANAR E.P.S.</v>
          </cell>
          <cell r="AA480">
            <v>0</v>
          </cell>
        </row>
        <row r="481">
          <cell r="N481" t="str">
            <v>FAMISANAR E.P.S.</v>
          </cell>
          <cell r="AA481">
            <v>0</v>
          </cell>
        </row>
        <row r="482">
          <cell r="N482" t="str">
            <v>FAMISANAR E.P.S.</v>
          </cell>
          <cell r="AA482">
            <v>0</v>
          </cell>
        </row>
        <row r="483">
          <cell r="N483" t="str">
            <v>FAMISANAR E.P.S.</v>
          </cell>
          <cell r="AA483">
            <v>472267</v>
          </cell>
        </row>
        <row r="484">
          <cell r="N484" t="str">
            <v>ENTIDAD PROMOTORA DE SALUD ORGANISMO COOPERAT</v>
          </cell>
          <cell r="AA484">
            <v>0</v>
          </cell>
        </row>
        <row r="485">
          <cell r="N485" t="str">
            <v>FAMISANAR E.P.S.</v>
          </cell>
          <cell r="AA485">
            <v>0</v>
          </cell>
        </row>
        <row r="486">
          <cell r="N486" t="str">
            <v>FAMISANAR E.P.S.</v>
          </cell>
          <cell r="AA486">
            <v>0</v>
          </cell>
        </row>
        <row r="487">
          <cell r="N487" t="str">
            <v>ENTIDAD PROMOTORA DE SALUD SANITAS S.A. EPS</v>
          </cell>
          <cell r="AA487">
            <v>0</v>
          </cell>
        </row>
        <row r="488">
          <cell r="N488" t="str">
            <v>ENTIDAD PROMOTORA DE SALUD SANITAS S.A. EPS</v>
          </cell>
          <cell r="AA488">
            <v>0</v>
          </cell>
        </row>
        <row r="489">
          <cell r="N489" t="str">
            <v>FAMISANAR E.P.S.</v>
          </cell>
          <cell r="AA489">
            <v>0</v>
          </cell>
        </row>
        <row r="490">
          <cell r="N490" t="str">
            <v>FAMISANAR E.P.S.</v>
          </cell>
          <cell r="AA490">
            <v>0</v>
          </cell>
        </row>
        <row r="491">
          <cell r="N491" t="str">
            <v>FAMISANAR E.P.S.</v>
          </cell>
          <cell r="AA491">
            <v>0</v>
          </cell>
        </row>
        <row r="492">
          <cell r="N492" t="str">
            <v>FAMISANAR E.P.S.</v>
          </cell>
          <cell r="AA492">
            <v>191676</v>
          </cell>
        </row>
        <row r="493">
          <cell r="N493" t="str">
            <v>CAFESALUD E.P.S.</v>
          </cell>
          <cell r="AA493">
            <v>0</v>
          </cell>
        </row>
        <row r="494">
          <cell r="N494" t="str">
            <v>NUEVA EMPRESA PROMOTORA DE SALUD S.A</v>
          </cell>
          <cell r="AA494">
            <v>0</v>
          </cell>
        </row>
        <row r="495">
          <cell r="N495" t="str">
            <v>NUEVA EMPRESA PROMOTORA DE SALUD S.A</v>
          </cell>
          <cell r="AA495">
            <v>0</v>
          </cell>
        </row>
        <row r="496">
          <cell r="N496" t="str">
            <v>POSITIVA</v>
          </cell>
          <cell r="AA496">
            <v>0</v>
          </cell>
        </row>
        <row r="497">
          <cell r="N497" t="str">
            <v>NUEVA EMPRESA PROMOTORA DE SALUD S.A</v>
          </cell>
          <cell r="AA497">
            <v>0</v>
          </cell>
        </row>
        <row r="498">
          <cell r="N498" t="str">
            <v>EPS Y MEDICINA PREPAGADA SURAMERICANA S.A</v>
          </cell>
          <cell r="AA498">
            <v>0</v>
          </cell>
        </row>
        <row r="499">
          <cell r="N499" t="e">
            <v>#N/A</v>
          </cell>
          <cell r="AA499">
            <v>0</v>
          </cell>
        </row>
        <row r="500">
          <cell r="N500" t="str">
            <v>ENTIDAD PROMOTORA DE SALUD SANITAS S.A. EPS</v>
          </cell>
          <cell r="AA500">
            <v>49691</v>
          </cell>
        </row>
        <row r="501">
          <cell r="N501" t="str">
            <v>FAMISANAR E.P.S.</v>
          </cell>
          <cell r="AA501">
            <v>0</v>
          </cell>
        </row>
        <row r="502">
          <cell r="N502" t="str">
            <v>FAMISANAR E.P.S.</v>
          </cell>
          <cell r="AA502">
            <v>0</v>
          </cell>
        </row>
        <row r="503">
          <cell r="N503" t="str">
            <v>FAMISANAR E.P.S.</v>
          </cell>
          <cell r="AA503">
            <v>0</v>
          </cell>
        </row>
        <row r="504">
          <cell r="N504" t="str">
            <v>FAMISANAR E.P.S.</v>
          </cell>
          <cell r="AA504">
            <v>0</v>
          </cell>
        </row>
        <row r="505">
          <cell r="N505" t="str">
            <v>FAMISANAR E.P.S.</v>
          </cell>
          <cell r="AA505">
            <v>0</v>
          </cell>
        </row>
        <row r="506">
          <cell r="N506" t="str">
            <v>CAJA DE COMPENSACION FAMILIAR COMPENSAR</v>
          </cell>
          <cell r="AA506">
            <v>0</v>
          </cell>
        </row>
        <row r="507">
          <cell r="N507" t="str">
            <v>CAJA DE COMPENSACION FAMILIAR COMPENSAR</v>
          </cell>
          <cell r="AA507">
            <v>0</v>
          </cell>
        </row>
        <row r="508">
          <cell r="N508" t="str">
            <v>CAJA DE COMPENSACION FAMILIAR COMPENSAR</v>
          </cell>
          <cell r="AA508">
            <v>129028</v>
          </cell>
        </row>
        <row r="509">
          <cell r="N509" t="str">
            <v>POSITIVA</v>
          </cell>
          <cell r="AA509">
            <v>0</v>
          </cell>
        </row>
        <row r="510">
          <cell r="N510" t="str">
            <v>POSITIVA</v>
          </cell>
          <cell r="AA510">
            <v>0</v>
          </cell>
        </row>
        <row r="511">
          <cell r="N511" t="str">
            <v>CAJA DE COMPENSACION FAMILIAR COMPENSAR</v>
          </cell>
          <cell r="AA511">
            <v>0</v>
          </cell>
        </row>
        <row r="512">
          <cell r="N512" t="str">
            <v>CAJA DE COMPENSACION FAMILIAR COMPENSAR</v>
          </cell>
          <cell r="AA512">
            <v>-41067</v>
          </cell>
        </row>
        <row r="513">
          <cell r="N513" t="str">
            <v>CAJA DE COMPENSACION FAMILIAR COMPENSAR</v>
          </cell>
          <cell r="AA513">
            <v>0</v>
          </cell>
        </row>
        <row r="514">
          <cell r="N514" t="str">
            <v>CAJA DE COMPENSACION FAMILIAR COMPENSAR</v>
          </cell>
          <cell r="AA514">
            <v>0</v>
          </cell>
        </row>
        <row r="515">
          <cell r="N515" t="str">
            <v>CAJA DE COMPENSACION FAMILIAR COMPENSAR</v>
          </cell>
          <cell r="AA515">
            <v>0</v>
          </cell>
        </row>
        <row r="516">
          <cell r="N516" t="str">
            <v>CAJA DE COMPENSACION FAMILIAR COMPENSAR</v>
          </cell>
          <cell r="AA516">
            <v>0</v>
          </cell>
        </row>
        <row r="517">
          <cell r="N517" t="str">
            <v>FAMISANAR E.P.S.</v>
          </cell>
          <cell r="AA517">
            <v>0</v>
          </cell>
        </row>
        <row r="518">
          <cell r="N518" t="str">
            <v>FAMISANAR E.P.S.</v>
          </cell>
          <cell r="AA518">
            <v>209944</v>
          </cell>
        </row>
        <row r="519">
          <cell r="N519" t="str">
            <v>SALUD TOTAL S.A.</v>
          </cell>
          <cell r="AA519">
            <v>0</v>
          </cell>
        </row>
        <row r="520">
          <cell r="N520" t="str">
            <v>SALUD TOTAL S.A.</v>
          </cell>
          <cell r="AA520">
            <v>0</v>
          </cell>
        </row>
        <row r="521">
          <cell r="N521" t="str">
            <v>CAFESALUD E.P.S.</v>
          </cell>
          <cell r="AA521">
            <v>0</v>
          </cell>
        </row>
        <row r="522">
          <cell r="N522" t="str">
            <v>ENTIDAD PROMOTORA DE SALUD ORGANISMO COOPERAT</v>
          </cell>
          <cell r="AA522">
            <v>0</v>
          </cell>
        </row>
        <row r="523">
          <cell r="N523" t="str">
            <v>NUEVA EMPRESA PROMOTORA DE SALUD S.A</v>
          </cell>
          <cell r="AA523">
            <v>0</v>
          </cell>
        </row>
        <row r="524">
          <cell r="N524" t="str">
            <v>FAMISANAR E.P.S.</v>
          </cell>
          <cell r="AA524">
            <v>134673</v>
          </cell>
        </row>
        <row r="525">
          <cell r="N525" t="str">
            <v>COOMEVA ENTIDAD PROMOTORA DE SALUD S.A.</v>
          </cell>
          <cell r="AA525">
            <v>0</v>
          </cell>
        </row>
        <row r="526">
          <cell r="N526" t="str">
            <v>COOMEVA ENTIDAD PROMOTORA DE SALUD S.A.</v>
          </cell>
          <cell r="AA526">
            <v>0</v>
          </cell>
        </row>
        <row r="527">
          <cell r="N527" t="str">
            <v>FAMISANAR E.P.S.</v>
          </cell>
          <cell r="AA527">
            <v>108028</v>
          </cell>
        </row>
        <row r="528">
          <cell r="N528" t="str">
            <v>NUEVA EMPRESA PROMOTORA DE SALUD S.A</v>
          </cell>
          <cell r="AA528">
            <v>0</v>
          </cell>
        </row>
        <row r="529">
          <cell r="N529" t="str">
            <v>ENTIDAD PROMOTORA DE SALUD SANITAS S.A. EPS</v>
          </cell>
          <cell r="AA529">
            <v>0</v>
          </cell>
        </row>
        <row r="530">
          <cell r="N530" t="str">
            <v>SANITAS EPS</v>
          </cell>
          <cell r="AA530">
            <v>864310</v>
          </cell>
        </row>
        <row r="531">
          <cell r="N531" t="str">
            <v>ENTIDAD PROMOTORA DE SALUD SANITAS S.A. EPS</v>
          </cell>
          <cell r="AA531">
            <v>0</v>
          </cell>
        </row>
        <row r="532">
          <cell r="N532" t="str">
            <v>ENTIDAD PROMOTORA DE SALUD SANITAS S.A. EPS</v>
          </cell>
          <cell r="AA532">
            <v>0</v>
          </cell>
        </row>
        <row r="533">
          <cell r="N533" t="str">
            <v>CRUZ BLANCA E.P.S. S.A.</v>
          </cell>
          <cell r="AA533">
            <v>0</v>
          </cell>
        </row>
        <row r="534">
          <cell r="N534" t="str">
            <v>CRUZ BLANCA E.P.S. S.A.</v>
          </cell>
          <cell r="AA534">
            <v>26702</v>
          </cell>
        </row>
        <row r="535">
          <cell r="N535" t="str">
            <v>POSITIVA</v>
          </cell>
          <cell r="AA535">
            <v>0</v>
          </cell>
        </row>
        <row r="536">
          <cell r="N536" t="str">
            <v>SALUD TOTAL S.A.</v>
          </cell>
          <cell r="AA536">
            <v>150360</v>
          </cell>
        </row>
        <row r="537">
          <cell r="N537" t="str">
            <v>EPS Y MEDICINA PREPAGADA SURAMERICANA S.A</v>
          </cell>
          <cell r="AA537">
            <v>48180</v>
          </cell>
        </row>
        <row r="538">
          <cell r="N538" t="str">
            <v>EPS Y MEDICINA PREPAGADA SURAMERICANA S.A</v>
          </cell>
          <cell r="AA538">
            <v>-21531</v>
          </cell>
        </row>
        <row r="539">
          <cell r="N539" t="str">
            <v>EPS Y MEDICINA PREPAGADA SURAMERICANA S.A</v>
          </cell>
          <cell r="AA539">
            <v>0</v>
          </cell>
        </row>
        <row r="540">
          <cell r="N540" t="str">
            <v>EPS Y MEDICINA PREPAGADA SURAMERICANA S.A</v>
          </cell>
          <cell r="AA540">
            <v>0</v>
          </cell>
        </row>
        <row r="541">
          <cell r="N541" t="str">
            <v>EPS Y MEDICINA PREPAGADA SURAMERICANA S.A</v>
          </cell>
          <cell r="AA541">
            <v>0</v>
          </cell>
        </row>
        <row r="542">
          <cell r="N542" t="str">
            <v>EPS Y MEDICINA PREPAGADA SURAMERICANA S.A</v>
          </cell>
          <cell r="AA542">
            <v>0</v>
          </cell>
        </row>
        <row r="543">
          <cell r="N543" t="str">
            <v>FAMISANAR E.P.S.</v>
          </cell>
          <cell r="AA543">
            <v>0</v>
          </cell>
        </row>
        <row r="544">
          <cell r="N544" t="str">
            <v>FAMISANAR E.P.S.</v>
          </cell>
          <cell r="AA544">
            <v>0</v>
          </cell>
        </row>
        <row r="545">
          <cell r="N545" t="str">
            <v>FAMISANAR E.P.S.</v>
          </cell>
          <cell r="AA545">
            <v>0</v>
          </cell>
        </row>
        <row r="546">
          <cell r="N546" t="str">
            <v>POSITIVA</v>
          </cell>
          <cell r="AA546">
            <v>0</v>
          </cell>
        </row>
        <row r="547">
          <cell r="N547" t="str">
            <v>POSITIVA</v>
          </cell>
          <cell r="AA547">
            <v>74600</v>
          </cell>
        </row>
        <row r="548">
          <cell r="N548" t="str">
            <v>CAFESALUD E.P.S.</v>
          </cell>
          <cell r="AA548">
            <v>680400</v>
          </cell>
        </row>
        <row r="549">
          <cell r="N549" t="str">
            <v>ALIANSALUD EPS</v>
          </cell>
          <cell r="AA549">
            <v>0</v>
          </cell>
        </row>
        <row r="550">
          <cell r="N550" t="str">
            <v>CRUZ BLANCA E.P.S. S.A.</v>
          </cell>
          <cell r="AA550">
            <v>0</v>
          </cell>
        </row>
        <row r="551">
          <cell r="N551" t="str">
            <v>CRUZ BLANCA E.P.S.</v>
          </cell>
          <cell r="AA551">
            <v>0</v>
          </cell>
        </row>
        <row r="552">
          <cell r="N552" t="str">
            <v>COOMEVA EPS</v>
          </cell>
          <cell r="AA552">
            <v>0</v>
          </cell>
        </row>
        <row r="553">
          <cell r="N553" t="str">
            <v>ENTIDAD PROMOTORA DE SALUD ORGANISMO COOPERAT</v>
          </cell>
          <cell r="AA553">
            <v>0</v>
          </cell>
        </row>
        <row r="554">
          <cell r="N554" t="str">
            <v>ENTIDAD PROMOTORA DE SALUD ORGANISMO COOPERAT</v>
          </cell>
          <cell r="AA554">
            <v>474246</v>
          </cell>
        </row>
        <row r="555">
          <cell r="N555" t="str">
            <v>FAMISANAR E.P.S.</v>
          </cell>
          <cell r="AA555">
            <v>0</v>
          </cell>
        </row>
        <row r="556">
          <cell r="N556" t="str">
            <v>FAMISANAR E.P.S.</v>
          </cell>
          <cell r="AA556">
            <v>0</v>
          </cell>
        </row>
        <row r="557">
          <cell r="N557" t="str">
            <v>CRUZ BLANCA E.P.S. S.A.</v>
          </cell>
          <cell r="AA557">
            <v>0</v>
          </cell>
        </row>
        <row r="558">
          <cell r="N558" t="str">
            <v>CAJA DE COMPENSACION FAMILIAR COMPENSAR</v>
          </cell>
          <cell r="AA558">
            <v>0</v>
          </cell>
        </row>
        <row r="559">
          <cell r="N559" t="e">
            <v>#N/A</v>
          </cell>
          <cell r="AA559">
            <v>0</v>
          </cell>
        </row>
        <row r="560">
          <cell r="N560" t="e">
            <v>#N/A</v>
          </cell>
          <cell r="AA560">
            <v>0</v>
          </cell>
        </row>
        <row r="561">
          <cell r="N561" t="e">
            <v>#N/A</v>
          </cell>
          <cell r="AA561">
            <v>0</v>
          </cell>
        </row>
        <row r="562">
          <cell r="N562" t="str">
            <v>FAMISANAR E.P.S.</v>
          </cell>
          <cell r="AA562">
            <v>0</v>
          </cell>
        </row>
        <row r="563">
          <cell r="N563" t="str">
            <v>COOMEVA ENTIDAD PROMOTORA DE SALUD S.A.</v>
          </cell>
          <cell r="AA563">
            <v>0</v>
          </cell>
        </row>
        <row r="564">
          <cell r="N564" t="str">
            <v>COOMEVA ENTIDAD PROMOTORA DE SALUD S.A.</v>
          </cell>
          <cell r="AA564">
            <v>0</v>
          </cell>
        </row>
        <row r="565">
          <cell r="N565" t="str">
            <v>CAJA DE COMPENSACION FAMILIAR COMPENSAR</v>
          </cell>
          <cell r="AA565">
            <v>0</v>
          </cell>
        </row>
        <row r="566">
          <cell r="N566" t="str">
            <v>FAMISANAR E.P.S.</v>
          </cell>
          <cell r="AA566">
            <v>555533</v>
          </cell>
        </row>
        <row r="567">
          <cell r="N567" t="str">
            <v>CRUZ BLANCA E.P.S. S.A.</v>
          </cell>
          <cell r="AA567">
            <v>615209</v>
          </cell>
        </row>
        <row r="568">
          <cell r="N568" t="str">
            <v>CRUZ BLANCA E.P.S. S.A.</v>
          </cell>
          <cell r="AA568">
            <v>615209</v>
          </cell>
        </row>
        <row r="569">
          <cell r="N569" t="str">
            <v>CRUZ BLANCA E.P.S. S.A.</v>
          </cell>
          <cell r="AA569">
            <v>555670</v>
          </cell>
        </row>
        <row r="570">
          <cell r="N570" t="str">
            <v>CRUZ BLANCA E.P.S. S.A.</v>
          </cell>
          <cell r="AA570">
            <v>615209</v>
          </cell>
        </row>
        <row r="571">
          <cell r="N571" t="str">
            <v>CRUZ BLANCA E.P.S. S.A.</v>
          </cell>
          <cell r="AA571">
            <v>595363</v>
          </cell>
        </row>
        <row r="572">
          <cell r="N572" t="str">
            <v>CRUZ BLANCA E.P.S. S.A.</v>
          </cell>
          <cell r="AA572">
            <v>616000</v>
          </cell>
        </row>
        <row r="573">
          <cell r="N573" t="str">
            <v>CRUZ BLANCA E.P.S. S.A.</v>
          </cell>
          <cell r="AA573">
            <v>616000</v>
          </cell>
        </row>
        <row r="574">
          <cell r="N574" t="str">
            <v>CRUZ BLANCA E.P.S. S.A.</v>
          </cell>
          <cell r="AA574">
            <v>615209</v>
          </cell>
        </row>
        <row r="575">
          <cell r="N575" t="str">
            <v>CRUZ BLANCA E.P.S. S.A.</v>
          </cell>
          <cell r="AA575">
            <v>636533</v>
          </cell>
        </row>
        <row r="576">
          <cell r="N576" t="str">
            <v>CRUZ BLANCA E.P.S. S.A.</v>
          </cell>
          <cell r="AA576">
            <v>616000</v>
          </cell>
        </row>
        <row r="577">
          <cell r="N577" t="str">
            <v>CRUZ BLANCA E.P.S. S.A.</v>
          </cell>
          <cell r="AA577">
            <v>615209</v>
          </cell>
        </row>
        <row r="578">
          <cell r="N578" t="str">
            <v>CRUZ BLANCA E.P.S. S.A.</v>
          </cell>
          <cell r="AA578">
            <v>615687</v>
          </cell>
        </row>
        <row r="579">
          <cell r="N579" t="str">
            <v>CRUZ BLANCA E.P.S. S.A.</v>
          </cell>
          <cell r="AA579">
            <v>636534</v>
          </cell>
        </row>
        <row r="580">
          <cell r="N580" t="str">
            <v>CRUZ BLANCA E.P.S. S.A.</v>
          </cell>
          <cell r="AA580">
            <v>616000</v>
          </cell>
        </row>
        <row r="581">
          <cell r="N581" t="str">
            <v>CRUZ BLANCA E.P.S. S.A.</v>
          </cell>
          <cell r="AA581">
            <v>601395</v>
          </cell>
        </row>
        <row r="582">
          <cell r="N582" t="str">
            <v>CRUZ BLANCA E.P.S. S.A.</v>
          </cell>
          <cell r="AA582">
            <v>21480</v>
          </cell>
        </row>
        <row r="583">
          <cell r="N583" t="str">
            <v>CRUZ BLANCA E.P.S. S.A.</v>
          </cell>
          <cell r="AA583">
            <v>644400</v>
          </cell>
        </row>
        <row r="584">
          <cell r="N584" t="str">
            <v>CRUZ BLANCA E.P.S. S.A.</v>
          </cell>
          <cell r="AA584">
            <v>644400</v>
          </cell>
        </row>
        <row r="585">
          <cell r="N585" t="str">
            <v>CRUZ BLANCA E.P.S.</v>
          </cell>
          <cell r="AA585">
            <v>665880</v>
          </cell>
        </row>
        <row r="586">
          <cell r="N586" t="str">
            <v>CRUZ BLANCA E.P.S. S.A.</v>
          </cell>
          <cell r="AA586">
            <v>644400</v>
          </cell>
        </row>
        <row r="587">
          <cell r="N587" t="str">
            <v>CRUZ BLANCA E.P.S. S.A.</v>
          </cell>
          <cell r="AA587">
            <v>0</v>
          </cell>
        </row>
        <row r="588">
          <cell r="N588" t="str">
            <v>CRUZ BLANCA E.P.S. S.A.</v>
          </cell>
          <cell r="AA588">
            <v>0</v>
          </cell>
        </row>
        <row r="589">
          <cell r="N589" t="str">
            <v>CRUZ BLANCA E.P.S. S.A.</v>
          </cell>
          <cell r="AA589">
            <v>615209</v>
          </cell>
        </row>
        <row r="590">
          <cell r="N590" t="str">
            <v>CRUZ BLANCA E.P.S. S.A.</v>
          </cell>
          <cell r="AA590">
            <v>595363</v>
          </cell>
        </row>
        <row r="591">
          <cell r="N591" t="str">
            <v>CRUZ BLANCA E.P.S. S.A.</v>
          </cell>
          <cell r="AA591">
            <v>589500</v>
          </cell>
        </row>
        <row r="592">
          <cell r="N592" t="str">
            <v>CRUZ BLANCA E.P.S. S.A.</v>
          </cell>
          <cell r="AA592">
            <v>615209</v>
          </cell>
        </row>
        <row r="593">
          <cell r="N593" t="str">
            <v>CRUZ BLANCA E.P.S. S.A.</v>
          </cell>
          <cell r="AA593">
            <v>595363</v>
          </cell>
        </row>
        <row r="594">
          <cell r="N594" t="str">
            <v>CRUZ BLANCA E.P.S. S.A.</v>
          </cell>
          <cell r="AA594">
            <v>615209</v>
          </cell>
        </row>
        <row r="595">
          <cell r="N595" t="str">
            <v>CRUZ BLANCA E.P.S. S.A.</v>
          </cell>
          <cell r="AA595">
            <v>595363</v>
          </cell>
        </row>
        <row r="596">
          <cell r="N596" t="str">
            <v>CAJA DE COMPENSACION FAMILIAR COMPENSAR</v>
          </cell>
          <cell r="AA596">
            <v>50447</v>
          </cell>
        </row>
        <row r="597">
          <cell r="N597" t="str">
            <v>FAMISANAR E.P.S.</v>
          </cell>
          <cell r="AA597">
            <v>0</v>
          </cell>
        </row>
        <row r="598">
          <cell r="N598" t="str">
            <v>FAMISANAR E.P.S.</v>
          </cell>
          <cell r="AA598">
            <v>0</v>
          </cell>
        </row>
        <row r="599">
          <cell r="N599" t="str">
            <v>CRUZ BLANCA E.P.S. S.A.</v>
          </cell>
          <cell r="AA599">
            <v>0</v>
          </cell>
        </row>
        <row r="600">
          <cell r="N600" t="str">
            <v>CRUZ BLANCA E.P.S. S.A.</v>
          </cell>
          <cell r="AA600">
            <v>0</v>
          </cell>
        </row>
        <row r="601">
          <cell r="N601" t="str">
            <v>CRUZ BLANCA E.P.S. S.A.</v>
          </cell>
          <cell r="AA601">
            <v>0</v>
          </cell>
        </row>
        <row r="602">
          <cell r="N602" t="str">
            <v>EPS Y MEDICINA PREPAGADA SURAMERICANA S.A</v>
          </cell>
          <cell r="AA602">
            <v>0</v>
          </cell>
        </row>
        <row r="603">
          <cell r="N603" t="str">
            <v>CAJA DE COMPENSACION FAMILIAR COMPENSAR</v>
          </cell>
          <cell r="AA603">
            <v>0</v>
          </cell>
        </row>
        <row r="604">
          <cell r="N604" t="str">
            <v>CAJA DE COMPENSACION FAMILIAR COMPENSAR</v>
          </cell>
          <cell r="AA604">
            <v>417900</v>
          </cell>
        </row>
        <row r="605">
          <cell r="N605" t="str">
            <v>CAJA DE COMPENSACION FAMILIAR COMPENSAR</v>
          </cell>
          <cell r="AA605">
            <v>4179000</v>
          </cell>
        </row>
        <row r="606">
          <cell r="N606" t="e">
            <v>#N/A</v>
          </cell>
          <cell r="AA606">
            <v>4318300</v>
          </cell>
        </row>
        <row r="607">
          <cell r="N607" t="str">
            <v>CAJA DE COMPENSACION FAMILIAR COMPENSAR</v>
          </cell>
          <cell r="AA607">
            <v>4179000</v>
          </cell>
        </row>
        <row r="608">
          <cell r="N608" t="str">
            <v>CAJA DE COMPENSACION FAMILIAR COMPENSAR</v>
          </cell>
          <cell r="AA608">
            <v>0</v>
          </cell>
        </row>
        <row r="609">
          <cell r="N609" t="str">
            <v>CAJA DE COMPENSACION FAMILIAR COMPENSAR</v>
          </cell>
          <cell r="AA609">
            <v>0</v>
          </cell>
        </row>
        <row r="610">
          <cell r="N610" t="str">
            <v>CAJA DE COMPENSACION FAMILIAR COMPENSAR</v>
          </cell>
          <cell r="AA610">
            <v>0</v>
          </cell>
        </row>
        <row r="611">
          <cell r="N611" t="str">
            <v>CAJA DE COMPENSACION FAMILIAR COMPENSAR</v>
          </cell>
          <cell r="AA611">
            <v>0</v>
          </cell>
        </row>
        <row r="612">
          <cell r="N612" t="str">
            <v>NUEVA EMPRESA PROMOTORA DE SALUD S.A</v>
          </cell>
          <cell r="AA612">
            <v>0</v>
          </cell>
        </row>
        <row r="613">
          <cell r="N613" t="str">
            <v>NUEVA EMPRESA PROMOTORA DE SALUD S.A</v>
          </cell>
          <cell r="AA613">
            <v>0</v>
          </cell>
        </row>
        <row r="614">
          <cell r="N614" t="str">
            <v>NUEVA EMPRESA PROMOTORA DE SALUD S.A</v>
          </cell>
          <cell r="AA614">
            <v>0</v>
          </cell>
        </row>
        <row r="615">
          <cell r="N615" t="str">
            <v>FAMISANAR E.P.S.</v>
          </cell>
          <cell r="AA615">
            <v>0</v>
          </cell>
        </row>
        <row r="616">
          <cell r="N616" t="str">
            <v>FAMISANAR E.P.S.</v>
          </cell>
          <cell r="AA616">
            <v>0</v>
          </cell>
        </row>
        <row r="617">
          <cell r="N617" t="str">
            <v>FAMISANAR E.P.S.</v>
          </cell>
          <cell r="AA617">
            <v>0</v>
          </cell>
        </row>
        <row r="618">
          <cell r="N618" t="str">
            <v>FAMISANAR E.P.S.</v>
          </cell>
          <cell r="AA618">
            <v>0</v>
          </cell>
        </row>
        <row r="619">
          <cell r="N619" t="str">
            <v>CAJA DE COMPENSACION FAMILIAR COMPENSAR</v>
          </cell>
          <cell r="AA619">
            <v>0</v>
          </cell>
        </row>
        <row r="620">
          <cell r="N620" t="str">
            <v>ENTIDAD PROMOTORA DE SALUD SANITAS S.A. EPS</v>
          </cell>
          <cell r="AA620">
            <v>0</v>
          </cell>
        </row>
        <row r="621">
          <cell r="N621" t="str">
            <v>POSITIVA</v>
          </cell>
          <cell r="AA621">
            <v>0</v>
          </cell>
        </row>
        <row r="622">
          <cell r="N622" t="str">
            <v>POSITIVA</v>
          </cell>
          <cell r="AA622">
            <v>0</v>
          </cell>
        </row>
        <row r="623">
          <cell r="N623" t="str">
            <v>POSITIVA</v>
          </cell>
          <cell r="AA623">
            <v>0</v>
          </cell>
        </row>
        <row r="624">
          <cell r="N624" t="str">
            <v>POSITIVA</v>
          </cell>
          <cell r="AA624">
            <v>0</v>
          </cell>
        </row>
        <row r="625">
          <cell r="N625" t="str">
            <v>POSITIVA</v>
          </cell>
          <cell r="AA625">
            <v>0</v>
          </cell>
        </row>
        <row r="626">
          <cell r="N626" t="str">
            <v>POSITIVA</v>
          </cell>
          <cell r="AA626">
            <v>0</v>
          </cell>
        </row>
        <row r="627">
          <cell r="N627" t="str">
            <v>FAMISANAR E.P.S.</v>
          </cell>
          <cell r="AA627">
            <v>0</v>
          </cell>
        </row>
        <row r="628">
          <cell r="N628" t="str">
            <v>CRUZ BLANCA E.P.S. S.A.</v>
          </cell>
          <cell r="AA628">
            <v>0</v>
          </cell>
        </row>
        <row r="629">
          <cell r="N629" t="str">
            <v>CRUZ BLANCA E.P.S. S.A.</v>
          </cell>
          <cell r="AA629">
            <v>0</v>
          </cell>
        </row>
        <row r="630">
          <cell r="N630" t="str">
            <v>CRUZ BLANCA E.P.S. S.A.</v>
          </cell>
          <cell r="AA630">
            <v>0</v>
          </cell>
        </row>
        <row r="631">
          <cell r="N631" t="str">
            <v>CRUZ BLANCA E.P.S. S.A.</v>
          </cell>
          <cell r="AA631">
            <v>0</v>
          </cell>
        </row>
        <row r="632">
          <cell r="N632" t="str">
            <v>CRUZ BLANCA E.P.S. S.A.</v>
          </cell>
          <cell r="AA632">
            <v>0</v>
          </cell>
        </row>
        <row r="633">
          <cell r="N633" t="str">
            <v>NUEVA EMPRESA PROMOTORA DE SALUD S.A</v>
          </cell>
          <cell r="AA633">
            <v>0</v>
          </cell>
        </row>
        <row r="634">
          <cell r="N634" t="str">
            <v>POSITIVA</v>
          </cell>
          <cell r="AA634">
            <v>49630</v>
          </cell>
        </row>
        <row r="635">
          <cell r="N635" t="str">
            <v>SALUD TOTAL S.A.</v>
          </cell>
          <cell r="AA635">
            <v>0</v>
          </cell>
        </row>
        <row r="636">
          <cell r="N636" t="str">
            <v>SALUD TOTAL S.A.</v>
          </cell>
          <cell r="AA636">
            <v>0</v>
          </cell>
        </row>
        <row r="637">
          <cell r="N637" t="e">
            <v>#N/A</v>
          </cell>
          <cell r="AA637">
            <v>0</v>
          </cell>
        </row>
        <row r="638">
          <cell r="N638" t="str">
            <v>FAMISANAR E.P.S.</v>
          </cell>
          <cell r="AA638">
            <v>239723</v>
          </cell>
        </row>
        <row r="639">
          <cell r="N639" t="str">
            <v>POSITIVA</v>
          </cell>
          <cell r="AA639">
            <v>0</v>
          </cell>
        </row>
        <row r="640">
          <cell r="N640" t="str">
            <v>POSITIVA</v>
          </cell>
          <cell r="AA640">
            <v>0</v>
          </cell>
        </row>
        <row r="641">
          <cell r="N641" t="str">
            <v>POSITIVA</v>
          </cell>
          <cell r="AA641">
            <v>1725000</v>
          </cell>
        </row>
        <row r="642">
          <cell r="N642" t="str">
            <v>POSITIVA</v>
          </cell>
          <cell r="AA642">
            <v>0</v>
          </cell>
        </row>
        <row r="643">
          <cell r="N643" t="str">
            <v>POSITIVA</v>
          </cell>
          <cell r="AA643">
            <v>287500</v>
          </cell>
        </row>
        <row r="644">
          <cell r="N644" t="str">
            <v>POSITIVA</v>
          </cell>
          <cell r="AA644">
            <v>1437500</v>
          </cell>
        </row>
        <row r="645">
          <cell r="N645" t="str">
            <v>CAJA DE COMPENSACION FAMILIAR COMPENSAR</v>
          </cell>
          <cell r="AA645">
            <v>0</v>
          </cell>
        </row>
        <row r="646">
          <cell r="N646" t="str">
            <v>CAJA DE COMPENSACION FAMILIAR COMPENSAR</v>
          </cell>
          <cell r="AA646">
            <v>0</v>
          </cell>
        </row>
        <row r="647">
          <cell r="N647" t="str">
            <v>CAJA DE COMPENSACION FAMILIAR COMPENSAR</v>
          </cell>
          <cell r="AA647">
            <v>0</v>
          </cell>
        </row>
        <row r="648">
          <cell r="N648" t="str">
            <v>CAJA DE COMPENSACION FAMILIAR COMPENSAR</v>
          </cell>
          <cell r="AA648">
            <v>0</v>
          </cell>
        </row>
        <row r="649">
          <cell r="N649" t="str">
            <v>CAJA DE COMPENSACION FAMILIAR COMPENSAR</v>
          </cell>
          <cell r="AA649">
            <v>0</v>
          </cell>
        </row>
        <row r="650">
          <cell r="N650" t="str">
            <v>NUEVA EMPRESA PROMOTORA DE SALUD S.A</v>
          </cell>
          <cell r="AA650">
            <v>0</v>
          </cell>
        </row>
        <row r="651">
          <cell r="N651" t="str">
            <v>Nueva Promotora de Salud - Nueva EPS</v>
          </cell>
          <cell r="AA651">
            <v>0</v>
          </cell>
        </row>
        <row r="652">
          <cell r="N652" t="str">
            <v>POSITIVA</v>
          </cell>
          <cell r="AA652">
            <v>46345</v>
          </cell>
        </row>
        <row r="653">
          <cell r="N653" t="str">
            <v>POSITIVA</v>
          </cell>
          <cell r="AA653">
            <v>0</v>
          </cell>
        </row>
        <row r="654">
          <cell r="N654" t="str">
            <v>FAMISANAR E.P.S.</v>
          </cell>
          <cell r="AA654">
            <v>17134</v>
          </cell>
        </row>
        <row r="655">
          <cell r="N655" t="str">
            <v>FAMISANAR E.P.S.</v>
          </cell>
          <cell r="AA655">
            <v>0</v>
          </cell>
        </row>
        <row r="656">
          <cell r="N656" t="str">
            <v>FAMISANAR E.P.S.</v>
          </cell>
          <cell r="AA656">
            <v>0</v>
          </cell>
        </row>
        <row r="657">
          <cell r="N657" t="str">
            <v>FAMISANAR E.P.S.</v>
          </cell>
          <cell r="AA657">
            <v>0</v>
          </cell>
        </row>
        <row r="658">
          <cell r="N658" t="str">
            <v>FAMISANAR E.P.S.</v>
          </cell>
          <cell r="AA658">
            <v>0</v>
          </cell>
        </row>
        <row r="659">
          <cell r="N659" t="str">
            <v>ENTIDAD PROMOTORA DE SALUD SANITAS S.A. EPS</v>
          </cell>
          <cell r="AA659">
            <v>0</v>
          </cell>
        </row>
        <row r="660">
          <cell r="N660" t="str">
            <v>ENTIDAD PROMOTORA DE SALUD SANITAS S.A. EPS</v>
          </cell>
          <cell r="AA660">
            <v>0</v>
          </cell>
        </row>
        <row r="661">
          <cell r="N661" t="str">
            <v>ENTIDAD PROMOTORA DE SALUD SANITAS S.A. EPS</v>
          </cell>
          <cell r="AA661">
            <v>0</v>
          </cell>
        </row>
        <row r="662">
          <cell r="N662" t="str">
            <v>SALUD TOTAL S.A.</v>
          </cell>
          <cell r="AA662">
            <v>0</v>
          </cell>
        </row>
        <row r="663">
          <cell r="N663" t="str">
            <v>SALUD TOTAL S.A.</v>
          </cell>
          <cell r="AA663">
            <v>0</v>
          </cell>
        </row>
        <row r="664">
          <cell r="N664" t="str">
            <v>SALUD TOTAL S.A.</v>
          </cell>
          <cell r="AA664">
            <v>0</v>
          </cell>
        </row>
        <row r="665">
          <cell r="N665" t="str">
            <v>SALUD TOTAL S.A.</v>
          </cell>
          <cell r="AA665">
            <v>50714</v>
          </cell>
        </row>
        <row r="666">
          <cell r="N666" t="str">
            <v>POSITIVA</v>
          </cell>
          <cell r="AA666">
            <v>0</v>
          </cell>
        </row>
        <row r="667">
          <cell r="N667" t="str">
            <v>POSITIVA</v>
          </cell>
          <cell r="AA667">
            <v>0</v>
          </cell>
        </row>
        <row r="668">
          <cell r="N668" t="str">
            <v>SALUD TOTAL S.A.</v>
          </cell>
          <cell r="AA668">
            <v>44269</v>
          </cell>
        </row>
        <row r="669">
          <cell r="N669" t="e">
            <v>#N/A</v>
          </cell>
          <cell r="AA669">
            <v>0</v>
          </cell>
        </row>
        <row r="670">
          <cell r="N670" t="str">
            <v>CAJA DE COMPENSACION FAMILIAR COMPENSAR</v>
          </cell>
          <cell r="AA670">
            <v>0</v>
          </cell>
        </row>
        <row r="671">
          <cell r="N671" t="str">
            <v>CRUZ BLANCA E.P.S. S.A.</v>
          </cell>
          <cell r="AA671">
            <v>0</v>
          </cell>
        </row>
        <row r="672">
          <cell r="N672" t="str">
            <v>CRUZ BLANCA E.P.S. S.A.</v>
          </cell>
          <cell r="AA672">
            <v>0</v>
          </cell>
        </row>
        <row r="673">
          <cell r="N673" t="str">
            <v>SALUD TOTAL S.A.</v>
          </cell>
          <cell r="AA673">
            <v>0</v>
          </cell>
        </row>
        <row r="674">
          <cell r="N674" t="str">
            <v>SALUD TOTAL S.A.</v>
          </cell>
          <cell r="AA674">
            <v>0</v>
          </cell>
        </row>
        <row r="675">
          <cell r="N675" t="str">
            <v>SALUD TOTAL S.A.</v>
          </cell>
          <cell r="AA675">
            <v>0</v>
          </cell>
        </row>
        <row r="676">
          <cell r="N676" t="str">
            <v>POSITIVA</v>
          </cell>
          <cell r="AA676">
            <v>34767</v>
          </cell>
        </row>
        <row r="677">
          <cell r="N677" t="str">
            <v>FAMISANAR E.P.S.</v>
          </cell>
          <cell r="AA677">
            <v>435888</v>
          </cell>
        </row>
        <row r="678">
          <cell r="N678" t="str">
            <v>FAMISANAR E.P.S.</v>
          </cell>
          <cell r="AA678">
            <v>72648</v>
          </cell>
        </row>
        <row r="679">
          <cell r="N679" t="str">
            <v>FAMISANAR E.P.S.</v>
          </cell>
          <cell r="AA679">
            <v>1962098</v>
          </cell>
        </row>
        <row r="680">
          <cell r="N680" t="str">
            <v>FAMISANAR E.P.S.</v>
          </cell>
          <cell r="AA680">
            <v>2015500</v>
          </cell>
        </row>
        <row r="681">
          <cell r="N681" t="str">
            <v>CAJA DE COMPENSACION FAMILIAR COMPENSAR</v>
          </cell>
          <cell r="AA681">
            <v>0</v>
          </cell>
        </row>
        <row r="682">
          <cell r="N682" t="str">
            <v>ENTIDAD PROMOTORA DE SALUD SANITAS S.A. EPS</v>
          </cell>
          <cell r="AA682">
            <v>0</v>
          </cell>
        </row>
        <row r="683">
          <cell r="N683" t="str">
            <v>ENTIDAD PROMOTORA DE SALUD SANITAS S.A. EPS</v>
          </cell>
          <cell r="AA683">
            <v>1502700</v>
          </cell>
        </row>
        <row r="684">
          <cell r="N684" t="str">
            <v>ENTIDAD PROMOTORA DE SALUD SANITAS S.A. EPS</v>
          </cell>
          <cell r="AA684">
            <v>0</v>
          </cell>
        </row>
        <row r="685">
          <cell r="N685" t="str">
            <v>SALUD TOTAL S.A.</v>
          </cell>
          <cell r="AA685">
            <v>0</v>
          </cell>
        </row>
        <row r="686">
          <cell r="N686" t="str">
            <v>SALUD TOTAL EPS</v>
          </cell>
          <cell r="AA686">
            <v>0</v>
          </cell>
        </row>
        <row r="687">
          <cell r="N687" t="str">
            <v>CAFESALUD E.P.S.</v>
          </cell>
          <cell r="AA687">
            <v>0</v>
          </cell>
        </row>
        <row r="688">
          <cell r="N688" t="str">
            <v>CAFESALUD E.P.S.</v>
          </cell>
          <cell r="AA688">
            <v>0</v>
          </cell>
        </row>
        <row r="689">
          <cell r="N689" t="str">
            <v>CAFESALUD E.P.S.</v>
          </cell>
          <cell r="AA689">
            <v>0</v>
          </cell>
        </row>
        <row r="690">
          <cell r="N690" t="str">
            <v>ENTIDAD PROMOTORA DE SALUD SANITAS S.A. EPS</v>
          </cell>
          <cell r="AA690">
            <v>0</v>
          </cell>
        </row>
        <row r="691">
          <cell r="N691" t="str">
            <v>ENTIDAD PROMOTORA DE SALUD ORGANISMO COOPERAT</v>
          </cell>
          <cell r="AA691">
            <v>0</v>
          </cell>
        </row>
        <row r="692">
          <cell r="N692" t="str">
            <v>ENTIDAD PROMOTORA DE SALUD ORGANISMO COOPERAT</v>
          </cell>
          <cell r="AA692">
            <v>0</v>
          </cell>
        </row>
        <row r="693">
          <cell r="N693" t="str">
            <v>ENTIDAD PROMOTORA DE SALUD ORGANISMO COOPERAT</v>
          </cell>
          <cell r="AA693">
            <v>0</v>
          </cell>
        </row>
        <row r="694">
          <cell r="N694" t="str">
            <v>FAMISANAR E.P.S.</v>
          </cell>
          <cell r="AA694">
            <v>0</v>
          </cell>
        </row>
        <row r="695">
          <cell r="N695" t="str">
            <v>FAMISANAR E.P.S.</v>
          </cell>
          <cell r="AA695">
            <v>0</v>
          </cell>
        </row>
        <row r="696">
          <cell r="N696" t="str">
            <v>CAJA DE COMPENSACION FAMILIAR COMPENSAR</v>
          </cell>
          <cell r="AA696">
            <v>0</v>
          </cell>
        </row>
        <row r="697">
          <cell r="N697" t="str">
            <v>COMPENSAR EPS</v>
          </cell>
          <cell r="AA697">
            <v>0</v>
          </cell>
        </row>
        <row r="698">
          <cell r="N698" t="str">
            <v>FAMISANAR E.P.S.</v>
          </cell>
          <cell r="AA698">
            <v>335350</v>
          </cell>
        </row>
        <row r="699">
          <cell r="N699" t="str">
            <v>FAMISANAR E.P.S.</v>
          </cell>
          <cell r="AA699">
            <v>67070</v>
          </cell>
        </row>
        <row r="700">
          <cell r="N700" t="str">
            <v>POSITIVA</v>
          </cell>
          <cell r="AA700">
            <v>0</v>
          </cell>
        </row>
        <row r="701">
          <cell r="N701" t="str">
            <v>FAMISANAR E.P.S.</v>
          </cell>
          <cell r="AA701">
            <v>0</v>
          </cell>
        </row>
        <row r="702">
          <cell r="N702" t="str">
            <v>FAMISANAR E.P.S.</v>
          </cell>
          <cell r="AA702">
            <v>0</v>
          </cell>
        </row>
        <row r="703">
          <cell r="N703" t="str">
            <v>CAJA DE COMPENSACION FAMILIAR COMPENSAR</v>
          </cell>
          <cell r="AA703">
            <v>0</v>
          </cell>
        </row>
        <row r="704">
          <cell r="N704" t="str">
            <v>POSITIVA</v>
          </cell>
          <cell r="AA704">
            <v>0</v>
          </cell>
        </row>
        <row r="705">
          <cell r="N705" t="str">
            <v>SALUD TOTAL S.A.</v>
          </cell>
          <cell r="AA705">
            <v>144674</v>
          </cell>
        </row>
        <row r="706">
          <cell r="N706" t="str">
            <v>SALUD TOTAL S.A.</v>
          </cell>
          <cell r="AA706">
            <v>0</v>
          </cell>
        </row>
        <row r="707">
          <cell r="N707" t="str">
            <v>SALUD TOTAL S.A.</v>
          </cell>
          <cell r="AA707">
            <v>0</v>
          </cell>
        </row>
        <row r="708">
          <cell r="N708" t="str">
            <v>SALUD TOTAL S.A.</v>
          </cell>
          <cell r="AA708">
            <v>0</v>
          </cell>
        </row>
        <row r="709">
          <cell r="N709" t="str">
            <v>SALUD TOTAL S.A.</v>
          </cell>
          <cell r="AA709">
            <v>0</v>
          </cell>
        </row>
        <row r="710">
          <cell r="N710" t="str">
            <v>SALUD TOTAL S.A.</v>
          </cell>
          <cell r="AA710">
            <v>0</v>
          </cell>
        </row>
        <row r="711">
          <cell r="N711" t="str">
            <v>FAMISANAR E.P.S.</v>
          </cell>
          <cell r="AA711">
            <v>0</v>
          </cell>
        </row>
        <row r="712">
          <cell r="N712" t="str">
            <v>NUEVA EMPRESA PROMOTORA DE SALUD S.A</v>
          </cell>
          <cell r="AA712">
            <v>-33283</v>
          </cell>
        </row>
        <row r="713">
          <cell r="N713" t="str">
            <v>NUEVA EMPRESA PROMOTORA DE SALUD S.A</v>
          </cell>
          <cell r="AA713">
            <v>-1093</v>
          </cell>
        </row>
        <row r="714">
          <cell r="N714" t="str">
            <v>NUEVA EMPRESA PROMOTORA DE SALUD S.A</v>
          </cell>
          <cell r="AA714">
            <v>-1093</v>
          </cell>
        </row>
        <row r="715">
          <cell r="N715" t="str">
            <v>NUEVA EMPRESA PROMOTORA DE SALUD S.A</v>
          </cell>
          <cell r="AA715">
            <v>-1297</v>
          </cell>
        </row>
        <row r="716">
          <cell r="N716" t="str">
            <v>NUEVA EMPRESA PROMOTORA DE SALUD S.A</v>
          </cell>
          <cell r="AA716">
            <v>-1297</v>
          </cell>
        </row>
        <row r="717">
          <cell r="N717" t="str">
            <v>NUEVA EMPRESA PROMOTORA DE SALUD S.A</v>
          </cell>
          <cell r="AA717">
            <v>164230</v>
          </cell>
        </row>
        <row r="718">
          <cell r="N718" t="str">
            <v>POSITIVA</v>
          </cell>
          <cell r="AA718">
            <v>0</v>
          </cell>
        </row>
        <row r="719">
          <cell r="N719" t="str">
            <v>SANITAS EPS</v>
          </cell>
          <cell r="AA719">
            <v>0</v>
          </cell>
        </row>
        <row r="720">
          <cell r="N720" t="str">
            <v>CAJA DE COMPENSACION FAMILIAR COMPENSAR</v>
          </cell>
          <cell r="AA720">
            <v>0</v>
          </cell>
        </row>
        <row r="721">
          <cell r="N721" t="str">
            <v>CAJA DE COMPENSACION FAMILIAR COMPENSAR</v>
          </cell>
          <cell r="AA721">
            <v>0</v>
          </cell>
        </row>
        <row r="722">
          <cell r="N722" t="str">
            <v>CAJA DE COMPENSACION FAMILIAR COMPENSAR</v>
          </cell>
          <cell r="AA722">
            <v>35624</v>
          </cell>
        </row>
        <row r="723">
          <cell r="N723" t="str">
            <v>POSITIVA</v>
          </cell>
          <cell r="AA723">
            <v>0</v>
          </cell>
        </row>
        <row r="724">
          <cell r="N724" t="str">
            <v>FAMISANAR E.P.S.</v>
          </cell>
          <cell r="AA724">
            <v>0</v>
          </cell>
        </row>
        <row r="725">
          <cell r="N725" t="str">
            <v>ENTIDAD PROMOTORA DE SALUD ORGANISMO COOPERAT</v>
          </cell>
          <cell r="AA725">
            <v>0</v>
          </cell>
        </row>
        <row r="726">
          <cell r="N726" t="str">
            <v>NUEVA EMPRESA PROMOTORA DE SALUD S.A</v>
          </cell>
          <cell r="AA726">
            <v>0</v>
          </cell>
        </row>
        <row r="727">
          <cell r="N727" t="str">
            <v>CAJA DE COMPENSACION FAMILIAR COMPENSAR</v>
          </cell>
          <cell r="AA727">
            <v>0</v>
          </cell>
        </row>
        <row r="728">
          <cell r="N728" t="str">
            <v>CAJA DE COMPENSACION FAMILIAR COMPENSAR</v>
          </cell>
          <cell r="AA728">
            <v>0</v>
          </cell>
        </row>
        <row r="729">
          <cell r="N729" t="str">
            <v>CAJA DE COMPENSACION FAMILIAR COMPENSAR</v>
          </cell>
          <cell r="AA729">
            <v>0</v>
          </cell>
        </row>
        <row r="730">
          <cell r="N730" t="str">
            <v>NUEVA EMPRESA PROMOTORA DE SALUD S.A</v>
          </cell>
          <cell r="AA730">
            <v>0</v>
          </cell>
        </row>
        <row r="731">
          <cell r="N731" t="str">
            <v>SALUD TOTAL S.A.</v>
          </cell>
          <cell r="AA731">
            <v>0</v>
          </cell>
        </row>
        <row r="732">
          <cell r="N732" t="str">
            <v>SALUD TOTAL S.A.</v>
          </cell>
          <cell r="AA732">
            <v>0</v>
          </cell>
        </row>
        <row r="733">
          <cell r="N733" t="str">
            <v>FAMISANAR E.P.S.</v>
          </cell>
          <cell r="AA733">
            <v>0</v>
          </cell>
        </row>
        <row r="734">
          <cell r="N734" t="str">
            <v>FAMISANAR E.P.S.</v>
          </cell>
          <cell r="AA734">
            <v>0</v>
          </cell>
        </row>
        <row r="735">
          <cell r="N735" t="str">
            <v>ENTIDAD PROMOTORA DE SALUD SANITAS S.A. EPS</v>
          </cell>
          <cell r="AA735">
            <v>0</v>
          </cell>
        </row>
        <row r="736">
          <cell r="N736" t="str">
            <v>ENTIDAD PROMOTORA DE SALUD SANITAS S.A. EPS</v>
          </cell>
          <cell r="AA736">
            <v>92271</v>
          </cell>
        </row>
        <row r="737">
          <cell r="N737" t="str">
            <v>ENTIDAD PROMOTORA DE SALUD SANITAS S.A. EPS</v>
          </cell>
          <cell r="AA737">
            <v>0</v>
          </cell>
        </row>
        <row r="738">
          <cell r="N738" t="str">
            <v>ENTIDAD PROMOTORA DE SALUD ORGANISMO COOPERAT</v>
          </cell>
          <cell r="AA738">
            <v>0</v>
          </cell>
        </row>
        <row r="739">
          <cell r="N739" t="str">
            <v>ENTIDAD PROMOTORA DE SALUD ORGANISMO COOPERAT</v>
          </cell>
          <cell r="AA739">
            <v>0</v>
          </cell>
        </row>
        <row r="740">
          <cell r="N740" t="str">
            <v>SALUD TOTAL S.A.</v>
          </cell>
          <cell r="AA740">
            <v>0</v>
          </cell>
        </row>
        <row r="741">
          <cell r="N741" t="str">
            <v>CRUZ BLANCA E.P.S. S.A.</v>
          </cell>
          <cell r="AA741">
            <v>0</v>
          </cell>
        </row>
        <row r="742">
          <cell r="N742" t="str">
            <v>CRUZ BLANCA E.P.S. S.A.</v>
          </cell>
          <cell r="AA742">
            <v>0</v>
          </cell>
        </row>
        <row r="743">
          <cell r="N743" t="str">
            <v>CRUZ BLANCA E.P.S. S.A.</v>
          </cell>
          <cell r="AA743">
            <v>0</v>
          </cell>
        </row>
        <row r="744">
          <cell r="N744" t="str">
            <v>CRUZ BLANCA E.P.S. S.A.</v>
          </cell>
          <cell r="AA744">
            <v>0</v>
          </cell>
        </row>
        <row r="745">
          <cell r="N745" t="str">
            <v>CRUZ BLANCA E.P.S. S.A.</v>
          </cell>
          <cell r="AA745">
            <v>0</v>
          </cell>
        </row>
        <row r="746">
          <cell r="N746" t="str">
            <v>CRUZ BLANCA E.P.S. S.A.</v>
          </cell>
          <cell r="AA746">
            <v>0</v>
          </cell>
        </row>
        <row r="747">
          <cell r="N747" t="str">
            <v>CRUZ BLANCA E.P.S.</v>
          </cell>
          <cell r="AA747">
            <v>0</v>
          </cell>
        </row>
        <row r="748">
          <cell r="N748" t="str">
            <v>CRUZ BLANCA E.P.S. S.A.</v>
          </cell>
          <cell r="AA748">
            <v>0</v>
          </cell>
        </row>
        <row r="749">
          <cell r="N749" t="str">
            <v>CAJA DE COMPENSACION FAMILIAR COMPENSAR</v>
          </cell>
          <cell r="AA749">
            <v>0</v>
          </cell>
        </row>
        <row r="750">
          <cell r="N750" t="str">
            <v>FAMISANAR E.P.S.</v>
          </cell>
          <cell r="AA750">
            <v>0</v>
          </cell>
        </row>
        <row r="751">
          <cell r="N751" t="str">
            <v>FAMISANAR E.P.S.</v>
          </cell>
          <cell r="AA751">
            <v>0</v>
          </cell>
        </row>
        <row r="752">
          <cell r="N752" t="str">
            <v>ENTIDAD PROMOTORA DE SALUD SANITAS S.A. EPS</v>
          </cell>
          <cell r="AA752">
            <v>43291</v>
          </cell>
        </row>
        <row r="753">
          <cell r="N753" t="str">
            <v>ENTIDAD PROMOTORA DE SALUD SANITAS S.A. EPS</v>
          </cell>
          <cell r="AA753">
            <v>0</v>
          </cell>
        </row>
        <row r="754">
          <cell r="N754" t="str">
            <v>FAMISANAR E.P.S.</v>
          </cell>
          <cell r="AA754">
            <v>1131346</v>
          </cell>
        </row>
        <row r="755">
          <cell r="N755" t="str">
            <v>FAMISANAR E.P.S.</v>
          </cell>
          <cell r="AA755">
            <v>2175664</v>
          </cell>
        </row>
        <row r="756">
          <cell r="N756" t="str">
            <v>FAMISANAR E.P.S.</v>
          </cell>
          <cell r="AA756">
            <v>1305399</v>
          </cell>
        </row>
        <row r="757">
          <cell r="N757" t="str">
            <v>FAMISANAR E.P.S.</v>
          </cell>
          <cell r="AA757">
            <v>1067865</v>
          </cell>
        </row>
        <row r="758">
          <cell r="N758" t="str">
            <v>FAMISANAR E.P.S.</v>
          </cell>
          <cell r="AA758">
            <v>0</v>
          </cell>
        </row>
        <row r="759">
          <cell r="N759" t="str">
            <v>FAMISANAR E.P.S.</v>
          </cell>
          <cell r="AA759">
            <v>0</v>
          </cell>
        </row>
        <row r="760">
          <cell r="N760" t="str">
            <v>FAMISANAR E.P.S.</v>
          </cell>
          <cell r="AA760">
            <v>0</v>
          </cell>
        </row>
        <row r="761">
          <cell r="N761" t="str">
            <v>FAMISANAR E.P.S.</v>
          </cell>
          <cell r="AA761">
            <v>0</v>
          </cell>
        </row>
        <row r="762">
          <cell r="N762" t="str">
            <v>NUEVA EMPRESA PROMOTORA DE SALUD S.A</v>
          </cell>
          <cell r="AA762">
            <v>154319</v>
          </cell>
        </row>
        <row r="763">
          <cell r="N763" t="str">
            <v>NUEVA EMPRESA PROMOTORA DE SALUD S.A</v>
          </cell>
          <cell r="AA763">
            <v>115739</v>
          </cell>
        </row>
        <row r="764">
          <cell r="N764" t="str">
            <v>NUEVA EMPRESA PROMOTORA DE SALUD S.A</v>
          </cell>
          <cell r="AA764">
            <v>0</v>
          </cell>
        </row>
        <row r="765">
          <cell r="N765" t="str">
            <v>NUEVA EMPRESA PROMOTORA DE SALUD S.A</v>
          </cell>
          <cell r="AA765">
            <v>0</v>
          </cell>
        </row>
        <row r="766">
          <cell r="N766" t="str">
            <v>ENTIDAD PROMOTORA DE SALUD SANITAS S.A. EPS</v>
          </cell>
          <cell r="AA766">
            <v>0</v>
          </cell>
        </row>
        <row r="767">
          <cell r="N767" t="str">
            <v>CRUZ BLANCA E.P.S.</v>
          </cell>
          <cell r="AA767">
            <v>0</v>
          </cell>
        </row>
        <row r="768">
          <cell r="N768" t="str">
            <v>FAMISANAR E.P.S.</v>
          </cell>
          <cell r="AA768">
            <v>0</v>
          </cell>
        </row>
        <row r="769">
          <cell r="N769" t="str">
            <v>FAMISANAR E.P.S.</v>
          </cell>
          <cell r="AA769">
            <v>0</v>
          </cell>
        </row>
        <row r="770">
          <cell r="N770" t="str">
            <v>CAJA DE COMPENSACION FAMILIAR COMPENSAR</v>
          </cell>
          <cell r="AA770">
            <v>0</v>
          </cell>
        </row>
        <row r="771">
          <cell r="N771" t="str">
            <v>CAJA DE COMPENSACION FAMILIAR COMPENSAR</v>
          </cell>
          <cell r="AA771">
            <v>0</v>
          </cell>
        </row>
        <row r="772">
          <cell r="N772" t="str">
            <v>CAJA DE COMPENSACION FAMILIAR COMPENSAR</v>
          </cell>
          <cell r="AA772">
            <v>0</v>
          </cell>
        </row>
        <row r="773">
          <cell r="N773" t="str">
            <v>CAJA DE COMPENSACION FAMILIAR COMPENSAR</v>
          </cell>
          <cell r="AA773">
            <v>0</v>
          </cell>
        </row>
        <row r="774">
          <cell r="N774" t="str">
            <v>NUEVA EMPRESA PROMOTORA DE SALUD S.A</v>
          </cell>
          <cell r="AA774">
            <v>0</v>
          </cell>
        </row>
        <row r="775">
          <cell r="N775" t="str">
            <v>FAMISANAR E.P.S.</v>
          </cell>
          <cell r="AA775">
            <v>0</v>
          </cell>
        </row>
        <row r="776">
          <cell r="N776" t="str">
            <v>FAMISANAR E.P.S.</v>
          </cell>
          <cell r="AA776">
            <v>84471</v>
          </cell>
        </row>
        <row r="777">
          <cell r="N777" t="str">
            <v>FAMISANAR E.P.S.</v>
          </cell>
          <cell r="AA777">
            <v>0</v>
          </cell>
        </row>
        <row r="778">
          <cell r="N778" t="str">
            <v>FAMISANAR E.P.S.</v>
          </cell>
          <cell r="AA778">
            <v>0</v>
          </cell>
        </row>
        <row r="779">
          <cell r="N779" t="str">
            <v>FAMISANAR E.P.S.</v>
          </cell>
          <cell r="AA779">
            <v>0</v>
          </cell>
        </row>
        <row r="780">
          <cell r="N780" t="str">
            <v>FAMISANAR E.P.S.</v>
          </cell>
          <cell r="AA780">
            <v>0</v>
          </cell>
        </row>
        <row r="781">
          <cell r="N781" t="str">
            <v>FAMISANAR E.P.S.</v>
          </cell>
          <cell r="AA781">
            <v>0</v>
          </cell>
        </row>
        <row r="782">
          <cell r="N782" t="str">
            <v>FAMISANAR E.P.S.</v>
          </cell>
          <cell r="AA782">
            <v>49580</v>
          </cell>
        </row>
        <row r="783">
          <cell r="N783" t="str">
            <v>FAMISANAR E.P.S.</v>
          </cell>
          <cell r="AA783">
            <v>0</v>
          </cell>
        </row>
        <row r="784">
          <cell r="N784" t="str">
            <v>FAMISANAR E.P.S.</v>
          </cell>
          <cell r="AA784">
            <v>1425049</v>
          </cell>
        </row>
        <row r="785">
          <cell r="N785" t="str">
            <v>CRUZ BLANCA E.P.S. S.A.</v>
          </cell>
          <cell r="AA785">
            <v>0</v>
          </cell>
        </row>
        <row r="786">
          <cell r="N786" t="str">
            <v>CRUZ BLANCA E.P.S. S.A.</v>
          </cell>
          <cell r="AA786">
            <v>0</v>
          </cell>
        </row>
        <row r="787">
          <cell r="N787" t="str">
            <v>POSITIVA</v>
          </cell>
          <cell r="AA787">
            <v>272500</v>
          </cell>
        </row>
        <row r="788">
          <cell r="N788" t="str">
            <v>SALUD TOTAL S.A.</v>
          </cell>
          <cell r="AA788">
            <v>0</v>
          </cell>
        </row>
        <row r="789">
          <cell r="N789" t="str">
            <v>POSITIVA</v>
          </cell>
          <cell r="AA789">
            <v>0</v>
          </cell>
        </row>
        <row r="790">
          <cell r="N790" t="str">
            <v>FAMISANAR E.P.S.</v>
          </cell>
          <cell r="AA790">
            <v>0</v>
          </cell>
        </row>
        <row r="791">
          <cell r="N791" t="str">
            <v>ENTIDAD PROMOTORA DE SALUD ORGANISMO COOPERAT</v>
          </cell>
          <cell r="AA791">
            <v>0</v>
          </cell>
        </row>
        <row r="792">
          <cell r="N792" t="str">
            <v>ENTIDAD PROMOTORA DE SALUD ORGANISMO COOPERAT</v>
          </cell>
          <cell r="AA792">
            <v>0</v>
          </cell>
        </row>
        <row r="793">
          <cell r="N793" t="str">
            <v>ENTIDAD PROMOTORA DE SALUD ORGANISMO COOPERAT</v>
          </cell>
          <cell r="AA793">
            <v>0</v>
          </cell>
        </row>
        <row r="794">
          <cell r="N794" t="str">
            <v>NUEVA EMPRESA PROMOTORA DE SALUD S.A</v>
          </cell>
          <cell r="AA794">
            <v>0</v>
          </cell>
        </row>
        <row r="795">
          <cell r="N795" t="str">
            <v>Nueva Promotora de Salud - Nueva EPS</v>
          </cell>
          <cell r="AA795">
            <v>0</v>
          </cell>
        </row>
        <row r="796">
          <cell r="N796" t="str">
            <v>NUEVA EMPRESA PROMOTORA DE SALUD S.A</v>
          </cell>
          <cell r="AA796">
            <v>0</v>
          </cell>
        </row>
        <row r="797">
          <cell r="N797" t="str">
            <v>SALUD TOTAL S.A.</v>
          </cell>
          <cell r="AA797">
            <v>41067</v>
          </cell>
        </row>
        <row r="798">
          <cell r="N798" t="str">
            <v>CRUZ BLANCA E.P.S. S.A.</v>
          </cell>
          <cell r="AA798">
            <v>0</v>
          </cell>
        </row>
        <row r="799">
          <cell r="N799" t="str">
            <v>CRUZ BLANCA E.P.S. S.A.</v>
          </cell>
          <cell r="AA799">
            <v>0</v>
          </cell>
        </row>
        <row r="800">
          <cell r="N800" t="str">
            <v>CRUZ BLANCA E.P.S. S.A.</v>
          </cell>
          <cell r="AA800">
            <v>0</v>
          </cell>
        </row>
        <row r="801">
          <cell r="N801" t="str">
            <v>CRUZ BLANCA E.P.S.</v>
          </cell>
          <cell r="AA801">
            <v>0</v>
          </cell>
        </row>
        <row r="802">
          <cell r="N802" t="str">
            <v>FAMISANAR E.P.S.</v>
          </cell>
          <cell r="AA802">
            <v>0</v>
          </cell>
        </row>
        <row r="803">
          <cell r="N803" t="str">
            <v>FAMISANAR E.P.S.</v>
          </cell>
          <cell r="AA803">
            <v>0</v>
          </cell>
        </row>
        <row r="804">
          <cell r="N804" t="str">
            <v>FAMISANAR E.P.S.</v>
          </cell>
          <cell r="AA804">
            <v>0</v>
          </cell>
        </row>
        <row r="805">
          <cell r="N805" t="str">
            <v>FAMISANAR E.P.S.</v>
          </cell>
          <cell r="AA805">
            <v>0</v>
          </cell>
        </row>
        <row r="806">
          <cell r="N806" t="str">
            <v>FAMISANAR E.P.S.</v>
          </cell>
          <cell r="AA806">
            <v>56448</v>
          </cell>
        </row>
        <row r="807">
          <cell r="N807" t="str">
            <v>FAMISANAR E.P.S.</v>
          </cell>
          <cell r="AA807">
            <v>56448</v>
          </cell>
        </row>
        <row r="808">
          <cell r="N808" t="str">
            <v>ENTIDAD PROMOTORA DE SALUD ORGANISMO COOPERAT</v>
          </cell>
          <cell r="AA808">
            <v>0</v>
          </cell>
        </row>
        <row r="809">
          <cell r="N809" t="str">
            <v>ENTIDAD PROMOTORA DE SALUD SANITAS S.A. EPS</v>
          </cell>
          <cell r="AA809">
            <v>0</v>
          </cell>
        </row>
        <row r="810">
          <cell r="N810" t="str">
            <v>POSITIVA</v>
          </cell>
          <cell r="AA810">
            <v>0</v>
          </cell>
        </row>
        <row r="811">
          <cell r="N811" t="str">
            <v>FAMISANAR E.P.S.</v>
          </cell>
          <cell r="AA811">
            <v>0</v>
          </cell>
        </row>
        <row r="812">
          <cell r="N812" t="str">
            <v>FAMISANAR E.P.S.</v>
          </cell>
          <cell r="AA812">
            <v>0</v>
          </cell>
        </row>
        <row r="813">
          <cell r="N813" t="str">
            <v>FAMISANAR E.P.S.</v>
          </cell>
          <cell r="AA813">
            <v>0</v>
          </cell>
        </row>
        <row r="814">
          <cell r="N814" t="str">
            <v>CONSORCIO SAYP</v>
          </cell>
          <cell r="AA814">
            <v>0</v>
          </cell>
        </row>
        <row r="815">
          <cell r="N815" t="str">
            <v>CAJA DE COMPENSACION FAMILIAR COMPENSAR</v>
          </cell>
          <cell r="AA815">
            <v>0</v>
          </cell>
        </row>
        <row r="816">
          <cell r="N816" t="str">
            <v>FAMISANAR E.P.S.</v>
          </cell>
          <cell r="AA816">
            <v>0</v>
          </cell>
        </row>
        <row r="817">
          <cell r="N817" t="str">
            <v>FAMISANAR E.P.S.</v>
          </cell>
          <cell r="AA817">
            <v>0</v>
          </cell>
        </row>
        <row r="818">
          <cell r="N818" t="str">
            <v>FAMISANAR E.P.S.</v>
          </cell>
          <cell r="AA818">
            <v>214800</v>
          </cell>
        </row>
        <row r="819">
          <cell r="N819" t="str">
            <v>FAMISANAR E.P.S.</v>
          </cell>
          <cell r="AA819">
            <v>42960</v>
          </cell>
        </row>
        <row r="820">
          <cell r="N820" t="str">
            <v>FAMISANAR E.P.S.</v>
          </cell>
          <cell r="AA820">
            <v>0</v>
          </cell>
        </row>
        <row r="821">
          <cell r="N821" t="str">
            <v>CRUZ BLANCA E.P.S. S.A.</v>
          </cell>
          <cell r="AA821">
            <v>0</v>
          </cell>
        </row>
        <row r="822">
          <cell r="N822" t="str">
            <v>CRUZ BLANCA E.P.S. S.A.</v>
          </cell>
          <cell r="AA822">
            <v>0</v>
          </cell>
        </row>
        <row r="823">
          <cell r="N823" t="str">
            <v>POSITIVA</v>
          </cell>
          <cell r="AA823">
            <v>0</v>
          </cell>
        </row>
        <row r="824">
          <cell r="N824" t="str">
            <v>POSITIVA</v>
          </cell>
          <cell r="AA824">
            <v>0</v>
          </cell>
        </row>
        <row r="825">
          <cell r="N825" t="str">
            <v>POSITIVA</v>
          </cell>
          <cell r="AA825">
            <v>-85000</v>
          </cell>
        </row>
        <row r="826">
          <cell r="N826" t="str">
            <v>POSITIVA</v>
          </cell>
          <cell r="AA826">
            <v>-102000</v>
          </cell>
        </row>
        <row r="827">
          <cell r="N827" t="str">
            <v>POSITIVA</v>
          </cell>
          <cell r="AA827">
            <v>-38333</v>
          </cell>
        </row>
        <row r="828">
          <cell r="N828" t="str">
            <v>POSITIVA</v>
          </cell>
          <cell r="AA828">
            <v>520333</v>
          </cell>
        </row>
        <row r="829">
          <cell r="N829" t="str">
            <v>POSITIVA</v>
          </cell>
          <cell r="AA829">
            <v>665867</v>
          </cell>
        </row>
        <row r="830">
          <cell r="N830" t="str">
            <v>POSITIVA</v>
          </cell>
          <cell r="AA830">
            <v>1150133</v>
          </cell>
        </row>
        <row r="831">
          <cell r="N831" t="str">
            <v>POSITIVA</v>
          </cell>
          <cell r="AA831">
            <v>40100</v>
          </cell>
        </row>
        <row r="832">
          <cell r="N832" t="str">
            <v>POSITIVA</v>
          </cell>
          <cell r="AA832">
            <v>-157833</v>
          </cell>
        </row>
        <row r="833">
          <cell r="N833" t="str">
            <v>CRUZ BLANCA E.P.S.</v>
          </cell>
          <cell r="AA833">
            <v>0</v>
          </cell>
        </row>
        <row r="834">
          <cell r="N834" t="str">
            <v>CAJA DE COMPENSACION FAMILIAR COMPENSAR</v>
          </cell>
          <cell r="AA834">
            <v>0</v>
          </cell>
        </row>
        <row r="835">
          <cell r="N835" t="str">
            <v>CAJA DE COMPENSACION FAMILIAR COMPENSAR</v>
          </cell>
          <cell r="AA835">
            <v>0</v>
          </cell>
        </row>
        <row r="836">
          <cell r="N836" t="str">
            <v>CAJA DE COMPENSACION FAMILIAR COMPENSAR</v>
          </cell>
          <cell r="AA836">
            <v>599563</v>
          </cell>
        </row>
        <row r="837">
          <cell r="N837" t="str">
            <v>FAMISANAR E.P.S.</v>
          </cell>
          <cell r="AA837">
            <v>0</v>
          </cell>
        </row>
        <row r="838">
          <cell r="N838" t="str">
            <v>FAMISANAR E.P.S.</v>
          </cell>
          <cell r="AA838">
            <v>0</v>
          </cell>
        </row>
        <row r="839">
          <cell r="N839" t="str">
            <v>FAMISANAR E.P.S.</v>
          </cell>
          <cell r="AA839">
            <v>0</v>
          </cell>
        </row>
        <row r="840">
          <cell r="N840" t="str">
            <v>ENTIDAD PROMOTORA DE SALUD SANITAS S.A. EPS</v>
          </cell>
          <cell r="AA840">
            <v>0</v>
          </cell>
        </row>
        <row r="841">
          <cell r="N841" t="str">
            <v>ENTIDAD PROMOTORA DE SALUD SANITAS S.A. EPS</v>
          </cell>
          <cell r="AA841">
            <v>0</v>
          </cell>
        </row>
        <row r="842">
          <cell r="N842" t="str">
            <v>ENTIDAD PROMOTORA DE SALUD SANITAS S.A. EPS</v>
          </cell>
          <cell r="AA842">
            <v>0</v>
          </cell>
        </row>
        <row r="843">
          <cell r="N843" t="str">
            <v>CAJA DE COMPENSACION FAMILIAR COMPENSAR</v>
          </cell>
          <cell r="AA843">
            <v>0</v>
          </cell>
        </row>
        <row r="844">
          <cell r="N844" t="str">
            <v>NUEVA EMPRESA PROMOTORA DE SALUD S.A</v>
          </cell>
          <cell r="AA844">
            <v>0</v>
          </cell>
        </row>
        <row r="845">
          <cell r="N845" t="str">
            <v>SALUD TOTAL S.A.</v>
          </cell>
          <cell r="AA845">
            <v>144118</v>
          </cell>
        </row>
        <row r="846">
          <cell r="N846" t="str">
            <v>SALUD TOTAL S.A.</v>
          </cell>
          <cell r="AA846">
            <v>115295</v>
          </cell>
        </row>
        <row r="847">
          <cell r="N847" t="str">
            <v>EPS Y MEDICINA PREPAGADA SURAMERICANA S.A</v>
          </cell>
          <cell r="AA847">
            <v>0</v>
          </cell>
        </row>
        <row r="848">
          <cell r="N848" t="str">
            <v>EPS Y MEDICINA PREPAGADA SURAMERICANA S.A</v>
          </cell>
          <cell r="AA848">
            <v>-33334</v>
          </cell>
        </row>
        <row r="849">
          <cell r="N849" t="str">
            <v>ENTIDAD PROMOTORA DE SALUD ORGANISMO COOPERAT</v>
          </cell>
          <cell r="AA849">
            <v>0</v>
          </cell>
        </row>
        <row r="850">
          <cell r="N850" t="str">
            <v>ENTIDAD PROMOTORA DE SALUD ORGANISMO COOPERAT</v>
          </cell>
          <cell r="AA850">
            <v>711035</v>
          </cell>
        </row>
        <row r="851">
          <cell r="N851" t="str">
            <v>ENTIDAD PROMOTORA DE SALUD SANITAS S.A. EPS</v>
          </cell>
          <cell r="AA851">
            <v>0</v>
          </cell>
        </row>
        <row r="852">
          <cell r="N852" t="str">
            <v>FAMISANAR E.P.S.</v>
          </cell>
          <cell r="AA852">
            <v>1161058</v>
          </cell>
        </row>
        <row r="853">
          <cell r="N853" t="str">
            <v>FAMISANAR E.P.S.</v>
          </cell>
          <cell r="AA853">
            <v>430022</v>
          </cell>
        </row>
        <row r="854">
          <cell r="N854" t="str">
            <v>FAMISANAR E.P.S.</v>
          </cell>
          <cell r="AA854">
            <v>645032</v>
          </cell>
        </row>
        <row r="855">
          <cell r="N855" t="str">
            <v>FAMISANAR E.P.S.</v>
          </cell>
          <cell r="AA855">
            <v>172009</v>
          </cell>
        </row>
        <row r="856">
          <cell r="N856" t="str">
            <v>FAMISANAR E.P.S.</v>
          </cell>
          <cell r="AA856">
            <v>688034</v>
          </cell>
        </row>
        <row r="857">
          <cell r="N857" t="str">
            <v>FAMISANAR E.P.S.</v>
          </cell>
          <cell r="AA857">
            <v>86004</v>
          </cell>
        </row>
        <row r="858">
          <cell r="N858" t="str">
            <v>FAMISANAR E.P.S.</v>
          </cell>
          <cell r="AA858">
            <v>-42117</v>
          </cell>
        </row>
        <row r="859">
          <cell r="N859" t="str">
            <v>FAMISANAR E.P.S.</v>
          </cell>
          <cell r="AA859">
            <v>0</v>
          </cell>
        </row>
        <row r="860">
          <cell r="N860" t="str">
            <v>FAMISANAR E.P.S.</v>
          </cell>
          <cell r="AA860">
            <v>0</v>
          </cell>
        </row>
        <row r="861">
          <cell r="N861" t="str">
            <v>CAJA DE COMPENSACION FAMILIAR COMPENSAR</v>
          </cell>
          <cell r="AA861">
            <v>0</v>
          </cell>
        </row>
        <row r="862">
          <cell r="N862" t="str">
            <v>CAJA DE COMPENSACION FAMILIAR COMPENSAR</v>
          </cell>
          <cell r="AA862">
            <v>0</v>
          </cell>
        </row>
        <row r="863">
          <cell r="N863" t="str">
            <v>CAJA DE COMPENSACION FAMILIAR COMPENSAR</v>
          </cell>
          <cell r="AA863">
            <v>0</v>
          </cell>
        </row>
        <row r="864">
          <cell r="N864" t="str">
            <v>FAMISANAR E.P.S.</v>
          </cell>
          <cell r="AA864">
            <v>0</v>
          </cell>
        </row>
        <row r="865">
          <cell r="N865" t="str">
            <v>FAMISANAR E.P.S.</v>
          </cell>
          <cell r="AA865">
            <v>0</v>
          </cell>
        </row>
        <row r="866">
          <cell r="N866" t="str">
            <v>FAMISANAR E.P.S.</v>
          </cell>
          <cell r="AA866">
            <v>0</v>
          </cell>
        </row>
        <row r="867">
          <cell r="N867" t="str">
            <v>FAMISANAR E.P.S.</v>
          </cell>
          <cell r="AA867">
            <v>310193</v>
          </cell>
        </row>
        <row r="868">
          <cell r="N868" t="str">
            <v>FAMISANAR E.P.S.</v>
          </cell>
          <cell r="AA868">
            <v>177253</v>
          </cell>
        </row>
        <row r="869">
          <cell r="N869" t="str">
            <v>FAMISANAR E.P.S.</v>
          </cell>
          <cell r="AA869">
            <v>354507</v>
          </cell>
        </row>
        <row r="870">
          <cell r="N870" t="str">
            <v>FAMISANAR E.P.S.</v>
          </cell>
          <cell r="AA870">
            <v>576073</v>
          </cell>
        </row>
        <row r="871">
          <cell r="N871" t="str">
            <v>FAMISANAR E.P.S.</v>
          </cell>
          <cell r="AA871">
            <v>0</v>
          </cell>
        </row>
        <row r="872">
          <cell r="N872" t="str">
            <v>FAMISANAR E.P.S.</v>
          </cell>
          <cell r="AA872">
            <v>0</v>
          </cell>
        </row>
        <row r="873">
          <cell r="N873" t="str">
            <v>FAMISANAR E.P.S.</v>
          </cell>
          <cell r="AA873">
            <v>0</v>
          </cell>
        </row>
        <row r="874">
          <cell r="N874" t="str">
            <v>FAMISANAR E.P.S.</v>
          </cell>
          <cell r="AA874">
            <v>208010</v>
          </cell>
        </row>
        <row r="875">
          <cell r="N875" t="str">
            <v>FAMISANAR E.P.S.</v>
          </cell>
          <cell r="AA875">
            <v>41602</v>
          </cell>
        </row>
        <row r="876">
          <cell r="N876" t="str">
            <v>FAMISANAR E.P.S.</v>
          </cell>
          <cell r="AA876">
            <v>41602</v>
          </cell>
        </row>
        <row r="877">
          <cell r="N877" t="str">
            <v>NUEVA EMPRESA PROMOTORA DE SALUD S.A</v>
          </cell>
          <cell r="AA877">
            <v>0</v>
          </cell>
        </row>
        <row r="878">
          <cell r="N878" t="str">
            <v>FAMISANAR E.P.S.</v>
          </cell>
          <cell r="AA878">
            <v>0</v>
          </cell>
        </row>
        <row r="879">
          <cell r="N879" t="str">
            <v>FAMISANAR E.P.S.</v>
          </cell>
          <cell r="AA879">
            <v>78093</v>
          </cell>
        </row>
        <row r="880">
          <cell r="N880" t="str">
            <v>FAMISANAR E.P.S.</v>
          </cell>
          <cell r="AA880">
            <v>195232</v>
          </cell>
        </row>
        <row r="881">
          <cell r="N881" t="str">
            <v>FAMISANAR E.P.S.</v>
          </cell>
          <cell r="AA881">
            <v>78093</v>
          </cell>
        </row>
        <row r="882">
          <cell r="N882" t="str">
            <v>FAMISANAR E.P.S.</v>
          </cell>
          <cell r="AA882">
            <v>78093</v>
          </cell>
        </row>
        <row r="883">
          <cell r="N883" t="str">
            <v>FAMISANAR E.P.S.</v>
          </cell>
          <cell r="AA883">
            <v>67984</v>
          </cell>
        </row>
        <row r="884">
          <cell r="N884" t="str">
            <v>FAMISANAR E.P.S.</v>
          </cell>
          <cell r="AA884">
            <v>0</v>
          </cell>
        </row>
        <row r="885">
          <cell r="N885" t="str">
            <v>FAMISANAR E.P.S.</v>
          </cell>
          <cell r="AA885">
            <v>66003</v>
          </cell>
        </row>
        <row r="886">
          <cell r="N886" t="str">
            <v>FAMISANAR E.P.S.</v>
          </cell>
          <cell r="AA886">
            <v>82137</v>
          </cell>
        </row>
        <row r="887">
          <cell r="N887" t="str">
            <v>NUEVA EMPRESA PROMOTORA DE SALUD S.A</v>
          </cell>
          <cell r="AA887">
            <v>0</v>
          </cell>
        </row>
        <row r="888">
          <cell r="N888" t="str">
            <v>NUEVA EMPRESA PROMOTORA DE SALUD S.A</v>
          </cell>
          <cell r="AA888">
            <v>0</v>
          </cell>
        </row>
        <row r="889">
          <cell r="N889" t="str">
            <v>FAMISANAR E.P.S.</v>
          </cell>
          <cell r="AA889">
            <v>0</v>
          </cell>
        </row>
        <row r="890">
          <cell r="N890" t="str">
            <v>ENTIDAD PROMOTORA DE SALUD SERVICIO OCCIDENTA</v>
          </cell>
          <cell r="AA890">
            <v>0</v>
          </cell>
        </row>
        <row r="891">
          <cell r="N891" t="str">
            <v>CRUZ BLANCA E.P.S. S.A.</v>
          </cell>
          <cell r="AA891">
            <v>0</v>
          </cell>
        </row>
        <row r="892">
          <cell r="N892" t="str">
            <v>CRUZ BLANCA E.P.S. S.A.</v>
          </cell>
          <cell r="AA892">
            <v>0</v>
          </cell>
        </row>
        <row r="893">
          <cell r="N893" t="str">
            <v>CRUZ BLANCA E.P.S. S.A.</v>
          </cell>
          <cell r="AA893">
            <v>0</v>
          </cell>
        </row>
        <row r="894">
          <cell r="N894" t="str">
            <v>CRUZ BLANCA E.P.S.</v>
          </cell>
          <cell r="AA894">
            <v>0</v>
          </cell>
        </row>
        <row r="895">
          <cell r="N895" t="str">
            <v>POSITIVA</v>
          </cell>
          <cell r="AA895">
            <v>0</v>
          </cell>
        </row>
        <row r="896">
          <cell r="N896" t="str">
            <v>ENTIDAD PROMOTORA DE SALUD SANITAS S.A. EPS</v>
          </cell>
          <cell r="AA896">
            <v>0</v>
          </cell>
        </row>
        <row r="897">
          <cell r="N897" t="str">
            <v>ENTIDAD PROMOTORA DE SALUD SANITAS S.A. EPS</v>
          </cell>
          <cell r="AA897">
            <v>0</v>
          </cell>
        </row>
        <row r="898">
          <cell r="N898" t="str">
            <v>ENTIDAD PROMOTORA DE SALUD SANITAS S.A. EPS</v>
          </cell>
          <cell r="AA898">
            <v>0</v>
          </cell>
        </row>
        <row r="899">
          <cell r="N899" t="str">
            <v>ENTIDAD PROMOTORA DE SALUD SANITAS S.A. EPS</v>
          </cell>
          <cell r="AA899">
            <v>0</v>
          </cell>
        </row>
        <row r="900">
          <cell r="N900" t="str">
            <v>ENTIDAD PROMOTORA DE SALUD SANITAS S.A. EPS</v>
          </cell>
          <cell r="AA900">
            <v>0</v>
          </cell>
        </row>
        <row r="901">
          <cell r="N901" t="str">
            <v>ENTIDAD PROMOTORA DE SALUD SANITAS S.A. EPS</v>
          </cell>
          <cell r="AA901">
            <v>0</v>
          </cell>
        </row>
        <row r="902">
          <cell r="N902" t="str">
            <v>FAMISANAR E.P.S.</v>
          </cell>
          <cell r="AA902">
            <v>73515</v>
          </cell>
        </row>
        <row r="903">
          <cell r="N903" t="str">
            <v>FAMISANAR E.P.S.</v>
          </cell>
          <cell r="AA903">
            <v>147030</v>
          </cell>
        </row>
        <row r="904">
          <cell r="N904" t="str">
            <v>FAMISANAR E.P.S.</v>
          </cell>
          <cell r="AA904">
            <v>73515</v>
          </cell>
        </row>
        <row r="905">
          <cell r="N905" t="str">
            <v>FAMISANAR E.P.S.</v>
          </cell>
          <cell r="AA905">
            <v>0</v>
          </cell>
        </row>
        <row r="906">
          <cell r="N906" t="str">
            <v>FAMISANAR E.P.S.</v>
          </cell>
          <cell r="AA906">
            <v>0</v>
          </cell>
        </row>
        <row r="907">
          <cell r="N907" t="str">
            <v>FAMISANAR E.P.S.</v>
          </cell>
          <cell r="AA907">
            <v>0</v>
          </cell>
        </row>
        <row r="908">
          <cell r="N908" t="str">
            <v>CAJA DE COMPENSACION FAMILIAR COMPENSAR</v>
          </cell>
          <cell r="AA908">
            <v>367352</v>
          </cell>
        </row>
        <row r="909">
          <cell r="N909" t="str">
            <v>CAJA DE COMPENSACION FAMILIAR COMPENSAR</v>
          </cell>
          <cell r="AA909">
            <v>0</v>
          </cell>
        </row>
        <row r="910">
          <cell r="N910" t="str">
            <v>CAJA DE COMPENSACION FAMILIAR COMPENSAR</v>
          </cell>
          <cell r="AA910">
            <v>0</v>
          </cell>
        </row>
        <row r="911">
          <cell r="N911" t="str">
            <v>CAJA DE COMPENSACION FAMILIAR COMPENSAR</v>
          </cell>
          <cell r="AA911">
            <v>0</v>
          </cell>
        </row>
        <row r="912">
          <cell r="N912" t="str">
            <v>CAJA DE COMPENSACION FAMILIAR COMPENSAR</v>
          </cell>
          <cell r="AA912">
            <v>0</v>
          </cell>
        </row>
        <row r="913">
          <cell r="N913" t="str">
            <v>ENTIDAD PROMOTORA DE SALUD SANITAS S.A. EPS</v>
          </cell>
          <cell r="AA913">
            <v>0</v>
          </cell>
        </row>
        <row r="914">
          <cell r="N914" t="str">
            <v>ENTIDAD PROMOTORA DE SALUD SANITAS S.A. EPS</v>
          </cell>
          <cell r="AA914">
            <v>0</v>
          </cell>
        </row>
        <row r="915">
          <cell r="N915" t="str">
            <v>ENTIDAD PROMOTORA DE SALUD ORGANISMO COOPERAT</v>
          </cell>
          <cell r="AA915">
            <v>374833</v>
          </cell>
        </row>
        <row r="916">
          <cell r="N916" t="str">
            <v>ENTIDAD PROMOTORA DE SALUD ORGANISMO COOPERAT</v>
          </cell>
          <cell r="AA916">
            <v>0</v>
          </cell>
        </row>
        <row r="917">
          <cell r="N917" t="str">
            <v>FAMISANAR E.P.S.</v>
          </cell>
          <cell r="AA917">
            <v>0</v>
          </cell>
        </row>
        <row r="918">
          <cell r="N918" t="str">
            <v>FAMISANAR E.P.S.</v>
          </cell>
          <cell r="AA918">
            <v>0</v>
          </cell>
        </row>
        <row r="919">
          <cell r="N919" t="str">
            <v>NUEVA EMPRESA PROMOTORA DE SALUD S.A</v>
          </cell>
          <cell r="AA919">
            <v>0</v>
          </cell>
        </row>
        <row r="920">
          <cell r="N920" t="str">
            <v>NUEVA EMPRESA PROMOTORA DE SALUD S.A</v>
          </cell>
          <cell r="AA920">
            <v>0</v>
          </cell>
        </row>
        <row r="921">
          <cell r="N921" t="str">
            <v>CAFESALUD E.P.S.</v>
          </cell>
          <cell r="AA921">
            <v>0</v>
          </cell>
        </row>
        <row r="922">
          <cell r="N922" t="str">
            <v>POSITIVA</v>
          </cell>
          <cell r="AA922">
            <v>0</v>
          </cell>
        </row>
        <row r="923">
          <cell r="N923" t="str">
            <v>POSITIVA</v>
          </cell>
          <cell r="AA923">
            <v>0</v>
          </cell>
        </row>
        <row r="924">
          <cell r="N924" t="str">
            <v>CAJA DE COMPENSACION FAMILIAR COMPENSAR</v>
          </cell>
          <cell r="AA924">
            <v>0</v>
          </cell>
        </row>
        <row r="925">
          <cell r="N925" t="str">
            <v>SALUD TOTAL S.A.</v>
          </cell>
          <cell r="AA925">
            <v>0</v>
          </cell>
        </row>
        <row r="926">
          <cell r="N926" t="str">
            <v>SALUD TOTAL S.A.</v>
          </cell>
          <cell r="AA926">
            <v>0</v>
          </cell>
        </row>
        <row r="927">
          <cell r="N927" t="str">
            <v>SALUD TOTAL S.A.</v>
          </cell>
          <cell r="AA927">
            <v>0</v>
          </cell>
        </row>
        <row r="928">
          <cell r="N928" t="str">
            <v>SALUD TOTAL EPS</v>
          </cell>
          <cell r="AA928">
            <v>0</v>
          </cell>
        </row>
        <row r="929">
          <cell r="N929" t="str">
            <v>FAMISANAR E.P.S.</v>
          </cell>
          <cell r="AA929">
            <v>0</v>
          </cell>
        </row>
        <row r="930">
          <cell r="N930" t="str">
            <v>FAMISANAR E.P.S.</v>
          </cell>
          <cell r="AA930">
            <v>0</v>
          </cell>
        </row>
        <row r="931">
          <cell r="N931" t="str">
            <v>FAMISANAR E.P.S.</v>
          </cell>
          <cell r="AA931">
            <v>0</v>
          </cell>
        </row>
        <row r="932">
          <cell r="N932" t="str">
            <v>FAMISANAR E.P.S.</v>
          </cell>
          <cell r="AA932">
            <v>0</v>
          </cell>
        </row>
        <row r="933">
          <cell r="N933" t="str">
            <v>FAMISANAR E.P.S.</v>
          </cell>
          <cell r="AA933">
            <v>95894</v>
          </cell>
        </row>
        <row r="934">
          <cell r="N934" t="str">
            <v>POSITIVA</v>
          </cell>
          <cell r="AA934">
            <v>0</v>
          </cell>
        </row>
        <row r="935">
          <cell r="N935" t="str">
            <v>FAMISANAR E.P.S.</v>
          </cell>
          <cell r="AA935">
            <v>0</v>
          </cell>
        </row>
        <row r="936">
          <cell r="N936" t="str">
            <v>FAMISANAR E.P.S.</v>
          </cell>
          <cell r="AA936">
            <v>281967</v>
          </cell>
        </row>
        <row r="937">
          <cell r="N937" t="str">
            <v>FAMISANAR E.P.S.</v>
          </cell>
          <cell r="AA937">
            <v>0</v>
          </cell>
        </row>
        <row r="938">
          <cell r="N938" t="str">
            <v>ALIANSALUD EPS</v>
          </cell>
          <cell r="AA938">
            <v>0</v>
          </cell>
        </row>
        <row r="939">
          <cell r="N939" t="str">
            <v>Nueva Promotora de Salud - Nueva EPS</v>
          </cell>
          <cell r="AA939">
            <v>138540</v>
          </cell>
        </row>
        <row r="940">
          <cell r="N940" t="str">
            <v>POSITIVA</v>
          </cell>
          <cell r="AA940">
            <v>0</v>
          </cell>
        </row>
        <row r="941">
          <cell r="N941" t="str">
            <v>CRUZ BLANCA E.P.S. S.A.</v>
          </cell>
          <cell r="AA941">
            <v>70448</v>
          </cell>
        </row>
        <row r="942">
          <cell r="N942" t="str">
            <v>CRUZ BLANCA E.P.S. S.A.</v>
          </cell>
          <cell r="AA942">
            <v>0</v>
          </cell>
        </row>
        <row r="943">
          <cell r="N943" t="str">
            <v>CRUZ BLANCA E.P.S. S.A.</v>
          </cell>
          <cell r="AA943">
            <v>0</v>
          </cell>
        </row>
        <row r="944">
          <cell r="N944" t="str">
            <v>CRUZ BLANCA E.P.S. S.A.</v>
          </cell>
          <cell r="AA944">
            <v>0</v>
          </cell>
        </row>
        <row r="945">
          <cell r="N945" t="str">
            <v>CRUZ BLANCA E.P.S. S.A.</v>
          </cell>
          <cell r="AA945">
            <v>0</v>
          </cell>
        </row>
        <row r="946">
          <cell r="N946" t="str">
            <v>CRUZ BLANCA E.P.S. S.A.</v>
          </cell>
          <cell r="AA946">
            <v>0</v>
          </cell>
        </row>
        <row r="947">
          <cell r="N947" t="e">
            <v>#N/A</v>
          </cell>
          <cell r="AA947">
            <v>0</v>
          </cell>
        </row>
        <row r="948">
          <cell r="N948" t="str">
            <v>CAJA DE COMPENSACION FAMILIAR COMPENSAR</v>
          </cell>
          <cell r="AA948">
            <v>0</v>
          </cell>
        </row>
        <row r="949">
          <cell r="N949" t="str">
            <v>COMPENSAR EPS</v>
          </cell>
          <cell r="AA949">
            <v>0</v>
          </cell>
        </row>
        <row r="950">
          <cell r="N950" t="str">
            <v>ENTIDAD PROMOTORA DE SALUD SANITAS S.A. EPS</v>
          </cell>
          <cell r="AA950">
            <v>0</v>
          </cell>
        </row>
        <row r="951">
          <cell r="N951" t="str">
            <v>CAFESALUD E.P.S.</v>
          </cell>
          <cell r="AA951">
            <v>0</v>
          </cell>
        </row>
        <row r="952">
          <cell r="N952" t="str">
            <v>CAFESALUD E.P.S.</v>
          </cell>
          <cell r="AA952">
            <v>0</v>
          </cell>
        </row>
        <row r="953">
          <cell r="N953" t="str">
            <v>CAJA DE COMPENSACION FAMILIAR COMPENSAR</v>
          </cell>
          <cell r="AA953">
            <v>0</v>
          </cell>
        </row>
        <row r="954">
          <cell r="N954" t="str">
            <v>CAJA DE COMPENSACION FAMILIAR COMPENSAR</v>
          </cell>
          <cell r="AA954">
            <v>0</v>
          </cell>
        </row>
        <row r="955">
          <cell r="N955" t="str">
            <v>CAJA DE COMPENSACION FAMILIAR COMPENSAR</v>
          </cell>
          <cell r="AA955">
            <v>43113</v>
          </cell>
        </row>
        <row r="956">
          <cell r="N956" t="str">
            <v>ENTIDAD PROMOTORA DE SALUD SANITAS S.A. EPS</v>
          </cell>
          <cell r="AA956">
            <v>0</v>
          </cell>
        </row>
        <row r="957">
          <cell r="N957" t="str">
            <v>ENTIDAD PROMOTORA DE SALUD SANITAS S.A. EPS</v>
          </cell>
          <cell r="AA957">
            <v>0</v>
          </cell>
        </row>
        <row r="958">
          <cell r="N958" t="str">
            <v>ENTIDAD PROMOTORA DE SALUD SANITAS S.A. EPS</v>
          </cell>
          <cell r="AA958">
            <v>1392670</v>
          </cell>
        </row>
        <row r="959">
          <cell r="N959" t="str">
            <v>ENTIDAD PROMOTORA DE SALUD SANITAS S.A. EPS</v>
          </cell>
          <cell r="AA959">
            <v>309482</v>
          </cell>
        </row>
        <row r="960">
          <cell r="N960" t="str">
            <v>ENTIDAD PROMOTORA DE SALUD SANITAS S.A. EPS</v>
          </cell>
          <cell r="AA960">
            <v>0</v>
          </cell>
        </row>
        <row r="961">
          <cell r="N961" t="str">
            <v>ENTIDAD PROMOTORA DE SALUD SANITAS S.A. EPS</v>
          </cell>
          <cell r="AA961">
            <v>0</v>
          </cell>
        </row>
        <row r="962">
          <cell r="N962" t="str">
            <v>ENTIDAD PROMOTORA DE SALUD SANITAS S.A. EPS</v>
          </cell>
          <cell r="AA962">
            <v>309482</v>
          </cell>
        </row>
        <row r="963">
          <cell r="N963" t="str">
            <v>ENTIDAD PROMOTORA DE SALUD SANITAS S.A. EPS</v>
          </cell>
          <cell r="AA963">
            <v>0</v>
          </cell>
        </row>
        <row r="964">
          <cell r="N964" t="str">
            <v>ENTIDAD PROMOTORA DE SALUD SANITAS S.A. EPS</v>
          </cell>
          <cell r="AA964">
            <v>0</v>
          </cell>
        </row>
        <row r="965">
          <cell r="N965" t="str">
            <v>POSITIVA</v>
          </cell>
          <cell r="AA965">
            <v>241600</v>
          </cell>
        </row>
        <row r="966">
          <cell r="N966" t="str">
            <v>POSITIVA</v>
          </cell>
          <cell r="AA966">
            <v>926133</v>
          </cell>
        </row>
        <row r="967">
          <cell r="N967" t="str">
            <v>POSITIVA</v>
          </cell>
          <cell r="AA967">
            <v>1208000</v>
          </cell>
        </row>
        <row r="968">
          <cell r="N968" t="str">
            <v>ENTIDAD PROMOTORA DE SALUD SANITAS S.A. EPS</v>
          </cell>
          <cell r="AA968">
            <v>0</v>
          </cell>
        </row>
        <row r="969">
          <cell r="N969" t="str">
            <v>ENTIDAD PROMOTORA DE SALUD SANITAS S.A. EPS</v>
          </cell>
          <cell r="AA969">
            <v>0</v>
          </cell>
        </row>
        <row r="970">
          <cell r="N970" t="str">
            <v>CAJA DE COMPENSACION FAMILIAR COMPENSAR</v>
          </cell>
          <cell r="AA970">
            <v>0</v>
          </cell>
        </row>
        <row r="971">
          <cell r="N971" t="str">
            <v>POSITIVA</v>
          </cell>
          <cell r="AA971">
            <v>0</v>
          </cell>
        </row>
        <row r="972">
          <cell r="N972" t="str">
            <v>ENTIDAD PROMOTORA DE SALUD ORGANISMO COOPERAT</v>
          </cell>
          <cell r="AA972">
            <v>0</v>
          </cell>
        </row>
        <row r="973">
          <cell r="N973" t="str">
            <v>ENTIDAD PROMOTORA DE SALUD ORGANISMO COOPERAT</v>
          </cell>
          <cell r="AA973">
            <v>0</v>
          </cell>
        </row>
        <row r="974">
          <cell r="N974" t="str">
            <v>ENTIDAD PROMOTORA DE SALUD ORGANISMO COOPERAT</v>
          </cell>
          <cell r="AA974">
            <v>0</v>
          </cell>
        </row>
        <row r="975">
          <cell r="N975" t="str">
            <v>CAFESALUD E.P.S.</v>
          </cell>
          <cell r="AA975">
            <v>0</v>
          </cell>
        </row>
        <row r="976">
          <cell r="N976" t="str">
            <v>NUEVA EMPRESA PROMOTORA DE SALUD S.A</v>
          </cell>
          <cell r="AA976">
            <v>0</v>
          </cell>
        </row>
        <row r="977">
          <cell r="N977" t="str">
            <v>NUEVA EMPRESA PROMOTORA DE SALUD S.A</v>
          </cell>
          <cell r="AA977">
            <v>174092</v>
          </cell>
        </row>
        <row r="978">
          <cell r="N978" t="str">
            <v>NUEVA EMPRESA PROMOTORA DE SALUD S.A</v>
          </cell>
          <cell r="AA978">
            <v>0</v>
          </cell>
        </row>
        <row r="979">
          <cell r="N979" t="str">
            <v>NUEVA EMPRESA PROMOTORA DE SALUD S.A</v>
          </cell>
          <cell r="AA979">
            <v>0</v>
          </cell>
        </row>
        <row r="980">
          <cell r="N980" t="str">
            <v>NUEVA EMPRESA PROMOTORA DE SALUD S.A</v>
          </cell>
          <cell r="AA980">
            <v>553623</v>
          </cell>
        </row>
        <row r="981">
          <cell r="N981" t="str">
            <v>NUEVA EMPRESA PROMOTORA DE SALUD S.A</v>
          </cell>
          <cell r="AA981">
            <v>97872</v>
          </cell>
        </row>
        <row r="982">
          <cell r="N982" t="str">
            <v>NUEVA EMPRESA PROMOTORA DE SALUD S.A</v>
          </cell>
          <cell r="AA982">
            <v>880844</v>
          </cell>
        </row>
        <row r="983">
          <cell r="N983" t="str">
            <v>NUEVA EMPRESA PROMOTORA DE SALUD S.A</v>
          </cell>
          <cell r="AA983">
            <v>97872</v>
          </cell>
        </row>
        <row r="984">
          <cell r="N984" t="str">
            <v>NUEVA EMPRESA PROMOTORA DE SALUD S.A</v>
          </cell>
          <cell r="AA984">
            <v>391486</v>
          </cell>
        </row>
        <row r="985">
          <cell r="N985" t="str">
            <v>NUEVA EMPRESA PROMOTORA DE SALUD S.A</v>
          </cell>
          <cell r="AA985">
            <v>489358</v>
          </cell>
        </row>
        <row r="986">
          <cell r="N986" t="str">
            <v>NUEVA EMPRESA PROMOTORA DE SALUD S.A</v>
          </cell>
          <cell r="AA986">
            <v>232878</v>
          </cell>
        </row>
        <row r="987">
          <cell r="N987" t="str">
            <v>NUEVA EMPRESA PROMOTORA DE SALUD S.A</v>
          </cell>
          <cell r="AA987">
            <v>0</v>
          </cell>
        </row>
        <row r="988">
          <cell r="N988" t="str">
            <v>NUEVA EMPRESA PROMOTORA DE SALUD S.A</v>
          </cell>
          <cell r="AA988">
            <v>172453</v>
          </cell>
        </row>
        <row r="989">
          <cell r="N989" t="str">
            <v>POSITIVA</v>
          </cell>
          <cell r="AA989">
            <v>0</v>
          </cell>
        </row>
        <row r="990">
          <cell r="N990" t="str">
            <v>FAMISANAR E.P.S.</v>
          </cell>
          <cell r="AA990">
            <v>0</v>
          </cell>
        </row>
        <row r="991">
          <cell r="N991" t="str">
            <v>FAMISANAR E.P.S.</v>
          </cell>
          <cell r="AA991">
            <v>112006</v>
          </cell>
        </row>
        <row r="992">
          <cell r="N992" t="str">
            <v>FAMISANAR E.P.S.</v>
          </cell>
          <cell r="AA992">
            <v>0</v>
          </cell>
        </row>
        <row r="993">
          <cell r="N993" t="str">
            <v>FAMISANAR E.P.S.</v>
          </cell>
          <cell r="AA993">
            <v>0</v>
          </cell>
        </row>
        <row r="994">
          <cell r="N994" t="str">
            <v>FAMISANAR E.P.S.</v>
          </cell>
          <cell r="AA994">
            <v>0</v>
          </cell>
        </row>
        <row r="995">
          <cell r="N995" t="str">
            <v>FAMISANAR E.P.S.</v>
          </cell>
          <cell r="AA995">
            <v>0</v>
          </cell>
        </row>
        <row r="996">
          <cell r="N996" t="str">
            <v>FAMISANAR E.P.S.</v>
          </cell>
          <cell r="AA996">
            <v>0</v>
          </cell>
        </row>
        <row r="997">
          <cell r="N997" t="str">
            <v>FAMISANAR E.P.S.</v>
          </cell>
          <cell r="AA997">
            <v>0</v>
          </cell>
        </row>
        <row r="998">
          <cell r="N998" t="str">
            <v>FAMISANAR E.P.S.</v>
          </cell>
          <cell r="AA998">
            <v>4207142</v>
          </cell>
        </row>
        <row r="999">
          <cell r="N999" t="str">
            <v>FAMISANAR E.P.S.</v>
          </cell>
          <cell r="AA999">
            <v>450100</v>
          </cell>
        </row>
        <row r="1000">
          <cell r="N1000" t="str">
            <v>FAMISANAR E.P.S.</v>
          </cell>
          <cell r="AA1000">
            <v>139400</v>
          </cell>
        </row>
        <row r="1001">
          <cell r="N1001" t="str">
            <v>FAMISANAR E.P.S.</v>
          </cell>
          <cell r="AA1001">
            <v>650533</v>
          </cell>
        </row>
        <row r="1002">
          <cell r="N1002" t="str">
            <v>FAMISANAR E.P.S.</v>
          </cell>
          <cell r="AA1002">
            <v>580833</v>
          </cell>
        </row>
        <row r="1003">
          <cell r="N1003" t="str">
            <v>FAMISANAR E.P.S.</v>
          </cell>
          <cell r="AA1003">
            <v>139400</v>
          </cell>
        </row>
        <row r="1004">
          <cell r="N1004" t="str">
            <v>FAMISANAR E.P.S.</v>
          </cell>
          <cell r="AA1004">
            <v>697000</v>
          </cell>
        </row>
        <row r="1005">
          <cell r="N1005" t="str">
            <v>FAMISANAR E.P.S.</v>
          </cell>
          <cell r="AA1005">
            <v>720233</v>
          </cell>
        </row>
        <row r="1006">
          <cell r="N1006" t="str">
            <v>FAMISANAR E.P.S.</v>
          </cell>
          <cell r="AA1006">
            <v>697000</v>
          </cell>
        </row>
        <row r="1007">
          <cell r="N1007" t="str">
            <v>FAMISANAR E.P.S.</v>
          </cell>
          <cell r="AA1007">
            <v>185867</v>
          </cell>
        </row>
        <row r="1008">
          <cell r="N1008" t="str">
            <v>FAMISANAR E.P.S.</v>
          </cell>
          <cell r="AA1008">
            <v>534367</v>
          </cell>
        </row>
        <row r="1009">
          <cell r="N1009" t="str">
            <v>FAMISANAR E.P.S.</v>
          </cell>
          <cell r="AA1009">
            <v>162633</v>
          </cell>
        </row>
        <row r="1010">
          <cell r="N1010" t="str">
            <v>FAMISANAR E.P.S.</v>
          </cell>
          <cell r="AA1010">
            <v>302033</v>
          </cell>
        </row>
        <row r="1011">
          <cell r="N1011" t="str">
            <v>FAMISANAR E.P.S.</v>
          </cell>
          <cell r="AA1011">
            <v>255567</v>
          </cell>
        </row>
        <row r="1012">
          <cell r="N1012" t="str">
            <v>FAMISANAR E.P.S.</v>
          </cell>
          <cell r="AA1012">
            <v>697000</v>
          </cell>
        </row>
        <row r="1013">
          <cell r="N1013" t="str">
            <v>FAMISANAR E.P.S.</v>
          </cell>
          <cell r="AA1013">
            <v>720233</v>
          </cell>
        </row>
        <row r="1014">
          <cell r="N1014" t="str">
            <v>FAMISANAR E.P.S.</v>
          </cell>
          <cell r="AA1014">
            <v>697000</v>
          </cell>
        </row>
        <row r="1015">
          <cell r="N1015" t="str">
            <v>FAMISANAR E.P.S.</v>
          </cell>
          <cell r="AA1015">
            <v>720233</v>
          </cell>
        </row>
        <row r="1016">
          <cell r="N1016" t="str">
            <v>FAMISANAR E.P.S.</v>
          </cell>
          <cell r="AA1016">
            <v>1044684</v>
          </cell>
        </row>
        <row r="1017">
          <cell r="N1017" t="str">
            <v>FAMISANAR E.P.S.</v>
          </cell>
          <cell r="AA1017">
            <v>278800</v>
          </cell>
        </row>
        <row r="1018">
          <cell r="N1018" t="str">
            <v>FAMISANAR E.P.S.</v>
          </cell>
          <cell r="AA1018">
            <v>69700</v>
          </cell>
        </row>
        <row r="1019">
          <cell r="N1019" t="str">
            <v>POSITIVA</v>
          </cell>
          <cell r="AA1019">
            <v>46467</v>
          </cell>
        </row>
        <row r="1020">
          <cell r="N1020" t="str">
            <v>POSITIVA</v>
          </cell>
          <cell r="AA1020">
            <v>1115200</v>
          </cell>
        </row>
        <row r="1021">
          <cell r="N1021" t="str">
            <v>POSITIVA</v>
          </cell>
          <cell r="AA1021">
            <v>1161667</v>
          </cell>
        </row>
        <row r="1022">
          <cell r="N1022" t="str">
            <v>FAMISANAR E.P.S.</v>
          </cell>
          <cell r="AA1022">
            <v>139400</v>
          </cell>
        </row>
        <row r="1023">
          <cell r="N1023" t="str">
            <v>POSITIVA</v>
          </cell>
          <cell r="AA1023">
            <v>1394000</v>
          </cell>
        </row>
        <row r="1024">
          <cell r="N1024" t="str">
            <v>FAMISANAR E.P.S.</v>
          </cell>
          <cell r="AA1024">
            <v>960359</v>
          </cell>
        </row>
        <row r="1025">
          <cell r="N1025" t="str">
            <v>FAMISANAR E.P.S.</v>
          </cell>
          <cell r="AA1025">
            <v>824750</v>
          </cell>
        </row>
        <row r="1026">
          <cell r="N1026" t="str">
            <v>CRUZ BLANCA E.P.S. S.A.</v>
          </cell>
          <cell r="AA1026">
            <v>0</v>
          </cell>
        </row>
        <row r="1027">
          <cell r="N1027" t="str">
            <v>CRUZ BLANCA E.P.S. S.A.</v>
          </cell>
          <cell r="AA1027">
            <v>0</v>
          </cell>
        </row>
        <row r="1028">
          <cell r="N1028" t="str">
            <v>CRUZ BLANCA E.P.S. S.A.</v>
          </cell>
          <cell r="AA1028">
            <v>0</v>
          </cell>
        </row>
        <row r="1029">
          <cell r="N1029" t="str">
            <v>CRUZ BLANCA E.P.S. S.A.</v>
          </cell>
          <cell r="AA1029">
            <v>0</v>
          </cell>
        </row>
        <row r="1030">
          <cell r="N1030" t="str">
            <v>CRUZ BLANCA E.P.S. S.A.</v>
          </cell>
          <cell r="AA1030">
            <v>0</v>
          </cell>
        </row>
        <row r="1031">
          <cell r="N1031" t="str">
            <v>CRUZ BLANCA E.P.S. S.A.</v>
          </cell>
          <cell r="AA1031">
            <v>0</v>
          </cell>
        </row>
        <row r="1032">
          <cell r="N1032" t="str">
            <v>CAJA DE COMPENSACION FAMILIAR COMPENSAR</v>
          </cell>
          <cell r="AA1032">
            <v>0</v>
          </cell>
        </row>
        <row r="1033">
          <cell r="N1033" t="str">
            <v>CAJA DE COMPENSACION FAMILIAR COMPENSAR</v>
          </cell>
          <cell r="AA1033">
            <v>0</v>
          </cell>
        </row>
        <row r="1034">
          <cell r="N1034" t="str">
            <v>FAMISANAR E.P.S.</v>
          </cell>
          <cell r="AA1034">
            <v>0</v>
          </cell>
        </row>
        <row r="1035">
          <cell r="N1035" t="str">
            <v>FAMISANAR E.P.S.</v>
          </cell>
          <cell r="AA1035">
            <v>235212</v>
          </cell>
        </row>
        <row r="1036">
          <cell r="N1036" t="str">
            <v>FAMISANAR E.P.S.</v>
          </cell>
          <cell r="AA1036">
            <v>672034</v>
          </cell>
        </row>
        <row r="1037">
          <cell r="N1037" t="str">
            <v>FAMISANAR E.P.S.</v>
          </cell>
          <cell r="AA1037">
            <v>64981</v>
          </cell>
        </row>
        <row r="1038">
          <cell r="N1038" t="str">
            <v>FAMISANAR E.P.S.</v>
          </cell>
          <cell r="AA1038">
            <v>324905</v>
          </cell>
        </row>
        <row r="1039">
          <cell r="N1039" t="str">
            <v>CAFESALUD E.P.S.</v>
          </cell>
          <cell r="AA1039">
            <v>285267</v>
          </cell>
        </row>
        <row r="1040">
          <cell r="N1040" t="str">
            <v>CAFESALUD E.P.S.</v>
          </cell>
          <cell r="AA1040">
            <v>22357</v>
          </cell>
        </row>
        <row r="1041">
          <cell r="N1041" t="str">
            <v>SALUD TOTAL EPS</v>
          </cell>
          <cell r="AA1041">
            <v>0</v>
          </cell>
        </row>
        <row r="1042">
          <cell r="N1042" t="str">
            <v>SALUD TOTAL EPS</v>
          </cell>
          <cell r="AA1042">
            <v>0</v>
          </cell>
        </row>
        <row r="1043">
          <cell r="N1043" t="str">
            <v>SALUD TOTAL S.A.</v>
          </cell>
          <cell r="AA1043">
            <v>0</v>
          </cell>
        </row>
        <row r="1044">
          <cell r="N1044" t="str">
            <v>POSITIVA</v>
          </cell>
          <cell r="AA1044">
            <v>48000</v>
          </cell>
        </row>
        <row r="1045">
          <cell r="N1045" t="str">
            <v>NUEVA EMPRESA PROMOTORA DE SALUD S.A</v>
          </cell>
          <cell r="AA1045">
            <v>0</v>
          </cell>
        </row>
        <row r="1046">
          <cell r="N1046" t="str">
            <v>NUEVA EMPRESA PROMOTORA DE SALUD S.A</v>
          </cell>
          <cell r="AA1046">
            <v>0</v>
          </cell>
        </row>
        <row r="1047">
          <cell r="N1047" t="str">
            <v>FAMISANAR E.P.S.</v>
          </cell>
          <cell r="AA1047">
            <v>0</v>
          </cell>
        </row>
        <row r="1048">
          <cell r="N1048" t="str">
            <v>POSITIVA</v>
          </cell>
          <cell r="AA1048">
            <v>0</v>
          </cell>
        </row>
        <row r="1049">
          <cell r="N1049" t="str">
            <v>POSITIVA</v>
          </cell>
          <cell r="AA1049">
            <v>0</v>
          </cell>
        </row>
        <row r="1050">
          <cell r="N1050" t="str">
            <v>FAMISANAR E.P.S.</v>
          </cell>
          <cell r="AA1050">
            <v>34557</v>
          </cell>
        </row>
        <row r="1051">
          <cell r="N1051" t="str">
            <v>FAMISANAR E.P.S.</v>
          </cell>
          <cell r="AA1051">
            <v>34557</v>
          </cell>
        </row>
        <row r="1052">
          <cell r="N1052" t="str">
            <v>FAMISANAR E.P.S.</v>
          </cell>
          <cell r="AA1052">
            <v>34557</v>
          </cell>
        </row>
        <row r="1053">
          <cell r="N1053" t="str">
            <v>FAMISANAR E.P.S.</v>
          </cell>
          <cell r="AA1053">
            <v>241901</v>
          </cell>
        </row>
        <row r="1054">
          <cell r="N1054" t="str">
            <v>CAFESALUD E.P.S.</v>
          </cell>
          <cell r="AA1054">
            <v>0</v>
          </cell>
        </row>
        <row r="1055">
          <cell r="N1055" t="str">
            <v>CAJA DE COMPENSACION FAMILIAR COMPENSAR</v>
          </cell>
          <cell r="AA1055">
            <v>0</v>
          </cell>
        </row>
        <row r="1056">
          <cell r="N1056" t="str">
            <v>CAJA DE COMPENSACION FAMILIAR COMPENSAR</v>
          </cell>
          <cell r="AA1056">
            <v>0</v>
          </cell>
        </row>
        <row r="1057">
          <cell r="N1057" t="str">
            <v>CAJA DE COMPENSACION FAMILIAR COMPENSAR</v>
          </cell>
          <cell r="AA1057">
            <v>0</v>
          </cell>
        </row>
        <row r="1058">
          <cell r="N1058" t="str">
            <v>CAJA DE COMPENSACION FAMILIAR COMPENSAR</v>
          </cell>
          <cell r="AA1058">
            <v>0</v>
          </cell>
        </row>
        <row r="1059">
          <cell r="N1059" t="str">
            <v>CAJA DE COMPENSACION FAMILIAR COMPENSAR</v>
          </cell>
          <cell r="AA1059">
            <v>0</v>
          </cell>
        </row>
        <row r="1060">
          <cell r="N1060" t="str">
            <v>CAJA DE COMPENSACION FAMILIAR COMPENSAR</v>
          </cell>
          <cell r="AA1060">
            <v>0</v>
          </cell>
        </row>
        <row r="1061">
          <cell r="N1061" t="str">
            <v>POSITIVA</v>
          </cell>
          <cell r="AA1061">
            <v>78400</v>
          </cell>
        </row>
        <row r="1062">
          <cell r="N1062" t="str">
            <v>NUEVA EMPRESA PROMOTORA DE SALUD S.A</v>
          </cell>
          <cell r="AA1062">
            <v>0</v>
          </cell>
        </row>
        <row r="1063">
          <cell r="N1063" t="str">
            <v>FAMISANAR E.P.S.</v>
          </cell>
          <cell r="AA1063">
            <v>0</v>
          </cell>
        </row>
        <row r="1064">
          <cell r="N1064" t="str">
            <v>ENTIDAD PROMOTORA DE SALUD SANITAS S.A. EPS</v>
          </cell>
          <cell r="AA1064">
            <v>0</v>
          </cell>
        </row>
        <row r="1065">
          <cell r="N1065" t="str">
            <v>ENTIDAD PROMOTORA DE SALUD SANITAS S.A. EPS</v>
          </cell>
          <cell r="AA1065">
            <v>0</v>
          </cell>
        </row>
        <row r="1066">
          <cell r="N1066" t="str">
            <v>FAMISANAR E.P.S.</v>
          </cell>
          <cell r="AA1066">
            <v>0</v>
          </cell>
        </row>
        <row r="1067">
          <cell r="N1067" t="str">
            <v>CAFESALUD E.P.S.</v>
          </cell>
          <cell r="AA1067">
            <v>0</v>
          </cell>
        </row>
        <row r="1068">
          <cell r="N1068" t="str">
            <v>CAFESALUD E.P.S.</v>
          </cell>
          <cell r="AA1068">
            <v>0</v>
          </cell>
        </row>
        <row r="1069">
          <cell r="N1069" t="str">
            <v>CAFESALUD E.P.S.</v>
          </cell>
          <cell r="AA1069">
            <v>-21478</v>
          </cell>
        </row>
        <row r="1070">
          <cell r="N1070" t="str">
            <v>EPS Y MEDICINA PREPAGADA SURAMERICANA S.A</v>
          </cell>
          <cell r="AA1070">
            <v>0</v>
          </cell>
        </row>
        <row r="1071">
          <cell r="N1071" t="str">
            <v>EPS Y MEDICINA PREPAGADA SURAMERICANA S.A</v>
          </cell>
          <cell r="AA1071">
            <v>0</v>
          </cell>
        </row>
        <row r="1072">
          <cell r="N1072" t="str">
            <v>POSITIVA</v>
          </cell>
          <cell r="AA1072">
            <v>0</v>
          </cell>
        </row>
        <row r="1073">
          <cell r="N1073" t="str">
            <v>FAMISANAR E.P.S.</v>
          </cell>
          <cell r="AA1073">
            <v>0</v>
          </cell>
        </row>
        <row r="1074">
          <cell r="N1074" t="str">
            <v>FAMISANAR E.P.S.</v>
          </cell>
          <cell r="AA1074">
            <v>0</v>
          </cell>
        </row>
        <row r="1075">
          <cell r="N1075" t="str">
            <v>FAMISANAR E.P.S.</v>
          </cell>
          <cell r="AA1075">
            <v>0</v>
          </cell>
        </row>
        <row r="1076">
          <cell r="N1076" t="str">
            <v>FAMISANAR E.P.S.</v>
          </cell>
          <cell r="AA1076">
            <v>0</v>
          </cell>
        </row>
        <row r="1077">
          <cell r="N1077" t="str">
            <v>FAMISANAR E.P.S.</v>
          </cell>
          <cell r="AA1077">
            <v>0</v>
          </cell>
        </row>
        <row r="1078">
          <cell r="N1078" t="str">
            <v>SALUD TOTAL S.A.</v>
          </cell>
          <cell r="AA1078">
            <v>36924</v>
          </cell>
        </row>
        <row r="1079">
          <cell r="N1079" t="str">
            <v>CRUZ BLANCA E.P.S. S.A.</v>
          </cell>
          <cell r="AA1079">
            <v>79671</v>
          </cell>
        </row>
        <row r="1080">
          <cell r="N1080" t="str">
            <v>ENTIDAD PROMOTORA DE SALUD SANITAS S.A. EPS</v>
          </cell>
          <cell r="AA1080">
            <v>0</v>
          </cell>
        </row>
        <row r="1081">
          <cell r="N1081" t="str">
            <v>NUEVA EMPRESA PROMOTORA DE SALUD S.A</v>
          </cell>
          <cell r="AA1081">
            <v>0</v>
          </cell>
        </row>
        <row r="1082">
          <cell r="N1082" t="str">
            <v>FAMISANAR E.P.S.</v>
          </cell>
          <cell r="AA1082">
            <v>0</v>
          </cell>
        </row>
        <row r="1083">
          <cell r="N1083" t="str">
            <v>CAJA DE COMPENSACION FAMILIAR COMPENSAR</v>
          </cell>
          <cell r="AA1083">
            <v>557200</v>
          </cell>
        </row>
        <row r="1084">
          <cell r="N1084" t="str">
            <v>FAMISANAR E.P.S.</v>
          </cell>
          <cell r="AA1084">
            <v>21480</v>
          </cell>
        </row>
        <row r="1085">
          <cell r="N1085" t="str">
            <v>FAMISANAR E.P.S.</v>
          </cell>
          <cell r="AA1085">
            <v>1030452</v>
          </cell>
        </row>
        <row r="1086">
          <cell r="N1086" t="str">
            <v>FAMISANAR E.P.S.</v>
          </cell>
          <cell r="AA1086">
            <v>142940</v>
          </cell>
        </row>
        <row r="1087">
          <cell r="N1087" t="str">
            <v>CAJA DE COMPENSACION FAMILIAR COMPENSAR</v>
          </cell>
          <cell r="AA1087">
            <v>0</v>
          </cell>
        </row>
        <row r="1088">
          <cell r="N1088" t="str">
            <v>SALUD TOTAL S.A.</v>
          </cell>
          <cell r="AA1088">
            <v>360667</v>
          </cell>
        </row>
        <row r="1089">
          <cell r="N1089" t="str">
            <v>CAJA DE COMPENSACION FAMILIAR COMPENSAR</v>
          </cell>
          <cell r="AA1089">
            <v>0</v>
          </cell>
        </row>
        <row r="1090">
          <cell r="N1090" t="str">
            <v>CRUZ BLANCA E.P.S. S.A.</v>
          </cell>
          <cell r="AA1090">
            <v>0</v>
          </cell>
        </row>
        <row r="1091">
          <cell r="N1091" t="str">
            <v>NUEVA EMPRESA PROMOTORA DE SALUD S.A</v>
          </cell>
          <cell r="AA1091">
            <v>0</v>
          </cell>
        </row>
        <row r="1092">
          <cell r="N1092" t="str">
            <v>FAMISANAR E.P.S.</v>
          </cell>
          <cell r="AA1092">
            <v>0</v>
          </cell>
        </row>
        <row r="1093">
          <cell r="N1093" t="str">
            <v>FAMISANAR E.P.S.</v>
          </cell>
          <cell r="AA1093">
            <v>322133</v>
          </cell>
        </row>
        <row r="1094">
          <cell r="N1094" t="str">
            <v>FAMISANAR E.P.S.</v>
          </cell>
          <cell r="AA1094">
            <v>885867</v>
          </cell>
        </row>
        <row r="1095">
          <cell r="N1095" t="str">
            <v>FAMISANAR E.P.S.</v>
          </cell>
          <cell r="AA1095">
            <v>0</v>
          </cell>
        </row>
        <row r="1096">
          <cell r="N1096" t="str">
            <v>FAMISANAR E.P.S.</v>
          </cell>
          <cell r="AA1096">
            <v>116333</v>
          </cell>
        </row>
        <row r="1097">
          <cell r="N1097" t="str">
            <v>CAJA DE COMPENSACION FAMILIAR COMPENSAR</v>
          </cell>
          <cell r="AA1097">
            <v>0</v>
          </cell>
        </row>
        <row r="1098">
          <cell r="N1098" t="str">
            <v>FAMISANAR E.P.S.</v>
          </cell>
          <cell r="AA1098">
            <v>0</v>
          </cell>
        </row>
        <row r="1099">
          <cell r="N1099" t="str">
            <v>FAMISANAR E.P.S.</v>
          </cell>
          <cell r="AA1099">
            <v>0</v>
          </cell>
        </row>
        <row r="1100">
          <cell r="N1100" t="str">
            <v>CAJA DE COMPENSACION FAMILIAR COMPENSAR</v>
          </cell>
          <cell r="AA1100">
            <v>21480</v>
          </cell>
        </row>
        <row r="1101">
          <cell r="N1101" t="str">
            <v>ENTIDAD PROMOTORA DE SALUD ORGANISMO COOPERAT</v>
          </cell>
          <cell r="AA1101">
            <v>0</v>
          </cell>
        </row>
        <row r="1102">
          <cell r="N1102" t="str">
            <v>ENTIDAD PROMOTORA DE SALUD ORGANISMO COOPERAT</v>
          </cell>
          <cell r="AA1102">
            <v>0</v>
          </cell>
        </row>
        <row r="1103">
          <cell r="N1103" t="str">
            <v>ENTIDAD PROMOTORA DE SALUD SANITAS S.A. EPS</v>
          </cell>
          <cell r="AA1103">
            <v>210899</v>
          </cell>
        </row>
        <row r="1104">
          <cell r="N1104" t="str">
            <v>FAMISANAR E.P.S.</v>
          </cell>
          <cell r="AA1104">
            <v>325267</v>
          </cell>
        </row>
        <row r="1105">
          <cell r="N1105" t="str">
            <v>FAMISANAR E.P.S.</v>
          </cell>
          <cell r="AA1105">
            <v>644400</v>
          </cell>
        </row>
        <row r="1106">
          <cell r="N1106" t="str">
            <v>SALUD TOTAL S.A.</v>
          </cell>
          <cell r="AA1106">
            <v>0</v>
          </cell>
        </row>
        <row r="1107">
          <cell r="N1107" t="str">
            <v>ENTIDAD PROMOTORA DE SALUD SANITAS S.A. EPS</v>
          </cell>
          <cell r="AA1107">
            <v>0</v>
          </cell>
        </row>
        <row r="1108">
          <cell r="N1108" t="str">
            <v>FAMISANAR E.P.S.</v>
          </cell>
          <cell r="AA1108">
            <v>0</v>
          </cell>
        </row>
        <row r="1109">
          <cell r="N1109" t="str">
            <v>NUEVA EMPRESA PROMOTORA DE SALUD S.A</v>
          </cell>
          <cell r="AA1109">
            <v>272267</v>
          </cell>
        </row>
        <row r="1110">
          <cell r="N1110" t="str">
            <v>FAMISANAR E.P.S.</v>
          </cell>
          <cell r="AA1110">
            <v>0</v>
          </cell>
        </row>
        <row r="1111">
          <cell r="N1111" t="str">
            <v>SALUD TOTAL S.A.</v>
          </cell>
          <cell r="AA1111">
            <v>0</v>
          </cell>
        </row>
        <row r="1112">
          <cell r="N1112" t="str">
            <v>CAJA DE COMPENSACION FAMILIAR COMPENSAR</v>
          </cell>
          <cell r="AA1112">
            <v>358800</v>
          </cell>
        </row>
        <row r="1113">
          <cell r="N1113" t="str">
            <v>CRUZ BLANCA E.P.S. S.A.</v>
          </cell>
          <cell r="AA1113">
            <v>0</v>
          </cell>
        </row>
        <row r="1114">
          <cell r="N1114" t="str">
            <v>SALUD TOTAL S.A.</v>
          </cell>
          <cell r="AA1114">
            <v>0</v>
          </cell>
        </row>
        <row r="1115">
          <cell r="N1115" t="str">
            <v>CAJA DE COMPENSACION FAMILIAR COMPENSAR</v>
          </cell>
          <cell r="AA1115">
            <v>0</v>
          </cell>
        </row>
        <row r="1116">
          <cell r="N1116" t="str">
            <v>NUEVA EMPRESA PROMOTORA DE SALUD S.A</v>
          </cell>
          <cell r="AA1116">
            <v>0</v>
          </cell>
        </row>
        <row r="1117">
          <cell r="N1117" t="str">
            <v>NUEVA EMPRESA PROMOTORA DE SALUD S.A</v>
          </cell>
          <cell r="AA1117">
            <v>0</v>
          </cell>
        </row>
        <row r="1118">
          <cell r="N1118" t="str">
            <v>FAMISANAR E.P.S.</v>
          </cell>
          <cell r="AA1118">
            <v>0</v>
          </cell>
        </row>
        <row r="1119">
          <cell r="N1119" t="str">
            <v>FAMISANAR E.P.S.</v>
          </cell>
          <cell r="AA1119">
            <v>0</v>
          </cell>
        </row>
        <row r="1120">
          <cell r="N1120" t="str">
            <v>CRUZ BLANCA E.P.S. S.A.</v>
          </cell>
          <cell r="AA1120">
            <v>0</v>
          </cell>
        </row>
        <row r="1121">
          <cell r="N1121" t="str">
            <v>CRUZ BLANCA E.P.S. S.A.</v>
          </cell>
          <cell r="AA1121">
            <v>0</v>
          </cell>
        </row>
        <row r="1122">
          <cell r="N1122" t="str">
            <v>FAMISANAR E.P.S.</v>
          </cell>
          <cell r="AA1122">
            <v>67733</v>
          </cell>
        </row>
        <row r="1123">
          <cell r="N1123" t="str">
            <v>FAMISANAR E.P.S.</v>
          </cell>
          <cell r="AA1123">
            <v>948267</v>
          </cell>
        </row>
        <row r="1124">
          <cell r="N1124" t="str">
            <v>FAMISANAR E.P.S.</v>
          </cell>
          <cell r="AA1124">
            <v>0</v>
          </cell>
        </row>
        <row r="1125">
          <cell r="N1125" t="str">
            <v>ENTIDAD PROMOTORA DE SALUD ORGANISMO COOPERAT</v>
          </cell>
          <cell r="AA1125">
            <v>995450</v>
          </cell>
        </row>
        <row r="1126">
          <cell r="N1126" t="str">
            <v>CAJA DE COMPENSACION FAMILIAR COMPENSAR</v>
          </cell>
          <cell r="AA1126">
            <v>179898</v>
          </cell>
        </row>
        <row r="1127">
          <cell r="N1127" t="str">
            <v>CAJA DE COMPENSACION FAMILIAR COMPENSAR</v>
          </cell>
          <cell r="AA1127">
            <v>71959</v>
          </cell>
        </row>
        <row r="1128">
          <cell r="N1128" t="str">
            <v>FAMISANAR E.P.S.</v>
          </cell>
          <cell r="AA1128">
            <v>0</v>
          </cell>
        </row>
        <row r="1129">
          <cell r="N1129" t="str">
            <v>CRUZ BLANCA E.P.S. S.A.</v>
          </cell>
          <cell r="AA1129">
            <v>0</v>
          </cell>
        </row>
        <row r="1130">
          <cell r="N1130" t="str">
            <v>ENTIDAD PROMOTORA DE SALUD ORGANISMO COOPERAT</v>
          </cell>
          <cell r="AA1130">
            <v>0</v>
          </cell>
        </row>
        <row r="1131">
          <cell r="N1131" t="str">
            <v>CRUZ BLANCA E.P.S. S.A.</v>
          </cell>
          <cell r="AA1131">
            <v>42960</v>
          </cell>
        </row>
        <row r="1132">
          <cell r="N1132" t="str">
            <v>FAMISANAR E.P.S.</v>
          </cell>
          <cell r="AA1132">
            <v>424667</v>
          </cell>
        </row>
        <row r="1133">
          <cell r="N1133" t="str">
            <v>ENTIDAD PROMOTORA DE SALUD ORGANISMO COOPERAT</v>
          </cell>
          <cell r="AA1133">
            <v>0</v>
          </cell>
        </row>
        <row r="1134">
          <cell r="N1134" t="str">
            <v>FAMISANAR E.P.S.</v>
          </cell>
          <cell r="AA1134">
            <v>66067</v>
          </cell>
        </row>
        <row r="1135">
          <cell r="N1135" t="str">
            <v>EPS Y MEDICINA PREPAGADA SURAMERICANA S.A</v>
          </cell>
          <cell r="AA1135">
            <v>0</v>
          </cell>
        </row>
        <row r="1136">
          <cell r="N1136" t="str">
            <v>SALUD TOTAL S.A.</v>
          </cell>
          <cell r="AA1136">
            <v>0</v>
          </cell>
        </row>
        <row r="1137">
          <cell r="N1137" t="str">
            <v>SALUD TOTAL S.A.</v>
          </cell>
          <cell r="AA1137">
            <v>714000</v>
          </cell>
        </row>
        <row r="1138">
          <cell r="N1138" t="str">
            <v>SALUD TOTAL S.A.</v>
          </cell>
          <cell r="AA1138">
            <v>91733</v>
          </cell>
        </row>
        <row r="1139">
          <cell r="N1139" t="str">
            <v>CAJA DE COMPENSACION FAMILIAR COMPENSAR</v>
          </cell>
          <cell r="AA1139">
            <v>28646</v>
          </cell>
        </row>
        <row r="1140">
          <cell r="N1140" t="str">
            <v>FAMISANAR E.P.S.</v>
          </cell>
          <cell r="AA1140">
            <v>0</v>
          </cell>
        </row>
        <row r="1141">
          <cell r="N1141" t="str">
            <v>NUEVA EMPRESA PROMOTORA DE SALUD S.A</v>
          </cell>
          <cell r="AA1141">
            <v>0</v>
          </cell>
        </row>
        <row r="1142">
          <cell r="N1142" t="str">
            <v>EPS Y MEDICINA PREPAGADA SURAMERICANA S.A</v>
          </cell>
          <cell r="AA1142">
            <v>0</v>
          </cell>
        </row>
        <row r="1143">
          <cell r="N1143" t="str">
            <v>FAMISANAR E.P.S.</v>
          </cell>
          <cell r="AA1143">
            <v>0</v>
          </cell>
        </row>
        <row r="1144">
          <cell r="N1144" t="str">
            <v>FAMISANAR E.P.S.</v>
          </cell>
          <cell r="AA1144">
            <v>130600</v>
          </cell>
        </row>
        <row r="1145">
          <cell r="N1145" t="str">
            <v>FAMISANAR E.P.S.</v>
          </cell>
          <cell r="AA1145">
            <v>143563</v>
          </cell>
        </row>
        <row r="1146">
          <cell r="N1146" t="str">
            <v>FAMISANAR E.P.S.</v>
          </cell>
          <cell r="AA1146">
            <v>42713</v>
          </cell>
        </row>
        <row r="1147">
          <cell r="N1147" t="str">
            <v>CAFESALUD E.P.S.</v>
          </cell>
          <cell r="AA1147">
            <v>272814</v>
          </cell>
        </row>
        <row r="1148">
          <cell r="N1148" t="str">
            <v>EPS Y MEDICINA PREPAGADA SURAMERICANA S.A</v>
          </cell>
          <cell r="AA1148">
            <v>0</v>
          </cell>
        </row>
        <row r="1149">
          <cell r="N1149" t="str">
            <v>CRUZ BLANCA E.P.S. S.A.</v>
          </cell>
          <cell r="AA1149">
            <v>665880</v>
          </cell>
        </row>
        <row r="1150">
          <cell r="N1150" t="str">
            <v>FAMISANAR E.P.S.</v>
          </cell>
          <cell r="AA1150">
            <v>376200</v>
          </cell>
        </row>
        <row r="1151">
          <cell r="N1151" t="str">
            <v>ENTIDAD PROMOTORA DE SALUD ORGANISMO COOPERAT</v>
          </cell>
          <cell r="AA1151">
            <v>4266000</v>
          </cell>
        </row>
        <row r="1152">
          <cell r="N1152" t="str">
            <v>CRUZ BLANCA E.P.S. S.A.</v>
          </cell>
          <cell r="AA1152">
            <v>58867</v>
          </cell>
        </row>
        <row r="1153">
          <cell r="N1153" t="str">
            <v>FAMISANAR E.P.S.</v>
          </cell>
          <cell r="AA1153">
            <v>0</v>
          </cell>
        </row>
        <row r="1154">
          <cell r="N1154" t="str">
            <v>FAMISANAR E.P.S.</v>
          </cell>
          <cell r="AA1154">
            <v>0</v>
          </cell>
        </row>
        <row r="1155">
          <cell r="N1155" t="str">
            <v>FAMISANAR E.P.S.</v>
          </cell>
          <cell r="AA1155">
            <v>0</v>
          </cell>
        </row>
        <row r="1156">
          <cell r="N1156" t="str">
            <v>FAMISANAR E.P.S.</v>
          </cell>
          <cell r="AA1156">
            <v>0</v>
          </cell>
        </row>
        <row r="1157">
          <cell r="N1157" t="str">
            <v>ENTIDAD PROMOTORA DE SALUD SANITAS S.A. EPS</v>
          </cell>
          <cell r="AA1157">
            <v>0</v>
          </cell>
        </row>
        <row r="1158">
          <cell r="N1158" t="str">
            <v>NUEVA EMPRESA PROMOTORA DE SALUD S.A</v>
          </cell>
          <cell r="AA1158">
            <v>257760</v>
          </cell>
        </row>
        <row r="1159">
          <cell r="N1159" t="str">
            <v>COOMEVA ENTIDAD PROMOTORA DE SALUD S.A.</v>
          </cell>
          <cell r="AA1159">
            <v>337333</v>
          </cell>
        </row>
        <row r="1160">
          <cell r="N1160" t="str">
            <v>NUEVA EMPRESA PROMOTORA DE SALUD S.A</v>
          </cell>
          <cell r="AA1160">
            <v>0</v>
          </cell>
        </row>
        <row r="1161">
          <cell r="N1161" t="str">
            <v>ENTIDAD PROMOTORA DE SALUD ORGANISMO COOPERAT</v>
          </cell>
          <cell r="AA1161">
            <v>0</v>
          </cell>
        </row>
        <row r="1162">
          <cell r="N1162" t="str">
            <v>ENTIDAD PROMOTORA DE SALUD SERVICIO OCCIDENTA</v>
          </cell>
          <cell r="AA1162">
            <v>0</v>
          </cell>
        </row>
        <row r="1163">
          <cell r="N1163" t="str">
            <v>CRUZ BLANCA E.P.S. S.A.</v>
          </cell>
          <cell r="AA1163">
            <v>29433</v>
          </cell>
        </row>
        <row r="1164">
          <cell r="N1164" t="str">
            <v>ENTIDAD PROMOTORA DE SALUD SANITAS S.A. EPS</v>
          </cell>
          <cell r="AA1164">
            <v>0</v>
          </cell>
        </row>
        <row r="1165">
          <cell r="N1165" t="str">
            <v>ENTIDAD PROMOTORA DE SALUD ORGANISMO COOPERAT</v>
          </cell>
          <cell r="AA1165">
            <v>0</v>
          </cell>
        </row>
        <row r="1166">
          <cell r="N1166" t="str">
            <v>CAJA DE COMPENSACION FAMILIAR COMPENSAR</v>
          </cell>
          <cell r="AA1166">
            <v>67133</v>
          </cell>
        </row>
        <row r="1167">
          <cell r="N1167" t="str">
            <v>CAJA DE COMPENSACION FAMILIAR COMPENSAR</v>
          </cell>
          <cell r="AA1167">
            <v>0</v>
          </cell>
        </row>
        <row r="1168">
          <cell r="N1168" t="str">
            <v>NUEVA EMPRESA PROMOTORA DE SALUD S.A</v>
          </cell>
          <cell r="AA1168">
            <v>0</v>
          </cell>
        </row>
        <row r="1169">
          <cell r="N1169" t="str">
            <v>ENTIDAD PROMOTORA DE SALUD SANITAS S.A. EPS</v>
          </cell>
          <cell r="AA1169">
            <v>0</v>
          </cell>
        </row>
        <row r="1170">
          <cell r="N1170" t="str">
            <v>ENTIDAD PROMOTORA DE SALUD SANITAS S.A. EPS</v>
          </cell>
          <cell r="AA1170">
            <v>107400</v>
          </cell>
        </row>
        <row r="1171">
          <cell r="N1171" t="str">
            <v>FAMISANAR E.P.S.</v>
          </cell>
          <cell r="AA1171">
            <v>0</v>
          </cell>
        </row>
        <row r="1172">
          <cell r="N1172" t="str">
            <v>CRUZ BLANCA E.P.S. S.A.</v>
          </cell>
          <cell r="AA1172">
            <v>0</v>
          </cell>
        </row>
        <row r="1173">
          <cell r="N1173" t="e">
            <v>#N/A</v>
          </cell>
          <cell r="AA1173">
            <v>0</v>
          </cell>
        </row>
        <row r="1174">
          <cell r="N1174" t="str">
            <v>ENTIDAD PROMOTORA DE SALUD SERVICIO OCCIDENTA</v>
          </cell>
          <cell r="AA1174">
            <v>0</v>
          </cell>
        </row>
        <row r="1175">
          <cell r="N1175" t="str">
            <v>FAMISANAR E.P.S.</v>
          </cell>
          <cell r="AA1175">
            <v>162633</v>
          </cell>
        </row>
        <row r="1176">
          <cell r="N1176" t="str">
            <v>FAMISANAR E.P.S.</v>
          </cell>
          <cell r="AA1176">
            <v>232333</v>
          </cell>
        </row>
        <row r="1177">
          <cell r="N1177" t="str">
            <v>CRUZ BLANCA E.P.S. S.A.</v>
          </cell>
          <cell r="AA1177">
            <v>465500</v>
          </cell>
        </row>
        <row r="1178">
          <cell r="N1178" t="str">
            <v>FAMISANAR E.P.S.</v>
          </cell>
          <cell r="AA1178">
            <v>0</v>
          </cell>
        </row>
        <row r="1179">
          <cell r="N1179" t="str">
            <v>ENTIDAD PROMOTORA DE SALUD SANITAS S.A. EPS</v>
          </cell>
          <cell r="AA1179">
            <v>0</v>
          </cell>
        </row>
        <row r="1180">
          <cell r="N1180" t="str">
            <v>FAMISANAR E.P.S.</v>
          </cell>
          <cell r="AA1180">
            <v>0</v>
          </cell>
        </row>
        <row r="1181">
          <cell r="N1181" t="str">
            <v>CAJA DE COMPENSACION FAMILIAR COMPENSAR</v>
          </cell>
          <cell r="AA1181">
            <v>0</v>
          </cell>
        </row>
        <row r="1182">
          <cell r="N1182" t="str">
            <v>ENTIDAD PROMOTORA DE SALUD SANITAS S.A. EPS</v>
          </cell>
          <cell r="AA1182">
            <v>0</v>
          </cell>
        </row>
        <row r="1183">
          <cell r="N1183" t="str">
            <v>CRUZ BLANCA E.P.S. S.A.</v>
          </cell>
          <cell r="AA1183">
            <v>0</v>
          </cell>
        </row>
        <row r="1184">
          <cell r="N1184" t="str">
            <v>CRUZ BLANCA E.P.S. S.A.</v>
          </cell>
          <cell r="AA1184">
            <v>279858</v>
          </cell>
        </row>
        <row r="1185">
          <cell r="N1185" t="str">
            <v>FAMISANAR E.P.S.</v>
          </cell>
          <cell r="AA1185">
            <v>155386</v>
          </cell>
        </row>
        <row r="1186">
          <cell r="N1186" t="str">
            <v>FAMISANAR E.P.S.</v>
          </cell>
          <cell r="AA1186">
            <v>233078</v>
          </cell>
        </row>
        <row r="1187">
          <cell r="N1187" t="str">
            <v>FAMISANAR E.P.S.</v>
          </cell>
          <cell r="AA1187">
            <v>0</v>
          </cell>
        </row>
        <row r="1188">
          <cell r="N1188" t="str">
            <v>SALUD TOTAL S.A.</v>
          </cell>
          <cell r="AA1188">
            <v>0</v>
          </cell>
        </row>
        <row r="1189">
          <cell r="N1189" t="str">
            <v>CRUZ BLANCA E.P.S. S.A.</v>
          </cell>
          <cell r="AA1189">
            <v>0</v>
          </cell>
        </row>
        <row r="1190">
          <cell r="N1190" t="str">
            <v>FAMISANAR E.P.S.</v>
          </cell>
          <cell r="AA1190">
            <v>744215</v>
          </cell>
        </row>
        <row r="1191">
          <cell r="N1191" t="str">
            <v>FAMISANAR E.P.S.</v>
          </cell>
          <cell r="AA1191">
            <v>40846</v>
          </cell>
        </row>
        <row r="1192">
          <cell r="N1192" t="str">
            <v>ENTIDAD PROMOTORA DE SALUD ORGANISMO COOPERAT</v>
          </cell>
          <cell r="AA1192">
            <v>0</v>
          </cell>
        </row>
        <row r="1193">
          <cell r="AA1193">
            <v>0</v>
          </cell>
        </row>
        <row r="1202">
          <cell r="AA1202">
            <v>0</v>
          </cell>
        </row>
        <row r="1048475">
          <cell r="N1048475">
            <v>0</v>
          </cell>
        </row>
      </sheetData>
      <sheetData sheetId="10">
        <row r="2">
          <cell r="N2" t="str">
            <v>EPS</v>
          </cell>
        </row>
        <row r="3">
          <cell r="N3" t="str">
            <v>FAMISANAR E.P.S.</v>
          </cell>
          <cell r="AA3">
            <v>0</v>
          </cell>
        </row>
        <row r="4">
          <cell r="N4" t="str">
            <v>FAMISANAR E.P.S.</v>
          </cell>
          <cell r="AA4">
            <v>0</v>
          </cell>
        </row>
        <row r="5">
          <cell r="N5" t="str">
            <v>FAMISANAR E.P.S.</v>
          </cell>
          <cell r="AA5">
            <v>25690</v>
          </cell>
        </row>
        <row r="6">
          <cell r="N6" t="str">
            <v>FAMISANAR E.P.S.</v>
          </cell>
          <cell r="AA6">
            <v>0</v>
          </cell>
        </row>
        <row r="7">
          <cell r="N7" t="str">
            <v>NUEVA EMPRESA PROMOTORA DE SALUD S.A</v>
          </cell>
          <cell r="AA7">
            <v>0</v>
          </cell>
        </row>
        <row r="8">
          <cell r="N8" t="str">
            <v>FAMISANAR E.P.S.</v>
          </cell>
          <cell r="AA8">
            <v>0</v>
          </cell>
        </row>
        <row r="9">
          <cell r="N9" t="str">
            <v>FAMISANAR E.P.S.</v>
          </cell>
          <cell r="AA9">
            <v>285881</v>
          </cell>
        </row>
        <row r="10">
          <cell r="N10" t="str">
            <v>FAMISANAR E.P.S.</v>
          </cell>
          <cell r="AA10">
            <v>0</v>
          </cell>
        </row>
        <row r="11">
          <cell r="N11" t="str">
            <v>CAFESALUD E.P.S.</v>
          </cell>
          <cell r="AA11">
            <v>0</v>
          </cell>
        </row>
        <row r="12">
          <cell r="N12" t="str">
            <v>CAFESALUD E.P.S.</v>
          </cell>
          <cell r="AA12">
            <v>0</v>
          </cell>
        </row>
        <row r="13">
          <cell r="N13" t="str">
            <v>CAFESALUD E.P.S.</v>
          </cell>
          <cell r="AA13">
            <v>78137</v>
          </cell>
        </row>
        <row r="14">
          <cell r="N14" t="str">
            <v>CAFESALUD E.P.S.</v>
          </cell>
          <cell r="AA14">
            <v>39069</v>
          </cell>
        </row>
        <row r="15">
          <cell r="N15" t="str">
            <v>FAMISANAR E.P.S.</v>
          </cell>
          <cell r="AA15">
            <v>121406</v>
          </cell>
        </row>
        <row r="16">
          <cell r="N16" t="str">
            <v>FAMISANAR E.P.S.</v>
          </cell>
          <cell r="AA16">
            <v>364218</v>
          </cell>
        </row>
        <row r="17">
          <cell r="N17" t="str">
            <v>NUEVA EPS</v>
          </cell>
          <cell r="AA17">
            <v>0</v>
          </cell>
        </row>
        <row r="18">
          <cell r="N18" t="str">
            <v>ENTIDAD PROMOTORA DE SALUD ORGANISMO COOPERAT</v>
          </cell>
          <cell r="AA18">
            <v>0</v>
          </cell>
        </row>
        <row r="19">
          <cell r="N19" t="str">
            <v>ENTIDAD PROMOTORA DE SALUD ORGANISMO COOPERAT</v>
          </cell>
          <cell r="AA19">
            <v>0</v>
          </cell>
        </row>
        <row r="20">
          <cell r="N20" t="str">
            <v>FAMISANAR E.P.S.</v>
          </cell>
          <cell r="AA20">
            <v>0</v>
          </cell>
        </row>
        <row r="21">
          <cell r="N21" t="str">
            <v>FAMISANAR E.P.S.</v>
          </cell>
          <cell r="AA21">
            <v>0</v>
          </cell>
        </row>
        <row r="22">
          <cell r="N22" t="str">
            <v>FAMISANAR E.P.S.</v>
          </cell>
          <cell r="AA22">
            <v>0</v>
          </cell>
        </row>
        <row r="23">
          <cell r="N23" t="str">
            <v>FAMISANAR E.P.S.</v>
          </cell>
          <cell r="AA23">
            <v>0</v>
          </cell>
        </row>
        <row r="24">
          <cell r="N24" t="str">
            <v>POSITIVA</v>
          </cell>
          <cell r="AA24">
            <v>293333</v>
          </cell>
        </row>
        <row r="25">
          <cell r="N25" t="str">
            <v>FAMISANAR E.P.S.</v>
          </cell>
          <cell r="AA25">
            <v>0</v>
          </cell>
        </row>
        <row r="26">
          <cell r="N26" t="str">
            <v>FAMISANAR E.P.S.</v>
          </cell>
          <cell r="AA26">
            <v>0</v>
          </cell>
        </row>
        <row r="27">
          <cell r="N27" t="str">
            <v>SALUD TOTAL S.A.</v>
          </cell>
          <cell r="AA27">
            <v>0</v>
          </cell>
        </row>
        <row r="28">
          <cell r="N28" t="str">
            <v>ENTIDAD PROMOTORA DE SALUD SANITAS S.A. EPS</v>
          </cell>
          <cell r="AA28">
            <v>0</v>
          </cell>
        </row>
        <row r="29">
          <cell r="N29" t="str">
            <v>FAMISANAR E.P.S.</v>
          </cell>
          <cell r="AA29">
            <v>782039</v>
          </cell>
        </row>
        <row r="30">
          <cell r="N30" t="str">
            <v>ALIANSALUD EPS</v>
          </cell>
          <cell r="AA30">
            <v>0</v>
          </cell>
        </row>
        <row r="31">
          <cell r="N31" t="str">
            <v>ALIANSALUD EPS</v>
          </cell>
          <cell r="AA31">
            <v>0</v>
          </cell>
        </row>
        <row r="32">
          <cell r="N32" t="str">
            <v>ALIANSALUD EPS</v>
          </cell>
          <cell r="AA32">
            <v>0</v>
          </cell>
        </row>
        <row r="33">
          <cell r="N33" t="str">
            <v>FAMISANAR E.P.S.</v>
          </cell>
          <cell r="AA33">
            <v>0</v>
          </cell>
        </row>
        <row r="34">
          <cell r="N34" t="str">
            <v>FAMISANAR E.P.S.</v>
          </cell>
          <cell r="AA34">
            <v>0</v>
          </cell>
        </row>
        <row r="35">
          <cell r="N35" t="str">
            <v>SALUD TOTAL S.A.</v>
          </cell>
          <cell r="AA35">
            <v>128451</v>
          </cell>
        </row>
        <row r="36">
          <cell r="N36" t="str">
            <v>CRUZ BLANCA E.P.S. S.A.</v>
          </cell>
          <cell r="AA36">
            <v>0</v>
          </cell>
        </row>
        <row r="37">
          <cell r="N37" t="str">
            <v>CRUZ BLANCA E.P.S. S.A.</v>
          </cell>
          <cell r="AA37">
            <v>0</v>
          </cell>
        </row>
        <row r="38">
          <cell r="N38" t="str">
            <v>FAMISANAR E.P.S.</v>
          </cell>
          <cell r="AA38">
            <v>466667</v>
          </cell>
        </row>
        <row r="39">
          <cell r="N39" t="str">
            <v>FAMISANAR E.P.S.</v>
          </cell>
          <cell r="AA39">
            <v>25579</v>
          </cell>
        </row>
        <row r="40">
          <cell r="N40" t="str">
            <v>FAMISANAR E.P.S.</v>
          </cell>
          <cell r="AA40">
            <v>0</v>
          </cell>
        </row>
        <row r="41">
          <cell r="N41" t="str">
            <v>FAMISANAR E.P.S.</v>
          </cell>
          <cell r="AA41">
            <v>0</v>
          </cell>
        </row>
        <row r="42">
          <cell r="N42" t="str">
            <v>FAMISANAR E.P.S.</v>
          </cell>
          <cell r="AA42">
            <v>0</v>
          </cell>
        </row>
        <row r="43">
          <cell r="N43" t="str">
            <v>NUEVA EMPRESA PROMOTORA DE SALUD S.A</v>
          </cell>
          <cell r="AA43">
            <v>0</v>
          </cell>
        </row>
        <row r="44">
          <cell r="N44" t="str">
            <v>ENTIDAD PROMOTORA DE SALUD SANITAS S.A. EPS</v>
          </cell>
          <cell r="AA44">
            <v>0</v>
          </cell>
        </row>
        <row r="45">
          <cell r="N45" t="str">
            <v>POSITIVA</v>
          </cell>
          <cell r="AA45">
            <v>0</v>
          </cell>
        </row>
        <row r="46">
          <cell r="N46" t="str">
            <v>ENTIDAD PROMOTORA DE SALUD SANITAS S.A. EPS</v>
          </cell>
          <cell r="AA46">
            <v>0</v>
          </cell>
        </row>
        <row r="47">
          <cell r="N47" t="str">
            <v>ENTIDAD PROMOTORA DE SALUD SANITAS S.A. EPS</v>
          </cell>
          <cell r="AA47">
            <v>0</v>
          </cell>
        </row>
        <row r="48">
          <cell r="N48" t="str">
            <v>ENTIDAD PROMOTORA DE SALUD SANITAS S.A. EPS</v>
          </cell>
          <cell r="AA48">
            <v>0</v>
          </cell>
        </row>
        <row r="49">
          <cell r="N49" t="str">
            <v>ENTIDAD PROMOTORA DE SALUD SANITAS S.A. EPS</v>
          </cell>
          <cell r="AA49">
            <v>0</v>
          </cell>
        </row>
        <row r="50">
          <cell r="N50" t="str">
            <v>SANITAS EPS</v>
          </cell>
          <cell r="AA50">
            <v>0</v>
          </cell>
        </row>
        <row r="51">
          <cell r="N51" t="str">
            <v>SANITAS EPS</v>
          </cell>
          <cell r="AA51">
            <v>0</v>
          </cell>
        </row>
        <row r="52">
          <cell r="N52" t="str">
            <v>POSITIVA</v>
          </cell>
          <cell r="AA52">
            <v>283500</v>
          </cell>
        </row>
        <row r="53">
          <cell r="N53" t="str">
            <v>NUEVA EMPRESA PROMOTORA DE SALUD S.A</v>
          </cell>
          <cell r="AA53">
            <v>0</v>
          </cell>
        </row>
        <row r="54">
          <cell r="N54" t="str">
            <v>CRUZ BLANCA E.P.S. S.A.</v>
          </cell>
          <cell r="AA54">
            <v>0</v>
          </cell>
        </row>
        <row r="55">
          <cell r="N55" t="str">
            <v>POSITIVA</v>
          </cell>
          <cell r="AA55">
            <v>0</v>
          </cell>
        </row>
        <row r="56">
          <cell r="N56" t="str">
            <v>CRUZ BLANCA E.P.S. S.A.</v>
          </cell>
          <cell r="AA56">
            <v>0</v>
          </cell>
        </row>
        <row r="57">
          <cell r="N57" t="str">
            <v>CRUZ BLANCA E.P.S. S.A.</v>
          </cell>
          <cell r="AA57">
            <v>0</v>
          </cell>
        </row>
        <row r="58">
          <cell r="N58" t="str">
            <v>CRUZ BLANCA E.P.S. S.A.</v>
          </cell>
          <cell r="AA58">
            <v>0</v>
          </cell>
        </row>
        <row r="59">
          <cell r="N59" t="str">
            <v>FAMISANAR E.P.S.</v>
          </cell>
          <cell r="AA59">
            <v>0</v>
          </cell>
        </row>
        <row r="60">
          <cell r="N60" t="str">
            <v>CAJA DE COMPENSACION FAMILIAR COMPENSAR</v>
          </cell>
          <cell r="AA60">
            <v>-1</v>
          </cell>
        </row>
        <row r="61">
          <cell r="N61" t="str">
            <v>NUEVA EPS</v>
          </cell>
          <cell r="AA61">
            <v>193320</v>
          </cell>
        </row>
        <row r="62">
          <cell r="N62" t="str">
            <v>NUEVA EMPRESA PROMOTORA DE SALUD S.A</v>
          </cell>
          <cell r="AA62">
            <v>0</v>
          </cell>
        </row>
        <row r="63">
          <cell r="N63" t="str">
            <v>NUEVA EMPRESA PROMOTORA DE SALUD S.A</v>
          </cell>
          <cell r="AA63">
            <v>21480</v>
          </cell>
        </row>
        <row r="64">
          <cell r="N64" t="str">
            <v>FAMISANAR E.P.S.</v>
          </cell>
          <cell r="AA64">
            <v>0</v>
          </cell>
        </row>
        <row r="65">
          <cell r="N65" t="str">
            <v>FAMISANAR E.P.S.</v>
          </cell>
          <cell r="AA65">
            <v>0</v>
          </cell>
        </row>
        <row r="66">
          <cell r="N66" t="str">
            <v>ENTIDAD PROMOTORA DE SALUD ORGANISMO COOPERAT</v>
          </cell>
          <cell r="AA66">
            <v>0</v>
          </cell>
        </row>
        <row r="67">
          <cell r="N67" t="str">
            <v>POSITIVA</v>
          </cell>
          <cell r="AA67">
            <v>0</v>
          </cell>
        </row>
        <row r="68">
          <cell r="N68" t="str">
            <v>CAFESALUD E.P.S.</v>
          </cell>
          <cell r="AA68">
            <v>0</v>
          </cell>
        </row>
        <row r="69">
          <cell r="N69" t="str">
            <v>CAFESALUD E.P.S.</v>
          </cell>
          <cell r="AA69">
            <v>0</v>
          </cell>
        </row>
        <row r="70">
          <cell r="N70" t="str">
            <v>CAFESALUD E.P.S.</v>
          </cell>
          <cell r="AA70">
            <v>296281</v>
          </cell>
        </row>
        <row r="71">
          <cell r="N71" t="str">
            <v>SALUD TOTAL S.A.</v>
          </cell>
          <cell r="AA71">
            <v>831333</v>
          </cell>
        </row>
        <row r="72">
          <cell r="N72" t="str">
            <v>FAMISANAR E.P.S.</v>
          </cell>
          <cell r="AA72">
            <v>0</v>
          </cell>
        </row>
        <row r="73">
          <cell r="N73" t="str">
            <v>FAMISANAR E.P.S.</v>
          </cell>
          <cell r="AA73">
            <v>0</v>
          </cell>
        </row>
        <row r="74">
          <cell r="N74" t="str">
            <v>FAMISANAR E.P.S.</v>
          </cell>
          <cell r="AA74">
            <v>0</v>
          </cell>
        </row>
        <row r="75">
          <cell r="N75" t="str">
            <v>FAMISANAR E.P.S.</v>
          </cell>
          <cell r="AA75">
            <v>0</v>
          </cell>
        </row>
        <row r="76">
          <cell r="N76" t="str">
            <v>CAJA DE COMPENSACION FAMILIAR COMPENSAR</v>
          </cell>
          <cell r="AA76">
            <v>0</v>
          </cell>
        </row>
        <row r="77">
          <cell r="N77" t="str">
            <v>CAJA DE COMPENSACION FAMILIAR COMPENSAR</v>
          </cell>
          <cell r="AA77">
            <v>0</v>
          </cell>
        </row>
        <row r="78">
          <cell r="N78" t="str">
            <v>CAJA DE COMPENSACION FAMILIAR COMPENSAR</v>
          </cell>
          <cell r="AA78">
            <v>0</v>
          </cell>
        </row>
        <row r="79">
          <cell r="N79" t="str">
            <v>CAJA DE COMPENSACION FAMILIAR COMPENSAR</v>
          </cell>
          <cell r="AA79">
            <v>0</v>
          </cell>
        </row>
        <row r="80">
          <cell r="N80" t="str">
            <v>COMPENSAR EPS</v>
          </cell>
          <cell r="AA80">
            <v>859865</v>
          </cell>
        </row>
        <row r="81">
          <cell r="N81" t="str">
            <v>FAMISANAR E.P.S.</v>
          </cell>
          <cell r="AA81">
            <v>0</v>
          </cell>
        </row>
        <row r="82">
          <cell r="N82" t="str">
            <v>FAMISANAR E.P.S.</v>
          </cell>
          <cell r="AA82">
            <v>0</v>
          </cell>
        </row>
        <row r="83">
          <cell r="N83" t="e">
            <v>#N/A</v>
          </cell>
          <cell r="AA83">
            <v>0</v>
          </cell>
        </row>
        <row r="84">
          <cell r="N84" t="str">
            <v>FAMISANAR E.P.S.</v>
          </cell>
          <cell r="AA84">
            <v>0</v>
          </cell>
        </row>
        <row r="85">
          <cell r="N85" t="str">
            <v>FAMISANAR E.P.S.</v>
          </cell>
          <cell r="AA85">
            <v>0</v>
          </cell>
        </row>
        <row r="86">
          <cell r="N86" t="str">
            <v>FAMISANAR E.P.S.</v>
          </cell>
          <cell r="AA86">
            <v>0</v>
          </cell>
        </row>
        <row r="87">
          <cell r="N87" t="str">
            <v>FAMISANAR E.P.S.</v>
          </cell>
          <cell r="AA87">
            <v>0</v>
          </cell>
        </row>
        <row r="88">
          <cell r="N88" t="str">
            <v>FAMISANAR E.P.S.</v>
          </cell>
          <cell r="AA88">
            <v>0</v>
          </cell>
        </row>
        <row r="89">
          <cell r="N89" t="str">
            <v>POSITIVA</v>
          </cell>
          <cell r="AA89">
            <v>303600</v>
          </cell>
        </row>
        <row r="90">
          <cell r="N90" t="str">
            <v>POSITIVA</v>
          </cell>
          <cell r="AA90">
            <v>-36067</v>
          </cell>
        </row>
        <row r="91">
          <cell r="N91" t="str">
            <v>POSITIVA</v>
          </cell>
          <cell r="AA91">
            <v>132600</v>
          </cell>
        </row>
        <row r="92">
          <cell r="N92" t="str">
            <v>FAMISANAR E.P.S.</v>
          </cell>
          <cell r="AA92">
            <v>0</v>
          </cell>
        </row>
        <row r="93">
          <cell r="N93" t="str">
            <v>FAMISANAR E.P.S.</v>
          </cell>
          <cell r="AA93">
            <v>0</v>
          </cell>
        </row>
        <row r="94">
          <cell r="N94" t="str">
            <v>FAMISANAR E.P.S.</v>
          </cell>
          <cell r="AA94">
            <v>0</v>
          </cell>
        </row>
        <row r="95">
          <cell r="N95" t="str">
            <v>POSITIVA</v>
          </cell>
          <cell r="AA95">
            <v>214833</v>
          </cell>
        </row>
        <row r="96">
          <cell r="N96" t="str">
            <v>FAMISANAR E.P.S.</v>
          </cell>
          <cell r="AA96">
            <v>429667</v>
          </cell>
        </row>
        <row r="97">
          <cell r="N97" t="str">
            <v>FAMISANAR E.P.S.</v>
          </cell>
          <cell r="AA97">
            <v>57292</v>
          </cell>
        </row>
        <row r="98">
          <cell r="N98" t="str">
            <v>POSITIVA</v>
          </cell>
          <cell r="AA98">
            <v>85933</v>
          </cell>
        </row>
        <row r="99">
          <cell r="N99" t="str">
            <v>POSITIVA</v>
          </cell>
          <cell r="AA99">
            <v>859333</v>
          </cell>
        </row>
        <row r="100">
          <cell r="N100" t="str">
            <v>POSITIVA</v>
          </cell>
          <cell r="AA100">
            <v>86867</v>
          </cell>
        </row>
        <row r="101">
          <cell r="N101" t="str">
            <v>POSITIVA</v>
          </cell>
          <cell r="AA101">
            <v>171867</v>
          </cell>
        </row>
        <row r="102">
          <cell r="N102" t="str">
            <v>POSITIVA</v>
          </cell>
          <cell r="AA102">
            <v>42967</v>
          </cell>
        </row>
        <row r="103">
          <cell r="N103" t="str">
            <v>POSITIVA</v>
          </cell>
          <cell r="AA103">
            <v>868667</v>
          </cell>
        </row>
        <row r="104">
          <cell r="N104" t="str">
            <v>POSITIVA</v>
          </cell>
          <cell r="AA104">
            <v>434333</v>
          </cell>
        </row>
        <row r="105">
          <cell r="N105" t="str">
            <v>POSITIVA</v>
          </cell>
          <cell r="AA105">
            <v>304033</v>
          </cell>
        </row>
        <row r="106">
          <cell r="N106" t="str">
            <v>FAMISANAR E.P.S.</v>
          </cell>
          <cell r="AA106">
            <v>75115</v>
          </cell>
        </row>
        <row r="107">
          <cell r="N107" t="str">
            <v>FAMISANAR E.P.S.</v>
          </cell>
          <cell r="AA107">
            <v>0</v>
          </cell>
        </row>
        <row r="108">
          <cell r="N108" t="str">
            <v>CAJA DE COMPENSACION FAMILIAR COMPENSAR</v>
          </cell>
          <cell r="AA108">
            <v>134851</v>
          </cell>
        </row>
        <row r="109">
          <cell r="N109" t="str">
            <v>FAMISANAR E.P.S.</v>
          </cell>
          <cell r="AA109">
            <v>0</v>
          </cell>
        </row>
        <row r="110">
          <cell r="N110" t="str">
            <v>FAMISANAR E.P.S.</v>
          </cell>
          <cell r="AA110">
            <v>0</v>
          </cell>
        </row>
        <row r="111">
          <cell r="N111" t="str">
            <v>POSITIVA</v>
          </cell>
          <cell r="AA111">
            <v>0</v>
          </cell>
        </row>
        <row r="112">
          <cell r="N112" t="str">
            <v>NUEVA EMPRESA PROMOTORA DE SALUD S.A</v>
          </cell>
          <cell r="AA112">
            <v>92627</v>
          </cell>
        </row>
        <row r="113">
          <cell r="N113" t="str">
            <v>NUEVA EMPRESA PROMOTORA DE SALUD S.A</v>
          </cell>
          <cell r="AA113">
            <v>0</v>
          </cell>
        </row>
        <row r="114">
          <cell r="N114" t="str">
            <v>NUEVA EMPRESA PROMOTORA DE SALUD S.A</v>
          </cell>
          <cell r="AA114">
            <v>0</v>
          </cell>
        </row>
        <row r="115">
          <cell r="N115" t="str">
            <v>NUEVA EMPRESA PROMOTORA DE SALUD S.A</v>
          </cell>
          <cell r="AA115">
            <v>0</v>
          </cell>
        </row>
        <row r="116">
          <cell r="N116" t="str">
            <v>NUEVA EMPRESA PROMOTORA DE SALUD S.A</v>
          </cell>
          <cell r="AA116">
            <v>0</v>
          </cell>
        </row>
        <row r="117">
          <cell r="N117" t="str">
            <v>NUEVA EMPRESA PROMOTORA DE SALUD S.A</v>
          </cell>
          <cell r="AA117">
            <v>0</v>
          </cell>
        </row>
        <row r="118">
          <cell r="N118" t="str">
            <v>NUEVA EMPRESA PROMOTORA DE SALUD S.A</v>
          </cell>
          <cell r="AA118">
            <v>0</v>
          </cell>
        </row>
        <row r="119">
          <cell r="N119" t="str">
            <v>ENTIDAD PROMOTORA DE SALUD SANITAS S.A. EPS</v>
          </cell>
          <cell r="AA119">
            <v>0</v>
          </cell>
        </row>
        <row r="120">
          <cell r="N120" t="str">
            <v>FAMISANAR E.P.S.</v>
          </cell>
          <cell r="AA120">
            <v>0</v>
          </cell>
        </row>
        <row r="121">
          <cell r="N121" t="str">
            <v>FAMISANAR E.P.S.</v>
          </cell>
          <cell r="AA121">
            <v>0</v>
          </cell>
        </row>
        <row r="122">
          <cell r="N122" t="str">
            <v>FAMISANAR E.P.S.</v>
          </cell>
          <cell r="AA122">
            <v>0</v>
          </cell>
        </row>
        <row r="123">
          <cell r="N123" t="e">
            <v>#N/A</v>
          </cell>
          <cell r="AA123">
            <v>21480</v>
          </cell>
        </row>
        <row r="124">
          <cell r="N124" t="str">
            <v>FAMISANAR E.P.S.</v>
          </cell>
          <cell r="AA124">
            <v>0</v>
          </cell>
        </row>
        <row r="125">
          <cell r="N125" t="str">
            <v>ENTIDAD PROMOTORA DE SALUD SANITAS S.A. EPS</v>
          </cell>
          <cell r="AA125">
            <v>243768</v>
          </cell>
        </row>
        <row r="126">
          <cell r="N126" t="str">
            <v>ENTIDAD PROMOTORA DE SALUD ORGANISMO COOPERAT</v>
          </cell>
          <cell r="AA126">
            <v>24290</v>
          </cell>
        </row>
        <row r="127">
          <cell r="N127" t="e">
            <v>#N/A</v>
          </cell>
          <cell r="AA127">
            <v>0</v>
          </cell>
        </row>
        <row r="128">
          <cell r="N128" t="str">
            <v>NUEVA EMPRESA PROMOTORA DE SALUD S.A</v>
          </cell>
          <cell r="AA128">
            <v>0</v>
          </cell>
        </row>
        <row r="129">
          <cell r="N129" t="str">
            <v>CAJA DE COMPENSACION FAMILIAR COMPENSAR</v>
          </cell>
          <cell r="AA129">
            <v>0</v>
          </cell>
        </row>
        <row r="130">
          <cell r="N130" t="str">
            <v>POSITIVA</v>
          </cell>
          <cell r="AA130">
            <v>0</v>
          </cell>
        </row>
        <row r="131">
          <cell r="N131" t="str">
            <v>CAJA DE COMPENSACION FAMILIAR COMPENSAR</v>
          </cell>
          <cell r="AA131">
            <v>0</v>
          </cell>
        </row>
        <row r="132">
          <cell r="N132" t="str">
            <v>POSITIVA</v>
          </cell>
          <cell r="AA132">
            <v>52231</v>
          </cell>
        </row>
        <row r="133">
          <cell r="N133" t="str">
            <v>POSITIVA</v>
          </cell>
          <cell r="AA133">
            <v>111923</v>
          </cell>
        </row>
        <row r="134">
          <cell r="N134" t="str">
            <v>POSITIVA</v>
          </cell>
          <cell r="AA134">
            <v>156692</v>
          </cell>
        </row>
        <row r="135">
          <cell r="N135" t="str">
            <v>POSITIVA</v>
          </cell>
          <cell r="AA135">
            <v>111923</v>
          </cell>
        </row>
        <row r="136">
          <cell r="N136">
            <v>0</v>
          </cell>
          <cell r="AA136">
            <v>-241108</v>
          </cell>
        </row>
        <row r="137">
          <cell r="N137" t="str">
            <v>CAJA DE COMPENSACION FAMILIAR COMPENSAR</v>
          </cell>
          <cell r="AA137">
            <v>-203988</v>
          </cell>
        </row>
        <row r="138">
          <cell r="N138" t="str">
            <v>CAJA DE COMPENSACION FAMILIAR COMPENSAR</v>
          </cell>
          <cell r="AA138">
            <v>0</v>
          </cell>
        </row>
        <row r="139">
          <cell r="N139" t="str">
            <v>CAJA DE COMPENSACION FAMILIAR COMPENSAR</v>
          </cell>
          <cell r="AA139">
            <v>-236812</v>
          </cell>
        </row>
        <row r="140">
          <cell r="N140" t="str">
            <v>CAJA DE COMPENSACION FAMILIAR COMPENSAR</v>
          </cell>
          <cell r="AA140">
            <v>0</v>
          </cell>
        </row>
        <row r="141">
          <cell r="N141" t="str">
            <v>CAJA DE COMPENSACION FAMILIAR COMPENSAR</v>
          </cell>
          <cell r="AA141">
            <v>0</v>
          </cell>
        </row>
        <row r="142">
          <cell r="N142" t="str">
            <v>CRUZ BLANCA E.P.S. S.A.</v>
          </cell>
          <cell r="AA142">
            <v>285348</v>
          </cell>
        </row>
        <row r="143">
          <cell r="N143" t="str">
            <v>POSITIVA</v>
          </cell>
          <cell r="AA143">
            <v>0</v>
          </cell>
        </row>
        <row r="144">
          <cell r="N144" t="str">
            <v>FAMISANAR E.P.S.</v>
          </cell>
          <cell r="AA144">
            <v>0</v>
          </cell>
        </row>
        <row r="145">
          <cell r="N145" t="str">
            <v>FAMISANAR E.P.S.</v>
          </cell>
          <cell r="AA145">
            <v>84449</v>
          </cell>
        </row>
        <row r="146">
          <cell r="N146" t="str">
            <v>FAMISANAR E.P.S.</v>
          </cell>
          <cell r="AA146">
            <v>0</v>
          </cell>
        </row>
        <row r="147">
          <cell r="N147" t="str">
            <v>CAJA DE COMPENSACION FAMILIAR COMPENSAR</v>
          </cell>
          <cell r="AA147">
            <v>0</v>
          </cell>
        </row>
        <row r="148">
          <cell r="N148" t="str">
            <v>COMPENSAR EPS</v>
          </cell>
          <cell r="AA148">
            <v>0</v>
          </cell>
        </row>
        <row r="149">
          <cell r="N149" t="e">
            <v>#N/A</v>
          </cell>
          <cell r="AA149">
            <v>0</v>
          </cell>
        </row>
        <row r="150">
          <cell r="N150" t="str">
            <v>POSITIVA</v>
          </cell>
          <cell r="AA150">
            <v>0</v>
          </cell>
        </row>
        <row r="151">
          <cell r="N151" t="str">
            <v>FAMISANAR E.P.S.</v>
          </cell>
          <cell r="AA151">
            <v>0</v>
          </cell>
        </row>
        <row r="152">
          <cell r="N152" t="str">
            <v>NUEVA EMPRESA PROMOTORA DE SALUD S.A</v>
          </cell>
          <cell r="AA152">
            <v>-8678</v>
          </cell>
        </row>
        <row r="153">
          <cell r="N153" t="str">
            <v>NUEVA EMPRESA PROMOTORA DE SALUD S.A</v>
          </cell>
          <cell r="AA153">
            <v>121229</v>
          </cell>
        </row>
        <row r="154">
          <cell r="N154" t="str">
            <v>NUEVA EMPRESA PROMOTORA DE SALUD S.A</v>
          </cell>
          <cell r="AA154">
            <v>48492</v>
          </cell>
        </row>
        <row r="155">
          <cell r="N155" t="str">
            <v>NUEVA EMPRESA PROMOTORA DE SALUD S.A</v>
          </cell>
          <cell r="AA155">
            <v>0</v>
          </cell>
        </row>
        <row r="156">
          <cell r="N156" t="str">
            <v>NUEVA EMPRESA PROMOTORA DE SALUD S.A</v>
          </cell>
          <cell r="AA156">
            <v>0</v>
          </cell>
        </row>
        <row r="157">
          <cell r="N157" t="str">
            <v>FAMISANAR E.P.S.</v>
          </cell>
          <cell r="AA157">
            <v>0</v>
          </cell>
        </row>
        <row r="158">
          <cell r="N158" t="str">
            <v>FAMISANAR E.P.S.</v>
          </cell>
          <cell r="AA158">
            <v>0</v>
          </cell>
        </row>
        <row r="159">
          <cell r="N159" t="str">
            <v>FAMISANAR E.P.S.</v>
          </cell>
          <cell r="AA159">
            <v>0</v>
          </cell>
        </row>
        <row r="160">
          <cell r="N160" t="str">
            <v>FAMISANAR E.P.S.</v>
          </cell>
          <cell r="AA160">
            <v>615999</v>
          </cell>
        </row>
        <row r="161">
          <cell r="N161" t="str">
            <v>FAMISANAR E.P.S.</v>
          </cell>
          <cell r="AA161">
            <v>579960</v>
          </cell>
        </row>
        <row r="162">
          <cell r="N162" t="str">
            <v>FAMISANAR E.P.S.</v>
          </cell>
          <cell r="AA162">
            <v>42960</v>
          </cell>
        </row>
        <row r="163">
          <cell r="N163" t="str">
            <v>FAMISANAR E.P.S.</v>
          </cell>
          <cell r="AA163">
            <v>558480</v>
          </cell>
        </row>
        <row r="164">
          <cell r="N164" t="str">
            <v>SALUD TOTAL S.A.</v>
          </cell>
          <cell r="AA164">
            <v>124451</v>
          </cell>
        </row>
        <row r="165">
          <cell r="N165" t="str">
            <v>CAJA DE COMPENSACION FAMILIAR COMPENSAR</v>
          </cell>
          <cell r="AA165">
            <v>0</v>
          </cell>
        </row>
        <row r="166">
          <cell r="N166" t="str">
            <v>NUEVA EMPRESA PROMOTORA DE SALUD S.A</v>
          </cell>
          <cell r="AA166">
            <v>0</v>
          </cell>
        </row>
        <row r="167">
          <cell r="N167" t="str">
            <v>NUEVA EMPRESA PROMOTORA DE SALUD S.A</v>
          </cell>
          <cell r="AA167">
            <v>0</v>
          </cell>
        </row>
        <row r="168">
          <cell r="N168" t="str">
            <v>NUEVA EMPRESA PROMOTORA DE SALUD S.A</v>
          </cell>
          <cell r="AA168">
            <v>0</v>
          </cell>
        </row>
        <row r="169">
          <cell r="N169" t="str">
            <v>NUEVA EPS</v>
          </cell>
          <cell r="AA169">
            <v>0</v>
          </cell>
        </row>
        <row r="170">
          <cell r="N170" t="str">
            <v>NUEVA EPS</v>
          </cell>
          <cell r="AA170">
            <v>0</v>
          </cell>
        </row>
        <row r="171">
          <cell r="N171" t="str">
            <v>ENTIDAD PROMOTORA DE SALUD SANITAS S.A. EPS</v>
          </cell>
          <cell r="AA171">
            <v>0</v>
          </cell>
        </row>
        <row r="172">
          <cell r="N172" t="str">
            <v>CRUZ BLANCA E.P.S. S.A.</v>
          </cell>
          <cell r="AA172">
            <v>0</v>
          </cell>
        </row>
        <row r="173">
          <cell r="N173" t="str">
            <v>ENTIDAD PROMOTORA DE SALUD SANITAS S.A. EPS</v>
          </cell>
          <cell r="AA173">
            <v>0</v>
          </cell>
        </row>
        <row r="174">
          <cell r="N174" t="str">
            <v>CAJA DE COMPENSACION FAMILIAR COMPENSAR</v>
          </cell>
          <cell r="AA174">
            <v>0</v>
          </cell>
        </row>
        <row r="175">
          <cell r="N175" t="str">
            <v>CAJA DE COMPENSACION FAMILIAR COMPENSAR</v>
          </cell>
          <cell r="AA175">
            <v>0</v>
          </cell>
        </row>
        <row r="176">
          <cell r="N176" t="str">
            <v>POSITIVA</v>
          </cell>
          <cell r="AA176">
            <v>48500</v>
          </cell>
        </row>
        <row r="177">
          <cell r="N177" t="str">
            <v>EPS Y MEDICINA PREPAGADA SURAMERICANA S.A</v>
          </cell>
          <cell r="AA177">
            <v>0</v>
          </cell>
        </row>
        <row r="178">
          <cell r="N178" t="str">
            <v>EPS Y MEDICINA PREPAGADA SURAMERICANA S.A</v>
          </cell>
          <cell r="AA178">
            <v>0</v>
          </cell>
        </row>
        <row r="179">
          <cell r="N179" t="str">
            <v>EPS Y MEDICINA PREPAGADA SURAMERICANA S.A</v>
          </cell>
          <cell r="AA179">
            <v>0</v>
          </cell>
        </row>
        <row r="180">
          <cell r="N180" t="str">
            <v>CRUZ BLANCA E.P.S. S.A.</v>
          </cell>
          <cell r="AA180">
            <v>0</v>
          </cell>
        </row>
        <row r="181">
          <cell r="N181" t="str">
            <v>CRUZ BLANCA E.P.S. S.A.</v>
          </cell>
          <cell r="AA181">
            <v>42960</v>
          </cell>
        </row>
        <row r="182">
          <cell r="N182" t="str">
            <v>CAJA DE COMPENSACION FAMILIAR COMPENSAR</v>
          </cell>
          <cell r="AA182">
            <v>50891</v>
          </cell>
        </row>
        <row r="183">
          <cell r="N183" t="str">
            <v>ALIANSALUD EPS</v>
          </cell>
          <cell r="AA183">
            <v>140874</v>
          </cell>
        </row>
        <row r="184">
          <cell r="N184" t="str">
            <v>ENTIDAD PROMOTORA DE SALUD SERVICIO OCCIDENTA</v>
          </cell>
          <cell r="AA184">
            <v>0</v>
          </cell>
        </row>
        <row r="185">
          <cell r="N185" t="str">
            <v>ENTIDAD PROMOTORA DE SALUD SERVICIO OCCIDENTA</v>
          </cell>
          <cell r="AA185">
            <v>0</v>
          </cell>
        </row>
        <row r="186">
          <cell r="N186" t="str">
            <v>ENTIDAD PROMOTORA DE SALUD SERVICIO OCCIDENTA</v>
          </cell>
          <cell r="AA186">
            <v>0</v>
          </cell>
        </row>
        <row r="187">
          <cell r="N187" t="str">
            <v>S.O.S.</v>
          </cell>
          <cell r="AA187">
            <v>0</v>
          </cell>
        </row>
        <row r="188">
          <cell r="N188" t="str">
            <v>ALIANSALUD EPS</v>
          </cell>
          <cell r="AA188">
            <v>0</v>
          </cell>
        </row>
        <row r="189">
          <cell r="N189" t="str">
            <v>ALIANSALUD EPS</v>
          </cell>
          <cell r="AA189">
            <v>0</v>
          </cell>
        </row>
        <row r="190">
          <cell r="N190" t="str">
            <v>ALIANSALUD EPS</v>
          </cell>
          <cell r="AA190">
            <v>0</v>
          </cell>
        </row>
        <row r="191">
          <cell r="N191" t="str">
            <v>ALIANSALUD EPS</v>
          </cell>
          <cell r="AA191">
            <v>0</v>
          </cell>
        </row>
        <row r="192">
          <cell r="N192" t="str">
            <v>FAMISANAR E.P.S.</v>
          </cell>
          <cell r="AA192">
            <v>0</v>
          </cell>
        </row>
        <row r="193">
          <cell r="N193" t="str">
            <v>SALUD TOTAL S.A.</v>
          </cell>
          <cell r="AA193">
            <v>0</v>
          </cell>
        </row>
        <row r="194">
          <cell r="N194" t="str">
            <v>SALUD TOTAL S.A.</v>
          </cell>
          <cell r="AA194">
            <v>0</v>
          </cell>
        </row>
        <row r="195">
          <cell r="N195" t="str">
            <v>SALUD TOTAL S.A.</v>
          </cell>
          <cell r="AA195">
            <v>0</v>
          </cell>
        </row>
        <row r="196">
          <cell r="N196" t="str">
            <v>POSITIVA</v>
          </cell>
          <cell r="AA196">
            <v>0</v>
          </cell>
        </row>
        <row r="197">
          <cell r="N197" t="str">
            <v>SALUD TOTAL S.A.</v>
          </cell>
          <cell r="AA197">
            <v>0</v>
          </cell>
        </row>
        <row r="198">
          <cell r="N198" t="str">
            <v>SALUD TOTAL S.A.</v>
          </cell>
          <cell r="AA198">
            <v>0</v>
          </cell>
        </row>
        <row r="199">
          <cell r="N199" t="str">
            <v>ENTIDAD PROMOTORA DE SALUD SANITAS S.A. EPS</v>
          </cell>
          <cell r="AA199">
            <v>0</v>
          </cell>
        </row>
        <row r="200">
          <cell r="N200" t="str">
            <v>ENTIDAD PROMOTORA DE SALUD ORGANISMO COOPERAT</v>
          </cell>
          <cell r="AA200">
            <v>0</v>
          </cell>
        </row>
        <row r="201">
          <cell r="N201" t="str">
            <v>ENTIDAD PROMOTORA DE SALUD ORGANISMO COOPERAT</v>
          </cell>
          <cell r="AA201">
            <v>0</v>
          </cell>
        </row>
        <row r="202">
          <cell r="N202" t="str">
            <v>ENTIDAD PROMOTORA DE SALUD ORGANISMO COOPERAT</v>
          </cell>
          <cell r="AA202">
            <v>0</v>
          </cell>
        </row>
        <row r="203">
          <cell r="N203" t="str">
            <v>ENTIDAD PROMOTORA DE SALUD ORGANISMO COOPERAT</v>
          </cell>
          <cell r="AA203">
            <v>0</v>
          </cell>
        </row>
        <row r="204">
          <cell r="N204" t="str">
            <v>FAMISANAR E.P.S.</v>
          </cell>
          <cell r="AA204">
            <v>0</v>
          </cell>
        </row>
        <row r="205">
          <cell r="N205" t="str">
            <v>FAMISANAR E.P.S.</v>
          </cell>
          <cell r="AA205">
            <v>0</v>
          </cell>
        </row>
        <row r="206">
          <cell r="N206" t="str">
            <v>FAMISANAR E.P.S.</v>
          </cell>
          <cell r="AA206">
            <v>0</v>
          </cell>
        </row>
        <row r="207">
          <cell r="N207" t="str">
            <v>FAMISANAR E.P.S.</v>
          </cell>
          <cell r="AA207">
            <v>0</v>
          </cell>
        </row>
        <row r="208">
          <cell r="N208" t="str">
            <v>FAMISANAR E.P.S.</v>
          </cell>
          <cell r="AA208">
            <v>0</v>
          </cell>
        </row>
        <row r="209">
          <cell r="N209" t="str">
            <v>FAMISANAR E.P.S.</v>
          </cell>
          <cell r="AA209">
            <v>470424</v>
          </cell>
        </row>
        <row r="210">
          <cell r="N210" t="str">
            <v>FAMISANAR E.P.S.</v>
          </cell>
          <cell r="AA210">
            <v>78404</v>
          </cell>
        </row>
        <row r="211">
          <cell r="N211" t="str">
            <v>FAMISANAR E.P.S.</v>
          </cell>
          <cell r="AA211">
            <v>156808</v>
          </cell>
        </row>
        <row r="212">
          <cell r="N212" t="str">
            <v>FAMISANAR E.P.S.</v>
          </cell>
          <cell r="AA212">
            <v>0</v>
          </cell>
        </row>
        <row r="213">
          <cell r="N213" t="str">
            <v>NUEVA EMPRESA PROMOTORA DE SALUD S.A</v>
          </cell>
          <cell r="AA213">
            <v>0</v>
          </cell>
        </row>
        <row r="214">
          <cell r="N214" t="str">
            <v>NUEVA EMPRESA PROMOTORA DE SALUD S.A</v>
          </cell>
          <cell r="AA214">
            <v>0</v>
          </cell>
        </row>
        <row r="215">
          <cell r="N215" t="str">
            <v>NUEVA EMPRESA PROMOTORA DE SALUD S.A</v>
          </cell>
          <cell r="AA215">
            <v>0</v>
          </cell>
        </row>
        <row r="216">
          <cell r="N216" t="str">
            <v>NUEVA EMPRESA PROMOTORA DE SALUD S.A</v>
          </cell>
          <cell r="AA216">
            <v>118273</v>
          </cell>
        </row>
        <row r="217">
          <cell r="N217" t="str">
            <v>NUEVA EMPRESA PROMOTORA DE SALUD S.A</v>
          </cell>
          <cell r="AA217">
            <v>236545</v>
          </cell>
        </row>
        <row r="218">
          <cell r="N218" t="str">
            <v>NUEVA EMPRESA PROMOTORA DE SALUD S.A</v>
          </cell>
          <cell r="AA218">
            <v>275969</v>
          </cell>
        </row>
        <row r="219">
          <cell r="N219" t="str">
            <v>FAMISANAR E.P.S.</v>
          </cell>
          <cell r="AA219">
            <v>0</v>
          </cell>
        </row>
        <row r="220">
          <cell r="N220" t="str">
            <v>FAMISANAR E.P.S.</v>
          </cell>
          <cell r="AA220">
            <v>0</v>
          </cell>
        </row>
        <row r="221">
          <cell r="N221" t="str">
            <v>FAMISANAR E.P.S.</v>
          </cell>
          <cell r="AA221">
            <v>0</v>
          </cell>
        </row>
        <row r="222">
          <cell r="N222" t="str">
            <v>FAMISANAR E.P.S.</v>
          </cell>
          <cell r="AA222">
            <v>0</v>
          </cell>
        </row>
        <row r="223">
          <cell r="N223" t="str">
            <v>FAMISANAR E.P.S.</v>
          </cell>
          <cell r="AA223">
            <v>87338</v>
          </cell>
        </row>
        <row r="224">
          <cell r="N224" t="str">
            <v>FAMISANAR E.P.S.</v>
          </cell>
          <cell r="AA224">
            <v>0</v>
          </cell>
        </row>
        <row r="225">
          <cell r="N225" t="str">
            <v>ENTIDAD PROMOTORA DE SALUD SANITAS S.A. EPS</v>
          </cell>
          <cell r="AA225">
            <v>0</v>
          </cell>
        </row>
        <row r="226">
          <cell r="N226" t="str">
            <v>ENTIDAD PROMOTORA DE SALUD SANITAS S.A. EPS</v>
          </cell>
          <cell r="AA226">
            <v>0</v>
          </cell>
        </row>
        <row r="227">
          <cell r="N227" t="str">
            <v>ENTIDAD PROMOTORA DE SALUD SANITAS S.A. EPS</v>
          </cell>
          <cell r="AA227">
            <v>0</v>
          </cell>
        </row>
        <row r="228">
          <cell r="N228" t="str">
            <v>ENTIDAD PROMOTORA DE SALUD SANITAS S.A. EPS</v>
          </cell>
          <cell r="AA228">
            <v>0</v>
          </cell>
        </row>
        <row r="229">
          <cell r="N229" t="str">
            <v>ENTIDAD PROMOTORA DE SALUD SANITAS S.A. EPS</v>
          </cell>
          <cell r="AA229">
            <v>0</v>
          </cell>
        </row>
        <row r="230">
          <cell r="N230" t="str">
            <v>ENTIDAD PROMOTORA DE SALUD SANITAS S.A. EPS</v>
          </cell>
          <cell r="AA230">
            <v>0</v>
          </cell>
        </row>
        <row r="231">
          <cell r="N231" t="str">
            <v>ENTIDAD PROMOTORA DE SALUD SANITAS S.A. EPS</v>
          </cell>
          <cell r="AA231">
            <v>0</v>
          </cell>
        </row>
        <row r="232">
          <cell r="N232" t="str">
            <v>ENTIDAD PROMOTORA DE SALUD SANITAS S.A. EPS</v>
          </cell>
          <cell r="AA232">
            <v>0</v>
          </cell>
        </row>
        <row r="233">
          <cell r="N233" t="str">
            <v>ENTIDAD PROMOTORA DE SALUD SANITAS S.A. EPS</v>
          </cell>
          <cell r="AA233">
            <v>0</v>
          </cell>
        </row>
        <row r="234">
          <cell r="N234" t="str">
            <v>ENTIDAD PROMOTORA DE SALUD SANITAS S.A. EPS</v>
          </cell>
          <cell r="AA234">
            <v>0</v>
          </cell>
        </row>
        <row r="235">
          <cell r="N235" t="str">
            <v>CAJA DE COMPENSACION FAMILIAR COMPENSAR</v>
          </cell>
          <cell r="AA235">
            <v>0</v>
          </cell>
        </row>
        <row r="236">
          <cell r="N236" t="str">
            <v>CAJA DE COMPENSACION FAMILIAR COMPENSAR</v>
          </cell>
          <cell r="AA236">
            <v>0</v>
          </cell>
        </row>
        <row r="237">
          <cell r="N237" t="str">
            <v>CAJA DE COMPENSACION FAMILIAR COMPENSAR</v>
          </cell>
          <cell r="AA237">
            <v>0</v>
          </cell>
        </row>
        <row r="238">
          <cell r="N238" t="str">
            <v>COMPENSAR EPS</v>
          </cell>
          <cell r="AA238">
            <v>0</v>
          </cell>
        </row>
        <row r="239">
          <cell r="N239" t="str">
            <v>CAJA DE COMPENSACION FAMILIAR COMPENSAR</v>
          </cell>
          <cell r="AA239">
            <v>0</v>
          </cell>
        </row>
        <row r="240">
          <cell r="N240" t="str">
            <v>CAJA DE COMPENSACION FAMILIAR COMPENSAR</v>
          </cell>
          <cell r="AA240">
            <v>0</v>
          </cell>
        </row>
        <row r="241">
          <cell r="N241" t="str">
            <v>CAJA DE COMPENSACION FAMILIAR COMPENSAR</v>
          </cell>
          <cell r="AA241">
            <v>0</v>
          </cell>
        </row>
        <row r="242">
          <cell r="N242" t="str">
            <v>FAMISANAR E.P.S.</v>
          </cell>
          <cell r="AA242">
            <v>0</v>
          </cell>
        </row>
        <row r="243">
          <cell r="N243" t="str">
            <v>FAMISANAR E.P.S.</v>
          </cell>
          <cell r="AA243">
            <v>80271</v>
          </cell>
        </row>
        <row r="244">
          <cell r="N244" t="str">
            <v>FAMISANAR E.P.S.</v>
          </cell>
          <cell r="AA244">
            <v>0</v>
          </cell>
        </row>
        <row r="245">
          <cell r="N245" t="str">
            <v>FAMISANAR E.P.S.</v>
          </cell>
          <cell r="AA245">
            <v>0</v>
          </cell>
        </row>
        <row r="246">
          <cell r="N246" t="str">
            <v>POSITIVA</v>
          </cell>
          <cell r="AA246">
            <v>0</v>
          </cell>
        </row>
        <row r="247">
          <cell r="N247" t="str">
            <v>FAMISANAR E.P.S.</v>
          </cell>
          <cell r="AA247">
            <v>0</v>
          </cell>
        </row>
        <row r="248">
          <cell r="N248" t="str">
            <v>NUEVA EMPRESA PROMOTORA DE SALUD S.A</v>
          </cell>
          <cell r="AA248">
            <v>0</v>
          </cell>
        </row>
        <row r="249">
          <cell r="N249" t="str">
            <v>FAMISANAR E.P.S.</v>
          </cell>
          <cell r="AA249">
            <v>0</v>
          </cell>
        </row>
        <row r="250">
          <cell r="N250" t="str">
            <v>FAMISANAR E.P.S.</v>
          </cell>
          <cell r="AA250">
            <v>0</v>
          </cell>
        </row>
        <row r="251">
          <cell r="N251" t="str">
            <v>FAMISANAR E.P.S.</v>
          </cell>
          <cell r="AA251">
            <v>0</v>
          </cell>
        </row>
        <row r="252">
          <cell r="N252" t="str">
            <v>FAMISANAR E.P.S.</v>
          </cell>
          <cell r="AA252">
            <v>0</v>
          </cell>
        </row>
        <row r="253">
          <cell r="N253" t="str">
            <v>FAMISANAR E.P.S.</v>
          </cell>
          <cell r="AA253">
            <v>0</v>
          </cell>
        </row>
        <row r="254">
          <cell r="N254" t="str">
            <v>CRUZ BLANCA E.P.S. S.A.</v>
          </cell>
          <cell r="AA254">
            <v>0</v>
          </cell>
        </row>
        <row r="255">
          <cell r="N255" t="str">
            <v>CRUZ BLANCA E.P.S. S.A.</v>
          </cell>
          <cell r="AA255">
            <v>0</v>
          </cell>
        </row>
        <row r="256">
          <cell r="N256" t="str">
            <v>CRUZ BLANCA E.P.S. S.A.</v>
          </cell>
          <cell r="AA256">
            <v>0</v>
          </cell>
        </row>
        <row r="257">
          <cell r="N257" t="str">
            <v>CAJA DE COMPENSACION FAMILIAR COMPENSAR</v>
          </cell>
          <cell r="AA257">
            <v>577667</v>
          </cell>
        </row>
        <row r="258">
          <cell r="N258" t="str">
            <v>CAJA DE COMPENSACION FAMILIAR COMPENSAR</v>
          </cell>
          <cell r="AA258">
            <v>0</v>
          </cell>
        </row>
        <row r="259">
          <cell r="N259" t="str">
            <v>COOMEVA ENTIDAD PROMOTORA DE SALUD S.A.</v>
          </cell>
          <cell r="AA259">
            <v>0</v>
          </cell>
        </row>
        <row r="260">
          <cell r="N260" t="str">
            <v>COOMEVA ENTIDAD PROMOTORA DE SALUD S.A.</v>
          </cell>
          <cell r="AA260">
            <v>0</v>
          </cell>
        </row>
        <row r="261">
          <cell r="N261" t="str">
            <v>FAMISANAR E.P.S.</v>
          </cell>
          <cell r="AA261">
            <v>164008</v>
          </cell>
        </row>
        <row r="262">
          <cell r="N262" t="str">
            <v>FAMISANAR E.P.S.</v>
          </cell>
          <cell r="AA262">
            <v>0</v>
          </cell>
        </row>
        <row r="263">
          <cell r="N263" t="str">
            <v>FAMISANAR E.P.S.</v>
          </cell>
          <cell r="AA263">
            <v>0</v>
          </cell>
        </row>
        <row r="264">
          <cell r="N264" t="str">
            <v>FAMISANAR E.P.S.</v>
          </cell>
          <cell r="AA264">
            <v>0</v>
          </cell>
        </row>
        <row r="265">
          <cell r="N265" t="str">
            <v>FAMISANAR E.P.S.</v>
          </cell>
          <cell r="AA265">
            <v>946714</v>
          </cell>
        </row>
        <row r="266">
          <cell r="N266" t="str">
            <v>ENTIDAD PROMOTORA DE SALUD ORGANISMO COOPERAT</v>
          </cell>
          <cell r="AA266">
            <v>0</v>
          </cell>
        </row>
        <row r="267">
          <cell r="N267" t="str">
            <v>NUEVA EMPRESA PROMOTORA DE SALUD S.A</v>
          </cell>
          <cell r="AA267">
            <v>277852</v>
          </cell>
        </row>
        <row r="268">
          <cell r="N268" t="str">
            <v>NUEVA EPS</v>
          </cell>
          <cell r="AA268">
            <v>0</v>
          </cell>
        </row>
        <row r="269">
          <cell r="N269" t="str">
            <v>NUEVA EMPRESA PROMOTORA DE SALUD S.A</v>
          </cell>
          <cell r="AA269">
            <v>46713</v>
          </cell>
        </row>
        <row r="270">
          <cell r="N270" t="str">
            <v>CAJA DE COMPENSACION FAMILIAR COMPENSAR</v>
          </cell>
          <cell r="AA270">
            <v>30224</v>
          </cell>
        </row>
        <row r="271">
          <cell r="N271" t="str">
            <v>POSITIVA</v>
          </cell>
          <cell r="AA271">
            <v>0</v>
          </cell>
        </row>
        <row r="272">
          <cell r="N272" t="str">
            <v>CRUZ BLANCA E.P.S. S.A.</v>
          </cell>
          <cell r="AA272">
            <v>726503</v>
          </cell>
        </row>
        <row r="273">
          <cell r="N273" t="str">
            <v>ENTIDAD PROMOTORA DE SALUD ORGANISMO COOPERAT</v>
          </cell>
          <cell r="AA273">
            <v>0</v>
          </cell>
        </row>
        <row r="274">
          <cell r="N274" t="str">
            <v>ENTIDAD PROMOTORA DE SALUD ORGANISMO COOPERAT</v>
          </cell>
          <cell r="AA274">
            <v>0</v>
          </cell>
        </row>
        <row r="275">
          <cell r="N275" t="str">
            <v>ENTIDAD PROMOTORA DE SALUD ORGANISMO COOPERAT</v>
          </cell>
          <cell r="AA275">
            <v>0</v>
          </cell>
        </row>
        <row r="276">
          <cell r="N276" t="str">
            <v>CAFESALUD E.P.S.</v>
          </cell>
          <cell r="AA276">
            <v>0</v>
          </cell>
        </row>
        <row r="277">
          <cell r="N277" t="str">
            <v>FAMISANAR E.P.S.</v>
          </cell>
          <cell r="AA277">
            <v>0</v>
          </cell>
        </row>
        <row r="278">
          <cell r="N278" t="str">
            <v>FAMISANAR E.P.S.</v>
          </cell>
          <cell r="AA278">
            <v>0</v>
          </cell>
        </row>
        <row r="279">
          <cell r="N279" t="str">
            <v>NUEVA EMPRESA PROMOTORA DE SALUD S.A</v>
          </cell>
          <cell r="AA279">
            <v>0</v>
          </cell>
        </row>
        <row r="280">
          <cell r="N280" t="str">
            <v>POSITIVA</v>
          </cell>
          <cell r="AA280">
            <v>0</v>
          </cell>
        </row>
        <row r="281">
          <cell r="N281" t="str">
            <v>ENTIDAD PROMOTORA DE SALUD SANITAS S.A. EPS</v>
          </cell>
          <cell r="AA281">
            <v>0</v>
          </cell>
        </row>
        <row r="282">
          <cell r="N282" t="str">
            <v>FAMISANAR E.P.S.</v>
          </cell>
          <cell r="AA282">
            <v>0</v>
          </cell>
        </row>
        <row r="283">
          <cell r="N283" t="str">
            <v>ENTIDAD PROMOTORA DE SALUD SANITAS S.A. EPS</v>
          </cell>
          <cell r="AA283">
            <v>0</v>
          </cell>
        </row>
        <row r="284">
          <cell r="N284" t="str">
            <v>POSITIVA</v>
          </cell>
          <cell r="AA284">
            <v>0</v>
          </cell>
        </row>
        <row r="285">
          <cell r="N285" t="str">
            <v>POSITIVA</v>
          </cell>
          <cell r="AA285">
            <v>0</v>
          </cell>
        </row>
        <row r="286">
          <cell r="N286" t="str">
            <v>CAFESALUD E.P.S.</v>
          </cell>
          <cell r="AA286">
            <v>42960</v>
          </cell>
        </row>
        <row r="287">
          <cell r="N287" t="str">
            <v>FAMISANAR E.P.S.</v>
          </cell>
          <cell r="AA287">
            <v>301348</v>
          </cell>
        </row>
        <row r="288">
          <cell r="N288" t="str">
            <v>FAMISANAR E.P.S.</v>
          </cell>
          <cell r="AA288">
            <v>0</v>
          </cell>
        </row>
        <row r="289">
          <cell r="N289" t="str">
            <v>FAMISANAR E.P.S.</v>
          </cell>
          <cell r="AA289">
            <v>0</v>
          </cell>
        </row>
        <row r="290">
          <cell r="N290" t="str">
            <v>FAMISANAR E.P.S.</v>
          </cell>
          <cell r="AA290">
            <v>967515</v>
          </cell>
        </row>
        <row r="291">
          <cell r="N291" t="str">
            <v>POSITIVA</v>
          </cell>
          <cell r="AA291">
            <v>0</v>
          </cell>
        </row>
        <row r="292">
          <cell r="N292" t="str">
            <v>ENTIDAD PROMOTORA DE SALUD SANITAS S.A. EPS</v>
          </cell>
          <cell r="AA292">
            <v>0</v>
          </cell>
        </row>
        <row r="293">
          <cell r="N293" t="str">
            <v>SANITAS EPS</v>
          </cell>
          <cell r="AA293">
            <v>0</v>
          </cell>
        </row>
        <row r="294">
          <cell r="N294" t="str">
            <v>EPS Y MEDICINA PREPAGADA SURAMERICANA S.A</v>
          </cell>
          <cell r="AA294">
            <v>0</v>
          </cell>
        </row>
        <row r="295">
          <cell r="N295" t="str">
            <v>EPS Y MEDICINA PREPAGADA SURAMERICANA S.A</v>
          </cell>
          <cell r="AA295">
            <v>0</v>
          </cell>
        </row>
        <row r="296">
          <cell r="N296" t="str">
            <v>EPS Y MEDICINA PREPAGADA SURAMERICANA S.A</v>
          </cell>
          <cell r="AA296">
            <v>0</v>
          </cell>
        </row>
        <row r="297">
          <cell r="N297" t="str">
            <v>POSITIVA</v>
          </cell>
          <cell r="AA297">
            <v>0</v>
          </cell>
        </row>
        <row r="298">
          <cell r="N298" t="str">
            <v>POSITIVA</v>
          </cell>
          <cell r="AA298">
            <v>180367</v>
          </cell>
        </row>
        <row r="299">
          <cell r="N299" t="str">
            <v>SALUD TOTAL S.A.</v>
          </cell>
          <cell r="AA299">
            <v>0</v>
          </cell>
        </row>
        <row r="300">
          <cell r="N300" t="str">
            <v>CRUZ BLANCA E.P.S. S.A.</v>
          </cell>
          <cell r="AA300">
            <v>569200</v>
          </cell>
        </row>
        <row r="301">
          <cell r="N301" t="str">
            <v>CRUZ BLANCA E.P.S.</v>
          </cell>
          <cell r="AA301">
            <v>0</v>
          </cell>
        </row>
        <row r="302">
          <cell r="N302" t="str">
            <v>CAJA DE COMPENSACION FAMILIAR COMPENSAR</v>
          </cell>
          <cell r="AA302">
            <v>0</v>
          </cell>
        </row>
        <row r="303">
          <cell r="N303" t="str">
            <v>ENTIDAD PROMOTORA DE SALUD ORGANISMO COOPERAT</v>
          </cell>
          <cell r="AA303">
            <v>0</v>
          </cell>
        </row>
        <row r="304">
          <cell r="N304" t="str">
            <v>ENTIDAD PROMOTORA DE SALUD ORGANISMO COOPERAT</v>
          </cell>
          <cell r="AA304">
            <v>0</v>
          </cell>
        </row>
        <row r="305">
          <cell r="N305" t="str">
            <v>ENTIDAD PROMOTORA DE SALUD ORGANISMO COOPERAT</v>
          </cell>
          <cell r="AA305">
            <v>0</v>
          </cell>
        </row>
        <row r="306">
          <cell r="N306" t="str">
            <v>CRUZ BLANCA E.P.S. S.A.</v>
          </cell>
          <cell r="AA306">
            <v>0</v>
          </cell>
        </row>
        <row r="307">
          <cell r="N307" t="str">
            <v>SALUD TOTAL S.A.</v>
          </cell>
          <cell r="AA307">
            <v>0</v>
          </cell>
        </row>
        <row r="308">
          <cell r="N308" t="str">
            <v>SALUD TOTAL S.A.</v>
          </cell>
          <cell r="AA308">
            <v>0</v>
          </cell>
        </row>
        <row r="309">
          <cell r="N309" t="str">
            <v>SALUD TOTAL S.A.</v>
          </cell>
          <cell r="AA309">
            <v>0</v>
          </cell>
        </row>
        <row r="310">
          <cell r="N310" t="str">
            <v>SALUD TOTAL S.A.</v>
          </cell>
          <cell r="AA310">
            <v>0</v>
          </cell>
        </row>
        <row r="311">
          <cell r="N311" t="str">
            <v>CAFESALUD E.P.S.</v>
          </cell>
          <cell r="AA311">
            <v>0</v>
          </cell>
        </row>
        <row r="312">
          <cell r="N312" t="str">
            <v>CAFESALUD E.P.S.</v>
          </cell>
          <cell r="AA312">
            <v>0</v>
          </cell>
        </row>
        <row r="313">
          <cell r="N313" t="str">
            <v>POSITIVA</v>
          </cell>
          <cell r="AA313">
            <v>0</v>
          </cell>
        </row>
        <row r="314">
          <cell r="N314" t="str">
            <v>POSITIVA</v>
          </cell>
          <cell r="AA314">
            <v>91000</v>
          </cell>
        </row>
        <row r="315">
          <cell r="N315" t="str">
            <v>CAJA DE COMPENSACION FAMILIAR COMPENSAR</v>
          </cell>
          <cell r="AA315">
            <v>0</v>
          </cell>
        </row>
        <row r="316">
          <cell r="N316" t="str">
            <v>CAJA DE COMPENSACION FAMILIAR COMPENSAR</v>
          </cell>
          <cell r="AA316">
            <v>0</v>
          </cell>
        </row>
        <row r="317">
          <cell r="N317" t="str">
            <v>CAJA DE COMPENSACION FAMILIAR COMPENSAR</v>
          </cell>
          <cell r="AA317">
            <v>0</v>
          </cell>
        </row>
        <row r="318">
          <cell r="N318" t="str">
            <v>CAJA DE COMPENSACION FAMILIAR COMPENSAR</v>
          </cell>
          <cell r="AA318">
            <v>0</v>
          </cell>
        </row>
        <row r="319">
          <cell r="N319" t="str">
            <v>CAJA DE COMPENSACION FAMILIAR COMPENSAR</v>
          </cell>
          <cell r="AA319">
            <v>0</v>
          </cell>
        </row>
        <row r="320">
          <cell r="N320" t="str">
            <v>CAJA DE COMPENSACION FAMILIAR COMPENSAR</v>
          </cell>
          <cell r="AA320">
            <v>0</v>
          </cell>
        </row>
        <row r="321">
          <cell r="N321" t="str">
            <v>FAMISANAR E.P.S.</v>
          </cell>
          <cell r="AA321">
            <v>0</v>
          </cell>
        </row>
        <row r="322">
          <cell r="N322" t="str">
            <v>FAMISANAR E.P.S.</v>
          </cell>
          <cell r="AA322">
            <v>0</v>
          </cell>
        </row>
        <row r="323">
          <cell r="N323" t="str">
            <v>CAJA DE COMPENSACION FAMILIAR COMPENSAR</v>
          </cell>
          <cell r="AA323">
            <v>0</v>
          </cell>
        </row>
        <row r="324">
          <cell r="N324" t="str">
            <v>FAMISANAR E.P.S.</v>
          </cell>
          <cell r="AA324">
            <v>992094</v>
          </cell>
        </row>
        <row r="325">
          <cell r="N325" t="str">
            <v>NUEVA EMPRESA PROMOTORA DE SALUD S.A</v>
          </cell>
          <cell r="AA325">
            <v>145963</v>
          </cell>
        </row>
        <row r="326">
          <cell r="N326" t="str">
            <v>NUEVA EMPRESA PROMOTORA DE SALUD S.A</v>
          </cell>
          <cell r="AA326">
            <v>1240684</v>
          </cell>
        </row>
        <row r="327">
          <cell r="N327" t="str">
            <v>NUEVA EMPRESA PROMOTORA DE SALUD S.A</v>
          </cell>
          <cell r="AA327">
            <v>708569</v>
          </cell>
        </row>
        <row r="328">
          <cell r="N328" t="str">
            <v>NUEVA EMPRESA PROMOTORA DE SALUD S.A</v>
          </cell>
          <cell r="AA328">
            <v>236190</v>
          </cell>
        </row>
        <row r="329">
          <cell r="N329" t="str">
            <v>NUEVA EMPRESA PROMOTORA DE SALUD S.A</v>
          </cell>
          <cell r="AA329">
            <v>177142</v>
          </cell>
        </row>
        <row r="330">
          <cell r="N330" t="str">
            <v>ALIANSALUD EPS</v>
          </cell>
          <cell r="AA330">
            <v>1092677</v>
          </cell>
        </row>
        <row r="331">
          <cell r="N331" t="str">
            <v>ALIANSALUD EPS</v>
          </cell>
          <cell r="AA331">
            <v>312193</v>
          </cell>
        </row>
        <row r="332">
          <cell r="N332" t="str">
            <v>ALIANSALUD EPS</v>
          </cell>
          <cell r="AA332">
            <v>0</v>
          </cell>
        </row>
        <row r="333">
          <cell r="N333" t="str">
            <v>ALIANSALUD EPS</v>
          </cell>
          <cell r="AA333">
            <v>0</v>
          </cell>
        </row>
        <row r="334">
          <cell r="N334" t="str">
            <v>FAMISANAR E.P.S.</v>
          </cell>
          <cell r="AA334">
            <v>0</v>
          </cell>
        </row>
        <row r="335">
          <cell r="N335" t="str">
            <v>SALUD TOTAL EPS</v>
          </cell>
          <cell r="AA335">
            <v>116139</v>
          </cell>
        </row>
        <row r="336">
          <cell r="N336" t="str">
            <v>FAMISANAR E.P.S.</v>
          </cell>
          <cell r="AA336">
            <v>0</v>
          </cell>
        </row>
        <row r="337">
          <cell r="N337" t="str">
            <v>FAMISANAR E.P.S.</v>
          </cell>
          <cell r="AA337">
            <v>0</v>
          </cell>
        </row>
        <row r="338">
          <cell r="N338" t="str">
            <v>FAMISANAR E.P.S.</v>
          </cell>
          <cell r="AA338">
            <v>0</v>
          </cell>
        </row>
        <row r="339">
          <cell r="N339" t="str">
            <v>FAMISANAR E.P.S.</v>
          </cell>
          <cell r="AA339">
            <v>0</v>
          </cell>
        </row>
        <row r="340">
          <cell r="N340" t="str">
            <v>ENTIDAD PROMOTORA DE SALUD ORGANISMO COOPERAT</v>
          </cell>
          <cell r="AA340">
            <v>114233</v>
          </cell>
        </row>
        <row r="341">
          <cell r="N341" t="str">
            <v>ENTIDAD PROMOTORA DE SALUD ORGANISMO COOPERAT</v>
          </cell>
          <cell r="AA341">
            <v>0</v>
          </cell>
        </row>
        <row r="342">
          <cell r="N342" t="str">
            <v>CAFESALUD E.P.S.</v>
          </cell>
          <cell r="AA342">
            <v>0</v>
          </cell>
        </row>
        <row r="343">
          <cell r="N343" t="str">
            <v>CAJA DE COMPENSACION FAMILIAR COMPENSAR</v>
          </cell>
          <cell r="AA343">
            <v>0</v>
          </cell>
        </row>
        <row r="344">
          <cell r="N344" t="str">
            <v>CAJA DE COMPENSACION FAMILIAR COMPENSAR</v>
          </cell>
          <cell r="AA344">
            <v>0</v>
          </cell>
        </row>
        <row r="345">
          <cell r="N345" t="str">
            <v>POSITIVA</v>
          </cell>
          <cell r="AA345">
            <v>0</v>
          </cell>
        </row>
        <row r="346">
          <cell r="N346" t="str">
            <v>FAMISANAR E.P.S.</v>
          </cell>
          <cell r="AA346">
            <v>0</v>
          </cell>
        </row>
        <row r="347">
          <cell r="N347" t="e">
            <v>#N/A</v>
          </cell>
          <cell r="AA347">
            <v>0</v>
          </cell>
        </row>
        <row r="348">
          <cell r="N348" t="str">
            <v>FAMISANAR E.P.S.</v>
          </cell>
          <cell r="AA348">
            <v>0</v>
          </cell>
        </row>
        <row r="349">
          <cell r="N349" t="str">
            <v>FAMISANAR E.P.S.</v>
          </cell>
          <cell r="AA349">
            <v>278814</v>
          </cell>
        </row>
        <row r="350">
          <cell r="N350" t="str">
            <v>NUEVA EMPRESA PROMOTORA DE SALUD S.A</v>
          </cell>
          <cell r="AA350">
            <v>42180</v>
          </cell>
        </row>
        <row r="351">
          <cell r="N351" t="str">
            <v>NUEVA EMPRESA PROMOTORA DE SALUD S.A</v>
          </cell>
          <cell r="AA351">
            <v>0</v>
          </cell>
        </row>
        <row r="352">
          <cell r="N352" t="str">
            <v>SALUD TOTAL EPS</v>
          </cell>
          <cell r="AA352">
            <v>0</v>
          </cell>
        </row>
        <row r="353">
          <cell r="N353" t="str">
            <v>POSITIVA</v>
          </cell>
          <cell r="AA353">
            <v>0</v>
          </cell>
        </row>
        <row r="354">
          <cell r="N354" t="str">
            <v>SALUD TOTAL S.A.</v>
          </cell>
          <cell r="AA354">
            <v>0</v>
          </cell>
        </row>
        <row r="355">
          <cell r="N355" t="str">
            <v>CRUZ BLANCA E.P.S. S.A.</v>
          </cell>
          <cell r="AA355">
            <v>0</v>
          </cell>
        </row>
        <row r="356">
          <cell r="N356" t="str">
            <v>CRUZ BLANCA E.P.S. S.A.</v>
          </cell>
          <cell r="AA356">
            <v>0</v>
          </cell>
        </row>
        <row r="357">
          <cell r="N357" t="str">
            <v>CRUZ BLANCA E.P.S. S.A.</v>
          </cell>
          <cell r="AA357">
            <v>325600</v>
          </cell>
        </row>
        <row r="358">
          <cell r="N358" t="str">
            <v>CRUZ BLANCA E.P.S. S.A.</v>
          </cell>
          <cell r="AA358">
            <v>0</v>
          </cell>
        </row>
        <row r="359">
          <cell r="N359" t="str">
            <v>CRUZ BLANCA E.P.S. S.A.</v>
          </cell>
          <cell r="AA359">
            <v>0</v>
          </cell>
        </row>
        <row r="360">
          <cell r="N360" t="str">
            <v>CRUZ BLANCA E.P.S. S.A.</v>
          </cell>
          <cell r="AA360">
            <v>0</v>
          </cell>
        </row>
        <row r="361">
          <cell r="N361" t="str">
            <v>CRUZ BLANCA E.P.S.</v>
          </cell>
          <cell r="AA361">
            <v>0</v>
          </cell>
        </row>
        <row r="362">
          <cell r="N362" t="str">
            <v>POSITIVA</v>
          </cell>
          <cell r="AA362">
            <v>33067</v>
          </cell>
        </row>
        <row r="363">
          <cell r="N363" t="str">
            <v>FAMISANAR E.P.S.</v>
          </cell>
          <cell r="AA363">
            <v>0</v>
          </cell>
        </row>
        <row r="364">
          <cell r="N364" t="str">
            <v>FAMISANAR E.P.S.</v>
          </cell>
          <cell r="AA364">
            <v>0</v>
          </cell>
        </row>
        <row r="365">
          <cell r="N365" t="str">
            <v>FAMISANAR E.P.S.</v>
          </cell>
          <cell r="AA365">
            <v>0</v>
          </cell>
        </row>
        <row r="366">
          <cell r="N366" t="str">
            <v>SALUD TOTAL S.A.</v>
          </cell>
          <cell r="AA366">
            <v>48965</v>
          </cell>
        </row>
        <row r="367">
          <cell r="N367" t="str">
            <v>POSITIVA</v>
          </cell>
          <cell r="AA367">
            <v>0</v>
          </cell>
        </row>
        <row r="368">
          <cell r="N368" t="str">
            <v>SALUD TOTAL S.A.</v>
          </cell>
          <cell r="AA368">
            <v>21480</v>
          </cell>
        </row>
        <row r="369">
          <cell r="N369" t="str">
            <v>SALUD TOTAL S.A.</v>
          </cell>
          <cell r="AA369">
            <v>0</v>
          </cell>
        </row>
        <row r="370">
          <cell r="N370" t="str">
            <v>SALUD TOTAL S.A.</v>
          </cell>
          <cell r="AA370">
            <v>0</v>
          </cell>
        </row>
        <row r="371">
          <cell r="N371" t="str">
            <v>FAMISANAR E.P.S.</v>
          </cell>
          <cell r="AA371">
            <v>235745</v>
          </cell>
        </row>
        <row r="372">
          <cell r="N372" t="str">
            <v>POSITIVA</v>
          </cell>
          <cell r="AA372">
            <v>0</v>
          </cell>
        </row>
        <row r="373">
          <cell r="N373" t="str">
            <v>FAMISANAR E.P.S.</v>
          </cell>
          <cell r="AA373">
            <v>0</v>
          </cell>
        </row>
        <row r="374">
          <cell r="N374" t="str">
            <v>FAMISANAR E.P.S.</v>
          </cell>
          <cell r="AA374">
            <v>0</v>
          </cell>
        </row>
        <row r="375">
          <cell r="N375" t="str">
            <v>FAMISANAR E.P.S.</v>
          </cell>
          <cell r="AA375">
            <v>0</v>
          </cell>
        </row>
        <row r="376">
          <cell r="N376" t="str">
            <v>POSITIVA</v>
          </cell>
          <cell r="AA376">
            <v>0</v>
          </cell>
        </row>
        <row r="377">
          <cell r="N377" t="str">
            <v>POSITIVA</v>
          </cell>
          <cell r="AA377">
            <v>-33866</v>
          </cell>
        </row>
        <row r="378">
          <cell r="N378" t="str">
            <v>POSITIVA</v>
          </cell>
          <cell r="AA378">
            <v>0</v>
          </cell>
        </row>
        <row r="379">
          <cell r="N379" t="str">
            <v>POSITIVA</v>
          </cell>
          <cell r="AA379">
            <v>135467</v>
          </cell>
        </row>
        <row r="380">
          <cell r="N380" t="str">
            <v>POSITIVA</v>
          </cell>
          <cell r="AA380">
            <v>67733</v>
          </cell>
        </row>
        <row r="381">
          <cell r="N381" t="str">
            <v>POSITIVA</v>
          </cell>
          <cell r="AA381">
            <v>948267</v>
          </cell>
        </row>
        <row r="382">
          <cell r="N382" t="str">
            <v>ENTIDAD PROMOTORA DE SALUD ORGANISMO COOPERAT</v>
          </cell>
          <cell r="AA382">
            <v>0</v>
          </cell>
        </row>
        <row r="383">
          <cell r="N383" t="e">
            <v>#N/A</v>
          </cell>
          <cell r="AA383">
            <v>0</v>
          </cell>
        </row>
        <row r="384">
          <cell r="N384" t="str">
            <v>ENTIDAD PROMOTORA DE SALUD ORGANISMO COOPERAT</v>
          </cell>
          <cell r="AA384">
            <v>0</v>
          </cell>
        </row>
        <row r="385">
          <cell r="N385" t="str">
            <v>ENTIDAD PROMOTORA DE SALUD ORGANISMO COOPERAT</v>
          </cell>
          <cell r="AA385">
            <v>0</v>
          </cell>
        </row>
        <row r="386">
          <cell r="N386" t="str">
            <v>ENTIDAD PROMOTORA DE SALUD ORGANISMO COOPERAT</v>
          </cell>
          <cell r="AA386">
            <v>0</v>
          </cell>
        </row>
        <row r="387">
          <cell r="N387" t="str">
            <v>SANITAS EPS</v>
          </cell>
          <cell r="AA387">
            <v>0</v>
          </cell>
        </row>
        <row r="388">
          <cell r="N388" t="str">
            <v>SANITAS EPS</v>
          </cell>
          <cell r="AA388">
            <v>64440</v>
          </cell>
        </row>
        <row r="389">
          <cell r="N389" t="str">
            <v>POSITIVA</v>
          </cell>
          <cell r="AA389">
            <v>0</v>
          </cell>
        </row>
        <row r="390">
          <cell r="N390" t="str">
            <v>POSITIVA</v>
          </cell>
          <cell r="AA390">
            <v>0</v>
          </cell>
        </row>
        <row r="391">
          <cell r="N391" t="str">
            <v>POSITIVA</v>
          </cell>
          <cell r="AA391">
            <v>0</v>
          </cell>
        </row>
        <row r="392">
          <cell r="N392" t="str">
            <v>POSITIVA</v>
          </cell>
          <cell r="AA392">
            <v>0</v>
          </cell>
        </row>
        <row r="393">
          <cell r="N393" t="str">
            <v>POSITIVA</v>
          </cell>
          <cell r="AA393">
            <v>0</v>
          </cell>
        </row>
        <row r="394">
          <cell r="N394" t="str">
            <v>POSITIVA</v>
          </cell>
          <cell r="AA394">
            <v>0</v>
          </cell>
        </row>
        <row r="395">
          <cell r="N395" t="str">
            <v>POSITIVA</v>
          </cell>
          <cell r="AA395">
            <v>0</v>
          </cell>
        </row>
        <row r="396">
          <cell r="N396" t="str">
            <v>POSITIVA</v>
          </cell>
          <cell r="AA396">
            <v>0</v>
          </cell>
        </row>
        <row r="397">
          <cell r="N397" t="str">
            <v>POSITIVA</v>
          </cell>
          <cell r="AA397">
            <v>0</v>
          </cell>
        </row>
        <row r="398">
          <cell r="N398" t="str">
            <v>POSITIVA</v>
          </cell>
          <cell r="AA398">
            <v>0</v>
          </cell>
        </row>
        <row r="399">
          <cell r="N399" t="str">
            <v>POSITIVA</v>
          </cell>
          <cell r="AA399">
            <v>0</v>
          </cell>
        </row>
        <row r="400">
          <cell r="N400" t="str">
            <v>POSITIVA</v>
          </cell>
          <cell r="AA400">
            <v>0</v>
          </cell>
        </row>
        <row r="401">
          <cell r="N401" t="str">
            <v>POSITIVA</v>
          </cell>
          <cell r="AA401">
            <v>0</v>
          </cell>
        </row>
        <row r="402">
          <cell r="N402" t="str">
            <v>POSITIVA</v>
          </cell>
          <cell r="AA402">
            <v>263000</v>
          </cell>
        </row>
        <row r="403">
          <cell r="N403" t="str">
            <v>POSITIVA</v>
          </cell>
          <cell r="AA403">
            <v>0</v>
          </cell>
        </row>
        <row r="404">
          <cell r="N404" t="str">
            <v>POSITIVA</v>
          </cell>
          <cell r="AA404">
            <v>1536000</v>
          </cell>
        </row>
        <row r="405">
          <cell r="N405" t="str">
            <v>POSITIVA</v>
          </cell>
          <cell r="AA405">
            <v>0</v>
          </cell>
        </row>
        <row r="406">
          <cell r="N406" t="str">
            <v>POSITIVA</v>
          </cell>
          <cell r="AA406">
            <v>0</v>
          </cell>
        </row>
        <row r="407">
          <cell r="N407" t="str">
            <v>POSITIVA</v>
          </cell>
          <cell r="AA407">
            <v>972800</v>
          </cell>
        </row>
        <row r="408">
          <cell r="N408" t="str">
            <v>POSITIVA</v>
          </cell>
          <cell r="AA408">
            <v>563200</v>
          </cell>
        </row>
        <row r="409">
          <cell r="N409" t="str">
            <v>FAMISANAR E.P.S.</v>
          </cell>
          <cell r="AA409">
            <v>0</v>
          </cell>
        </row>
        <row r="410">
          <cell r="N410" t="str">
            <v>FAMISANAR E.P.S.</v>
          </cell>
          <cell r="AA410">
            <v>502656</v>
          </cell>
        </row>
        <row r="411">
          <cell r="N411" t="str">
            <v>FAMISANAR E.P.S.</v>
          </cell>
          <cell r="AA411">
            <v>915957</v>
          </cell>
        </row>
        <row r="412">
          <cell r="N412" t="str">
            <v>FAMISANAR E.P.S.</v>
          </cell>
          <cell r="AA412">
            <v>686968</v>
          </cell>
        </row>
        <row r="413">
          <cell r="N413" t="str">
            <v>FAMISANAR E.P.S.</v>
          </cell>
          <cell r="AA413">
            <v>1030452</v>
          </cell>
        </row>
        <row r="414">
          <cell r="N414" t="str">
            <v>FAMISANAR E.P.S.</v>
          </cell>
          <cell r="AA414">
            <v>686968</v>
          </cell>
        </row>
        <row r="415">
          <cell r="N415" t="str">
            <v>SALUD TOTAL S.A.</v>
          </cell>
          <cell r="AA415">
            <v>0</v>
          </cell>
        </row>
        <row r="416">
          <cell r="N416" t="str">
            <v>SALUD TOTAL EPS</v>
          </cell>
          <cell r="AA416">
            <v>0</v>
          </cell>
        </row>
        <row r="417">
          <cell r="N417" t="str">
            <v>FAMISANAR E.P.S.</v>
          </cell>
          <cell r="AA417">
            <v>0</v>
          </cell>
        </row>
        <row r="418">
          <cell r="N418" t="str">
            <v>POSITIVA</v>
          </cell>
          <cell r="AA418">
            <v>38</v>
          </cell>
        </row>
        <row r="419">
          <cell r="N419" t="e">
            <v>#N/A</v>
          </cell>
          <cell r="AA419">
            <v>0</v>
          </cell>
        </row>
        <row r="420">
          <cell r="N420" t="str">
            <v>POSITIVA</v>
          </cell>
          <cell r="AA420">
            <v>0</v>
          </cell>
        </row>
        <row r="421">
          <cell r="N421" t="str">
            <v>SALUD TOTAL S.A.</v>
          </cell>
          <cell r="AA421">
            <v>0</v>
          </cell>
        </row>
        <row r="422">
          <cell r="N422" t="str">
            <v>POSITIVA</v>
          </cell>
          <cell r="AA422">
            <v>0</v>
          </cell>
        </row>
        <row r="423">
          <cell r="N423" t="str">
            <v>POSITIVA</v>
          </cell>
          <cell r="AA423">
            <v>0</v>
          </cell>
        </row>
        <row r="424">
          <cell r="N424" t="str">
            <v>POSITIVA</v>
          </cell>
          <cell r="AA424">
            <v>0</v>
          </cell>
        </row>
        <row r="425">
          <cell r="N425" t="str">
            <v>FAMISANAR E.P.S.</v>
          </cell>
          <cell r="AA425">
            <v>655633</v>
          </cell>
        </row>
        <row r="426">
          <cell r="N426" t="str">
            <v>POSITIVA</v>
          </cell>
          <cell r="AA426">
            <v>42960</v>
          </cell>
        </row>
        <row r="427">
          <cell r="N427" t="str">
            <v>SALUD TOTAL S.A.</v>
          </cell>
          <cell r="AA427">
            <v>116351</v>
          </cell>
        </row>
        <row r="428">
          <cell r="N428" t="str">
            <v>CAJA DE COMPENSACION FAMILIAR COMPENSAR</v>
          </cell>
          <cell r="AA428">
            <v>0</v>
          </cell>
        </row>
        <row r="429">
          <cell r="N429" t="str">
            <v>CAJA DE COMPENSACION FAMILIAR COMPENSAR</v>
          </cell>
          <cell r="AA429">
            <v>0</v>
          </cell>
        </row>
        <row r="430">
          <cell r="N430" t="str">
            <v>CAJA DE COMPENSACION FAMILIAR COMPENSAR</v>
          </cell>
          <cell r="AA430">
            <v>0</v>
          </cell>
        </row>
        <row r="431">
          <cell r="N431" t="str">
            <v>FAMISANAR E.P.S.</v>
          </cell>
          <cell r="AA431">
            <v>0</v>
          </cell>
        </row>
        <row r="432">
          <cell r="N432" t="str">
            <v>FAMISANAR E.P.S.</v>
          </cell>
          <cell r="AA432">
            <v>0</v>
          </cell>
        </row>
        <row r="433">
          <cell r="N433" t="str">
            <v>CRUZ BLANCA E.P.S. S.A.</v>
          </cell>
          <cell r="AA433">
            <v>37157</v>
          </cell>
        </row>
        <row r="434">
          <cell r="N434" t="str">
            <v>CRUZ BLANCA E.P.S. S.A.</v>
          </cell>
          <cell r="AA434">
            <v>111472</v>
          </cell>
        </row>
        <row r="435">
          <cell r="N435" t="str">
            <v>POSITIVA</v>
          </cell>
          <cell r="AA435">
            <v>314833</v>
          </cell>
        </row>
        <row r="436">
          <cell r="N436" t="str">
            <v>POSITIVA</v>
          </cell>
          <cell r="AA436">
            <v>188900</v>
          </cell>
        </row>
        <row r="437">
          <cell r="N437" t="str">
            <v>CRUZ BLANCA E.P.S. S.A.</v>
          </cell>
          <cell r="AA437">
            <v>423767</v>
          </cell>
        </row>
        <row r="438">
          <cell r="N438" t="str">
            <v>CAJA DE COMPENSACION FAMILIAR COMPENSAR</v>
          </cell>
          <cell r="AA438">
            <v>0</v>
          </cell>
        </row>
        <row r="439">
          <cell r="N439" t="str">
            <v>CAJA DE COMPENSACION FAMILIAR COMPENSAR</v>
          </cell>
          <cell r="AA439">
            <v>0</v>
          </cell>
        </row>
        <row r="440">
          <cell r="N440" t="str">
            <v>CAJA DE COMPENSACION FAMILIAR COMPENSAR</v>
          </cell>
          <cell r="AA440">
            <v>0</v>
          </cell>
        </row>
        <row r="441">
          <cell r="N441" t="str">
            <v>CAJA DE COMPENSACION FAMILIAR COMPENSAR</v>
          </cell>
          <cell r="AA441">
            <v>0</v>
          </cell>
        </row>
        <row r="442">
          <cell r="N442" t="str">
            <v>FAMISANAR E.P.S.</v>
          </cell>
          <cell r="AA442">
            <v>0</v>
          </cell>
        </row>
        <row r="443">
          <cell r="N443" t="str">
            <v>FAMISANAR E.P.S.</v>
          </cell>
          <cell r="AA443">
            <v>0</v>
          </cell>
        </row>
        <row r="444">
          <cell r="N444" t="str">
            <v>POSITIVA</v>
          </cell>
          <cell r="AA444">
            <v>0</v>
          </cell>
        </row>
        <row r="445">
          <cell r="N445" t="str">
            <v>FAMISANAR E.P.S.</v>
          </cell>
          <cell r="AA445">
            <v>0</v>
          </cell>
        </row>
        <row r="446">
          <cell r="N446" t="str">
            <v>FAMISANAR E.P.S.</v>
          </cell>
          <cell r="AA446">
            <v>0</v>
          </cell>
        </row>
        <row r="447">
          <cell r="N447" t="e">
            <v>#N/A</v>
          </cell>
          <cell r="AA447">
            <v>0</v>
          </cell>
        </row>
        <row r="448">
          <cell r="N448" t="str">
            <v>POSITIVA</v>
          </cell>
          <cell r="AA448">
            <v>0</v>
          </cell>
        </row>
        <row r="449">
          <cell r="N449" t="str">
            <v>CRUZ BLANCA E.P.S. S.A.</v>
          </cell>
          <cell r="AA449">
            <v>44700</v>
          </cell>
        </row>
        <row r="450">
          <cell r="N450" t="str">
            <v>CRUZ BLANCA E.P.S. S.A.</v>
          </cell>
          <cell r="AA450">
            <v>491700</v>
          </cell>
        </row>
        <row r="451">
          <cell r="N451" t="str">
            <v>COMPENSAR EPS</v>
          </cell>
          <cell r="AA451">
            <v>0</v>
          </cell>
        </row>
        <row r="452">
          <cell r="N452" t="str">
            <v>FAMISANAR E.P.S.</v>
          </cell>
          <cell r="AA452">
            <v>82760</v>
          </cell>
        </row>
        <row r="453">
          <cell r="N453" t="str">
            <v>COMPENSAR EPS</v>
          </cell>
          <cell r="AA453">
            <v>0</v>
          </cell>
        </row>
        <row r="454">
          <cell r="N454" t="str">
            <v>ENTIDAD PROMOTORA DE SALUD SANITAS S.A. EPS</v>
          </cell>
          <cell r="AA454">
            <v>0</v>
          </cell>
        </row>
        <row r="455">
          <cell r="N455" t="str">
            <v>CAFESALUD E.P.S.</v>
          </cell>
          <cell r="AA455">
            <v>0</v>
          </cell>
        </row>
        <row r="456">
          <cell r="N456" t="str">
            <v>ENTIDAD PROMOTORA DE SALUD ORGANISMO COOPERAT</v>
          </cell>
          <cell r="AA456">
            <v>490400</v>
          </cell>
        </row>
        <row r="457">
          <cell r="N457" t="str">
            <v>NUEVA EMPRESA PROMOTORA DE SALUD S.A</v>
          </cell>
          <cell r="AA457">
            <v>0</v>
          </cell>
        </row>
        <row r="458">
          <cell r="N458" t="str">
            <v>NUEVA EMPRESA PROMOTORA DE SALUD S.A</v>
          </cell>
          <cell r="AA458">
            <v>0</v>
          </cell>
        </row>
        <row r="459">
          <cell r="N459" t="str">
            <v>NUEVA EMPRESA PROMOTORA DE SALUD S.A</v>
          </cell>
          <cell r="AA459">
            <v>0</v>
          </cell>
        </row>
        <row r="460">
          <cell r="N460" t="str">
            <v>NUEVA EMPRESA PROMOTORA DE SALUD S.A</v>
          </cell>
          <cell r="AA460">
            <v>0</v>
          </cell>
        </row>
        <row r="461">
          <cell r="N461" t="str">
            <v>NUEVA EMPRESA PROMOTORA DE SALUD S.A</v>
          </cell>
          <cell r="AA461">
            <v>-49308</v>
          </cell>
        </row>
        <row r="462">
          <cell r="N462" t="str">
            <v>NUEVA EMPRESA PROMOTORA DE SALUD S.A</v>
          </cell>
          <cell r="AA462">
            <v>0</v>
          </cell>
        </row>
        <row r="463">
          <cell r="N463" t="str">
            <v>FAMISANAR E.P.S.</v>
          </cell>
          <cell r="AA463">
            <v>0</v>
          </cell>
        </row>
        <row r="464">
          <cell r="N464" t="str">
            <v>FAMISANAR E.P.S.</v>
          </cell>
          <cell r="AA464">
            <v>3834230</v>
          </cell>
        </row>
        <row r="465">
          <cell r="N465" t="str">
            <v>FAMISANAR E.P.S.</v>
          </cell>
          <cell r="AA465">
            <v>0</v>
          </cell>
        </row>
        <row r="466">
          <cell r="N466" t="str">
            <v>FAMISANAR E.P.S.</v>
          </cell>
          <cell r="AA466">
            <v>0</v>
          </cell>
        </row>
        <row r="467">
          <cell r="N467" t="str">
            <v>FAMISANAR E.P.S.</v>
          </cell>
          <cell r="AA467">
            <v>0</v>
          </cell>
        </row>
        <row r="468">
          <cell r="N468" t="str">
            <v>FAMISANAR E.P.S.</v>
          </cell>
          <cell r="AA468">
            <v>0</v>
          </cell>
        </row>
        <row r="469">
          <cell r="N469" t="str">
            <v>FAMISANAR E.P.S.</v>
          </cell>
          <cell r="AA469">
            <v>0</v>
          </cell>
        </row>
        <row r="470">
          <cell r="N470" t="str">
            <v>FAMISANAR E.P.S.</v>
          </cell>
          <cell r="AA470">
            <v>0</v>
          </cell>
        </row>
        <row r="471">
          <cell r="N471" t="str">
            <v>FAMISANAR E.P.S.</v>
          </cell>
          <cell r="AA471">
            <v>0</v>
          </cell>
        </row>
        <row r="472">
          <cell r="N472" t="str">
            <v>FAMISANAR E.P.S.</v>
          </cell>
          <cell r="AA472">
            <v>0</v>
          </cell>
        </row>
        <row r="473">
          <cell r="N473" t="str">
            <v>FAMISANAR E.P.S.</v>
          </cell>
          <cell r="AA473">
            <v>0</v>
          </cell>
        </row>
        <row r="474">
          <cell r="N474" t="str">
            <v>FAMISANAR E.P.S.</v>
          </cell>
          <cell r="AA474">
            <v>0</v>
          </cell>
        </row>
        <row r="475">
          <cell r="N475" t="str">
            <v>FAMISANAR E.P.S.</v>
          </cell>
          <cell r="AA475">
            <v>0</v>
          </cell>
        </row>
        <row r="476">
          <cell r="N476" t="str">
            <v>FAMISANAR E.P.S.</v>
          </cell>
          <cell r="AA476">
            <v>0</v>
          </cell>
        </row>
        <row r="477">
          <cell r="N477" t="str">
            <v>FAMISANAR E.P.S.</v>
          </cell>
          <cell r="AA477">
            <v>0</v>
          </cell>
        </row>
        <row r="478">
          <cell r="N478" t="str">
            <v>FAMISANAR E.P.S.</v>
          </cell>
          <cell r="AA478">
            <v>0</v>
          </cell>
        </row>
        <row r="479">
          <cell r="N479" t="str">
            <v>FAMISANAR E.P.S.</v>
          </cell>
          <cell r="AA479">
            <v>0</v>
          </cell>
        </row>
        <row r="480">
          <cell r="N480" t="str">
            <v>FAMISANAR E.P.S.</v>
          </cell>
          <cell r="AA480">
            <v>0</v>
          </cell>
        </row>
        <row r="481">
          <cell r="N481" t="str">
            <v>FAMISANAR E.P.S.</v>
          </cell>
          <cell r="AA481">
            <v>0</v>
          </cell>
        </row>
        <row r="482">
          <cell r="N482" t="str">
            <v>FAMISANAR E.P.S.</v>
          </cell>
          <cell r="AA482">
            <v>0</v>
          </cell>
        </row>
        <row r="483">
          <cell r="N483" t="str">
            <v>FAMISANAR E.P.S.</v>
          </cell>
          <cell r="AA483">
            <v>0</v>
          </cell>
        </row>
        <row r="484">
          <cell r="N484" t="str">
            <v>FAMISANAR E.P.S.</v>
          </cell>
          <cell r="AA484">
            <v>0</v>
          </cell>
        </row>
        <row r="485">
          <cell r="N485" t="str">
            <v>FAMISANAR E.P.S.</v>
          </cell>
          <cell r="AA485">
            <v>0</v>
          </cell>
        </row>
        <row r="486">
          <cell r="N486" t="str">
            <v>FAMISANAR E.P.S.</v>
          </cell>
          <cell r="AA486">
            <v>0</v>
          </cell>
        </row>
        <row r="487">
          <cell r="N487" t="str">
            <v>FAMISANAR E.P.S.</v>
          </cell>
          <cell r="AA487">
            <v>0</v>
          </cell>
        </row>
        <row r="488">
          <cell r="N488" t="str">
            <v>FAMISANAR E.P.S.</v>
          </cell>
          <cell r="AA488">
            <v>472267</v>
          </cell>
        </row>
        <row r="489">
          <cell r="N489" t="str">
            <v>ENTIDAD PROMOTORA DE SALUD ORGANISMO COOPERAT</v>
          </cell>
          <cell r="AA489">
            <v>0</v>
          </cell>
        </row>
        <row r="490">
          <cell r="N490" t="str">
            <v>FAMISANAR E.P.S.</v>
          </cell>
          <cell r="AA490">
            <v>0</v>
          </cell>
        </row>
        <row r="491">
          <cell r="N491" t="str">
            <v>FAMISANAR E.P.S.</v>
          </cell>
          <cell r="AA491">
            <v>0</v>
          </cell>
        </row>
        <row r="492">
          <cell r="N492" t="str">
            <v>ENTIDAD PROMOTORA DE SALUD SANITAS S.A. EPS</v>
          </cell>
          <cell r="AA492">
            <v>0</v>
          </cell>
        </row>
        <row r="493">
          <cell r="N493" t="str">
            <v>ENTIDAD PROMOTORA DE SALUD SANITAS S.A. EPS</v>
          </cell>
          <cell r="AA493">
            <v>0</v>
          </cell>
        </row>
        <row r="494">
          <cell r="N494" t="str">
            <v>FAMISANAR E.P.S.</v>
          </cell>
          <cell r="AA494">
            <v>0</v>
          </cell>
        </row>
        <row r="495">
          <cell r="N495" t="str">
            <v>FAMISANAR E.P.S.</v>
          </cell>
          <cell r="AA495">
            <v>0</v>
          </cell>
        </row>
        <row r="496">
          <cell r="N496" t="str">
            <v>FAMISANAR E.P.S.</v>
          </cell>
          <cell r="AA496">
            <v>0</v>
          </cell>
        </row>
        <row r="497">
          <cell r="N497" t="str">
            <v>FAMISANAR E.P.S.</v>
          </cell>
          <cell r="AA497">
            <v>191676</v>
          </cell>
        </row>
        <row r="498">
          <cell r="N498" t="str">
            <v>CAFESALUD E.P.S.</v>
          </cell>
          <cell r="AA498">
            <v>0</v>
          </cell>
        </row>
        <row r="499">
          <cell r="N499" t="str">
            <v>NUEVA EMPRESA PROMOTORA DE SALUD S.A</v>
          </cell>
          <cell r="AA499">
            <v>0</v>
          </cell>
        </row>
        <row r="500">
          <cell r="N500" t="str">
            <v>NUEVA EMPRESA PROMOTORA DE SALUD S.A</v>
          </cell>
          <cell r="AA500">
            <v>0</v>
          </cell>
        </row>
        <row r="501">
          <cell r="N501" t="str">
            <v>POSITIVA</v>
          </cell>
          <cell r="AA501">
            <v>0</v>
          </cell>
        </row>
        <row r="502">
          <cell r="N502" t="str">
            <v>NUEVA EMPRESA PROMOTORA DE SALUD S.A</v>
          </cell>
          <cell r="AA502">
            <v>0</v>
          </cell>
        </row>
        <row r="503">
          <cell r="N503" t="str">
            <v>EPS Y MEDICINA PREPAGADA SURAMERICANA S.A</v>
          </cell>
          <cell r="AA503">
            <v>0</v>
          </cell>
        </row>
        <row r="504">
          <cell r="N504" t="e">
            <v>#N/A</v>
          </cell>
          <cell r="AA504">
            <v>0</v>
          </cell>
        </row>
        <row r="505">
          <cell r="N505" t="str">
            <v>ENTIDAD PROMOTORA DE SALUD SANITAS S.A. EPS</v>
          </cell>
          <cell r="AA505">
            <v>49691</v>
          </cell>
        </row>
        <row r="506">
          <cell r="N506" t="str">
            <v>FAMISANAR E.P.S.</v>
          </cell>
          <cell r="AA506">
            <v>0</v>
          </cell>
        </row>
        <row r="507">
          <cell r="N507" t="str">
            <v>FAMISANAR E.P.S.</v>
          </cell>
          <cell r="AA507">
            <v>0</v>
          </cell>
        </row>
        <row r="508">
          <cell r="N508" t="str">
            <v>FAMISANAR E.P.S.</v>
          </cell>
          <cell r="AA508">
            <v>0</v>
          </cell>
        </row>
        <row r="509">
          <cell r="N509" t="str">
            <v>FAMISANAR E.P.S.</v>
          </cell>
          <cell r="AA509">
            <v>0</v>
          </cell>
        </row>
        <row r="510">
          <cell r="N510" t="str">
            <v>FAMISANAR E.P.S.</v>
          </cell>
          <cell r="AA510">
            <v>0</v>
          </cell>
        </row>
        <row r="511">
          <cell r="N511" t="str">
            <v>CAJA DE COMPENSACION FAMILIAR COMPENSAR</v>
          </cell>
          <cell r="AA511">
            <v>0</v>
          </cell>
        </row>
        <row r="512">
          <cell r="N512" t="str">
            <v>CAJA DE COMPENSACION FAMILIAR COMPENSAR</v>
          </cell>
          <cell r="AA512">
            <v>0</v>
          </cell>
        </row>
        <row r="513">
          <cell r="N513" t="str">
            <v>CAJA DE COMPENSACION FAMILIAR COMPENSAR</v>
          </cell>
          <cell r="AA513">
            <v>129028</v>
          </cell>
        </row>
        <row r="514">
          <cell r="N514" t="str">
            <v>POSITIVA</v>
          </cell>
          <cell r="AA514">
            <v>0</v>
          </cell>
        </row>
        <row r="515">
          <cell r="N515" t="str">
            <v>POSITIVA</v>
          </cell>
          <cell r="AA515">
            <v>0</v>
          </cell>
        </row>
        <row r="516">
          <cell r="N516" t="str">
            <v>CAJA DE COMPENSACION FAMILIAR COMPENSAR</v>
          </cell>
          <cell r="AA516">
            <v>0</v>
          </cell>
        </row>
        <row r="517">
          <cell r="N517" t="str">
            <v>CAJA DE COMPENSACION FAMILIAR COMPENSAR</v>
          </cell>
          <cell r="AA517">
            <v>-41067</v>
          </cell>
        </row>
        <row r="518">
          <cell r="N518" t="str">
            <v>CAJA DE COMPENSACION FAMILIAR COMPENSAR</v>
          </cell>
          <cell r="AA518">
            <v>0</v>
          </cell>
        </row>
        <row r="519">
          <cell r="N519" t="str">
            <v>CAJA DE COMPENSACION FAMILIAR COMPENSAR</v>
          </cell>
          <cell r="AA519">
            <v>0</v>
          </cell>
        </row>
        <row r="520">
          <cell r="N520" t="str">
            <v>CAJA DE COMPENSACION FAMILIAR COMPENSAR</v>
          </cell>
          <cell r="AA520">
            <v>0</v>
          </cell>
        </row>
        <row r="521">
          <cell r="N521" t="str">
            <v>CAJA DE COMPENSACION FAMILIAR COMPENSAR</v>
          </cell>
          <cell r="AA521">
            <v>0</v>
          </cell>
        </row>
        <row r="522">
          <cell r="N522" t="str">
            <v>FAMISANAR E.P.S.</v>
          </cell>
          <cell r="AA522">
            <v>0</v>
          </cell>
        </row>
        <row r="523">
          <cell r="N523" t="str">
            <v>FAMISANAR E.P.S.</v>
          </cell>
          <cell r="AA523">
            <v>209944</v>
          </cell>
        </row>
        <row r="524">
          <cell r="N524" t="str">
            <v>SALUD TOTAL S.A.</v>
          </cell>
          <cell r="AA524">
            <v>0</v>
          </cell>
        </row>
        <row r="525">
          <cell r="N525" t="str">
            <v>SALUD TOTAL S.A.</v>
          </cell>
          <cell r="AA525">
            <v>0</v>
          </cell>
        </row>
        <row r="526">
          <cell r="N526" t="str">
            <v>CAFESALUD E.P.S.</v>
          </cell>
          <cell r="AA526">
            <v>0</v>
          </cell>
        </row>
        <row r="527">
          <cell r="N527" t="str">
            <v>ENTIDAD PROMOTORA DE SALUD ORGANISMO COOPERAT</v>
          </cell>
          <cell r="AA527">
            <v>0</v>
          </cell>
        </row>
        <row r="528">
          <cell r="N528" t="str">
            <v>NUEVA EMPRESA PROMOTORA DE SALUD S.A</v>
          </cell>
          <cell r="AA528">
            <v>0</v>
          </cell>
        </row>
        <row r="529">
          <cell r="N529" t="str">
            <v>FAMISANAR E.P.S.</v>
          </cell>
          <cell r="AA529">
            <v>134673</v>
          </cell>
        </row>
        <row r="530">
          <cell r="N530" t="str">
            <v>COOMEVA ENTIDAD PROMOTORA DE SALUD S.A.</v>
          </cell>
          <cell r="AA530">
            <v>0</v>
          </cell>
        </row>
        <row r="531">
          <cell r="N531" t="str">
            <v>COOMEVA ENTIDAD PROMOTORA DE SALUD S.A.</v>
          </cell>
          <cell r="AA531">
            <v>0</v>
          </cell>
        </row>
        <row r="532">
          <cell r="N532" t="str">
            <v>FAMISANAR E.P.S.</v>
          </cell>
          <cell r="AA532">
            <v>108028</v>
          </cell>
        </row>
        <row r="533">
          <cell r="N533" t="str">
            <v>NUEVA EMPRESA PROMOTORA DE SALUD S.A</v>
          </cell>
          <cell r="AA533">
            <v>0</v>
          </cell>
        </row>
        <row r="534">
          <cell r="N534" t="str">
            <v>ENTIDAD PROMOTORA DE SALUD SANITAS S.A. EPS</v>
          </cell>
          <cell r="AA534">
            <v>375463</v>
          </cell>
        </row>
        <row r="535">
          <cell r="N535" t="str">
            <v>SANITAS EPS</v>
          </cell>
          <cell r="AA535">
            <v>864310</v>
          </cell>
        </row>
        <row r="536">
          <cell r="N536" t="str">
            <v>ENTIDAD PROMOTORA DE SALUD SANITAS S.A. EPS</v>
          </cell>
          <cell r="AA536">
            <v>0</v>
          </cell>
        </row>
        <row r="537">
          <cell r="N537" t="str">
            <v>ENTIDAD PROMOTORA DE SALUD SANITAS S.A. EPS</v>
          </cell>
          <cell r="AA537">
            <v>0</v>
          </cell>
        </row>
        <row r="538">
          <cell r="N538" t="str">
            <v>CRUZ BLANCA E.P.S. S.A.</v>
          </cell>
          <cell r="AA538">
            <v>0</v>
          </cell>
        </row>
        <row r="539">
          <cell r="N539" t="str">
            <v>CRUZ BLANCA E.P.S. S.A.</v>
          </cell>
          <cell r="AA539">
            <v>26702</v>
          </cell>
        </row>
        <row r="540">
          <cell r="N540" t="str">
            <v>POSITIVA</v>
          </cell>
          <cell r="AA540">
            <v>0</v>
          </cell>
        </row>
        <row r="541">
          <cell r="N541" t="str">
            <v>SALUD TOTAL S.A.</v>
          </cell>
          <cell r="AA541">
            <v>150360</v>
          </cell>
        </row>
        <row r="542">
          <cell r="N542" t="str">
            <v>EPS Y MEDICINA PREPAGADA SURAMERICANA S.A</v>
          </cell>
          <cell r="AA542">
            <v>48180</v>
          </cell>
        </row>
        <row r="543">
          <cell r="N543" t="str">
            <v>EPS Y MEDICINA PREPAGADA SURAMERICANA S.A</v>
          </cell>
          <cell r="AA543">
            <v>-21531</v>
          </cell>
        </row>
        <row r="544">
          <cell r="N544" t="str">
            <v>EPS Y MEDICINA PREPAGADA SURAMERICANA S.A</v>
          </cell>
          <cell r="AA544">
            <v>0</v>
          </cell>
        </row>
        <row r="545">
          <cell r="N545" t="str">
            <v>EPS Y MEDICINA PREPAGADA SURAMERICANA S.A</v>
          </cell>
          <cell r="AA545">
            <v>0</v>
          </cell>
        </row>
        <row r="546">
          <cell r="N546" t="str">
            <v>EPS Y MEDICINA PREPAGADA SURAMERICANA S.A</v>
          </cell>
          <cell r="AA546">
            <v>0</v>
          </cell>
        </row>
        <row r="547">
          <cell r="N547" t="str">
            <v>EPS Y MEDICINA PREPAGADA SURAMERICANA S.A</v>
          </cell>
          <cell r="AA547">
            <v>0</v>
          </cell>
        </row>
        <row r="548">
          <cell r="N548" t="str">
            <v>FAMISANAR E.P.S.</v>
          </cell>
          <cell r="AA548">
            <v>0</v>
          </cell>
        </row>
        <row r="549">
          <cell r="N549" t="str">
            <v>FAMISANAR E.P.S.</v>
          </cell>
          <cell r="AA549">
            <v>0</v>
          </cell>
        </row>
        <row r="550">
          <cell r="N550" t="str">
            <v>FAMISANAR E.P.S.</v>
          </cell>
          <cell r="AA550">
            <v>0</v>
          </cell>
        </row>
        <row r="551">
          <cell r="N551" t="str">
            <v>POSITIVA</v>
          </cell>
          <cell r="AA551">
            <v>0</v>
          </cell>
        </row>
        <row r="552">
          <cell r="N552" t="str">
            <v>POSITIVA</v>
          </cell>
          <cell r="AA552">
            <v>74600</v>
          </cell>
        </row>
        <row r="553">
          <cell r="N553" t="str">
            <v>CAFESALUD E.P.S.</v>
          </cell>
          <cell r="AA553">
            <v>680400</v>
          </cell>
        </row>
        <row r="554">
          <cell r="N554" t="str">
            <v>ALIANSALUD EPS</v>
          </cell>
          <cell r="AA554">
            <v>0</v>
          </cell>
        </row>
        <row r="555">
          <cell r="N555" t="str">
            <v>CRUZ BLANCA E.P.S. S.A.</v>
          </cell>
          <cell r="AA555">
            <v>0</v>
          </cell>
        </row>
        <row r="556">
          <cell r="N556" t="str">
            <v>CRUZ BLANCA E.P.S.</v>
          </cell>
          <cell r="AA556">
            <v>0</v>
          </cell>
        </row>
        <row r="557">
          <cell r="N557" t="str">
            <v>COOMEVA EPS</v>
          </cell>
          <cell r="AA557">
            <v>0</v>
          </cell>
        </row>
        <row r="558">
          <cell r="N558" t="str">
            <v>ENTIDAD PROMOTORA DE SALUD ORGANISMO COOPERAT</v>
          </cell>
          <cell r="AA558">
            <v>0</v>
          </cell>
        </row>
        <row r="559">
          <cell r="N559" t="str">
            <v>ENTIDAD PROMOTORA DE SALUD ORGANISMO COOPERAT</v>
          </cell>
          <cell r="AA559">
            <v>474246</v>
          </cell>
        </row>
        <row r="560">
          <cell r="N560" t="str">
            <v>FAMISANAR E.P.S.</v>
          </cell>
          <cell r="AA560">
            <v>0</v>
          </cell>
        </row>
        <row r="561">
          <cell r="N561" t="str">
            <v>FAMISANAR E.P.S.</v>
          </cell>
          <cell r="AA561">
            <v>0</v>
          </cell>
        </row>
        <row r="562">
          <cell r="N562" t="str">
            <v>CRUZ BLANCA E.P.S. S.A.</v>
          </cell>
          <cell r="AA562">
            <v>0</v>
          </cell>
        </row>
        <row r="563">
          <cell r="N563" t="str">
            <v>CAJA DE COMPENSACION FAMILIAR COMPENSAR</v>
          </cell>
          <cell r="AA563">
            <v>0</v>
          </cell>
        </row>
        <row r="564">
          <cell r="N564" t="e">
            <v>#N/A</v>
          </cell>
          <cell r="AA564">
            <v>0</v>
          </cell>
        </row>
        <row r="565">
          <cell r="N565" t="e">
            <v>#N/A</v>
          </cell>
          <cell r="AA565">
            <v>0</v>
          </cell>
        </row>
        <row r="566">
          <cell r="N566" t="e">
            <v>#N/A</v>
          </cell>
          <cell r="AA566">
            <v>0</v>
          </cell>
        </row>
        <row r="567">
          <cell r="N567" t="str">
            <v>FAMISANAR E.P.S.</v>
          </cell>
          <cell r="AA567">
            <v>0</v>
          </cell>
        </row>
        <row r="568">
          <cell r="N568" t="str">
            <v>COOMEVA ENTIDAD PROMOTORA DE SALUD S.A.</v>
          </cell>
          <cell r="AA568">
            <v>0</v>
          </cell>
        </row>
        <row r="569">
          <cell r="N569" t="str">
            <v>COOMEVA ENTIDAD PROMOTORA DE SALUD S.A.</v>
          </cell>
          <cell r="AA569">
            <v>0</v>
          </cell>
        </row>
        <row r="570">
          <cell r="N570" t="str">
            <v>CAJA DE COMPENSACION FAMILIAR COMPENSAR</v>
          </cell>
          <cell r="AA570">
            <v>0</v>
          </cell>
        </row>
        <row r="571">
          <cell r="N571" t="str">
            <v>FAMISANAR E.P.S.</v>
          </cell>
          <cell r="AA571">
            <v>555533</v>
          </cell>
        </row>
        <row r="572">
          <cell r="N572" t="str">
            <v>CRUZ BLANCA E.P.S. S.A.</v>
          </cell>
          <cell r="AA572">
            <v>615209</v>
          </cell>
        </row>
        <row r="573">
          <cell r="N573" t="str">
            <v>CRUZ BLANCA E.P.S. S.A.</v>
          </cell>
          <cell r="AA573">
            <v>615209</v>
          </cell>
        </row>
        <row r="574">
          <cell r="N574" t="str">
            <v>CRUZ BLANCA E.P.S. S.A.</v>
          </cell>
          <cell r="AA574">
            <v>555670</v>
          </cell>
        </row>
        <row r="575">
          <cell r="N575" t="str">
            <v>CRUZ BLANCA E.P.S. S.A.</v>
          </cell>
          <cell r="AA575">
            <v>615209</v>
          </cell>
        </row>
        <row r="576">
          <cell r="N576" t="str">
            <v>CRUZ BLANCA E.P.S. S.A.</v>
          </cell>
          <cell r="AA576">
            <v>595363</v>
          </cell>
        </row>
        <row r="577">
          <cell r="N577" t="str">
            <v>CRUZ BLANCA E.P.S. S.A.</v>
          </cell>
          <cell r="AA577">
            <v>616000</v>
          </cell>
        </row>
        <row r="578">
          <cell r="N578" t="str">
            <v>CRUZ BLANCA E.P.S. S.A.</v>
          </cell>
          <cell r="AA578">
            <v>616000</v>
          </cell>
        </row>
        <row r="579">
          <cell r="N579" t="str">
            <v>CRUZ BLANCA E.P.S. S.A.</v>
          </cell>
          <cell r="AA579">
            <v>615209</v>
          </cell>
        </row>
        <row r="580">
          <cell r="N580" t="str">
            <v>CRUZ BLANCA E.P.S. S.A.</v>
          </cell>
          <cell r="AA580">
            <v>636533</v>
          </cell>
        </row>
        <row r="581">
          <cell r="N581" t="str">
            <v>CRUZ BLANCA E.P.S. S.A.</v>
          </cell>
          <cell r="AA581">
            <v>616000</v>
          </cell>
        </row>
        <row r="582">
          <cell r="N582" t="str">
            <v>CRUZ BLANCA E.P.S. S.A.</v>
          </cell>
          <cell r="AA582">
            <v>615209</v>
          </cell>
        </row>
        <row r="583">
          <cell r="N583" t="str">
            <v>CRUZ BLANCA E.P.S. S.A.</v>
          </cell>
          <cell r="AA583">
            <v>615687</v>
          </cell>
        </row>
        <row r="584">
          <cell r="N584" t="str">
            <v>CRUZ BLANCA E.P.S. S.A.</v>
          </cell>
          <cell r="AA584">
            <v>636534</v>
          </cell>
        </row>
        <row r="585">
          <cell r="N585" t="str">
            <v>CRUZ BLANCA E.P.S. S.A.</v>
          </cell>
          <cell r="AA585">
            <v>616000</v>
          </cell>
        </row>
        <row r="586">
          <cell r="N586" t="str">
            <v>CRUZ BLANCA E.P.S. S.A.</v>
          </cell>
          <cell r="AA586">
            <v>601395</v>
          </cell>
        </row>
        <row r="587">
          <cell r="N587" t="str">
            <v>CRUZ BLANCA E.P.S. S.A.</v>
          </cell>
          <cell r="AA587">
            <v>21480</v>
          </cell>
        </row>
        <row r="588">
          <cell r="N588" t="str">
            <v>CRUZ BLANCA E.P.S. S.A.</v>
          </cell>
          <cell r="AA588">
            <v>644400</v>
          </cell>
        </row>
        <row r="589">
          <cell r="N589" t="str">
            <v>CRUZ BLANCA E.P.S. S.A.</v>
          </cell>
          <cell r="AA589">
            <v>644400</v>
          </cell>
        </row>
        <row r="590">
          <cell r="N590" t="str">
            <v>CRUZ BLANCA E.P.S.</v>
          </cell>
          <cell r="AA590">
            <v>665880</v>
          </cell>
        </row>
        <row r="591">
          <cell r="N591" t="str">
            <v>CRUZ BLANCA E.P.S. S.A.</v>
          </cell>
          <cell r="AA591">
            <v>644400</v>
          </cell>
        </row>
        <row r="592">
          <cell r="N592" t="str">
            <v>CRUZ BLANCA E.P.S. S.A.</v>
          </cell>
          <cell r="AA592">
            <v>5372251</v>
          </cell>
        </row>
        <row r="593">
          <cell r="N593" t="str">
            <v>CAJA DE COMPENSACION FAMILIAR COMPENSAR</v>
          </cell>
          <cell r="AA593">
            <v>50447</v>
          </cell>
        </row>
        <row r="594">
          <cell r="N594" t="str">
            <v>FAMISANAR E.P.S.</v>
          </cell>
          <cell r="AA594">
            <v>0</v>
          </cell>
        </row>
        <row r="595">
          <cell r="N595" t="str">
            <v>FAMISANAR E.P.S.</v>
          </cell>
          <cell r="AA595">
            <v>0</v>
          </cell>
        </row>
        <row r="596">
          <cell r="N596" t="str">
            <v>CRUZ BLANCA E.P.S. S.A.</v>
          </cell>
          <cell r="AA596">
            <v>0</v>
          </cell>
        </row>
        <row r="597">
          <cell r="N597" t="str">
            <v>CRUZ BLANCA E.P.S. S.A.</v>
          </cell>
          <cell r="AA597">
            <v>0</v>
          </cell>
        </row>
        <row r="598">
          <cell r="N598" t="str">
            <v>CRUZ BLANCA E.P.S. S.A.</v>
          </cell>
          <cell r="AA598">
            <v>0</v>
          </cell>
        </row>
        <row r="599">
          <cell r="N599" t="str">
            <v>EPS Y MEDICINA PREPAGADA SURAMERICANA S.A</v>
          </cell>
          <cell r="AA599">
            <v>0</v>
          </cell>
        </row>
        <row r="600">
          <cell r="N600" t="str">
            <v>CAJA DE COMPENSACION FAMILIAR COMPENSAR</v>
          </cell>
          <cell r="AA600">
            <v>0</v>
          </cell>
        </row>
        <row r="601">
          <cell r="N601" t="str">
            <v>CAJA DE COMPENSACION FAMILIAR COMPENSAR</v>
          </cell>
          <cell r="AA601">
            <v>417900</v>
          </cell>
        </row>
        <row r="602">
          <cell r="N602" t="str">
            <v>CAJA DE COMPENSACION FAMILIAR COMPENSAR</v>
          </cell>
          <cell r="AA602">
            <v>4179000</v>
          </cell>
        </row>
        <row r="603">
          <cell r="N603" t="e">
            <v>#N/A</v>
          </cell>
          <cell r="AA603">
            <v>4318300</v>
          </cell>
        </row>
        <row r="604">
          <cell r="N604" t="str">
            <v>CAJA DE COMPENSACION FAMILIAR COMPENSAR</v>
          </cell>
          <cell r="AA604">
            <v>4179000</v>
          </cell>
        </row>
        <row r="605">
          <cell r="N605" t="str">
            <v>CAJA DE COMPENSACION FAMILIAR COMPENSAR</v>
          </cell>
          <cell r="AA605">
            <v>0</v>
          </cell>
        </row>
        <row r="606">
          <cell r="N606" t="str">
            <v>CAJA DE COMPENSACION FAMILIAR COMPENSAR</v>
          </cell>
          <cell r="AA606">
            <v>0</v>
          </cell>
        </row>
        <row r="607">
          <cell r="N607" t="str">
            <v>CAJA DE COMPENSACION FAMILIAR COMPENSAR</v>
          </cell>
          <cell r="AA607">
            <v>0</v>
          </cell>
        </row>
        <row r="608">
          <cell r="N608" t="str">
            <v>CAJA DE COMPENSACION FAMILIAR COMPENSAR</v>
          </cell>
          <cell r="AA608">
            <v>0</v>
          </cell>
        </row>
        <row r="609">
          <cell r="N609" t="str">
            <v>NUEVA EMPRESA PROMOTORA DE SALUD S.A</v>
          </cell>
          <cell r="AA609">
            <v>0</v>
          </cell>
        </row>
        <row r="610">
          <cell r="N610" t="str">
            <v>NUEVA EMPRESA PROMOTORA DE SALUD S.A</v>
          </cell>
          <cell r="AA610">
            <v>0</v>
          </cell>
        </row>
        <row r="611">
          <cell r="N611" t="str">
            <v>NUEVA EMPRESA PROMOTORA DE SALUD S.A</v>
          </cell>
          <cell r="AA611">
            <v>0</v>
          </cell>
        </row>
        <row r="612">
          <cell r="N612" t="str">
            <v>FAMISANAR E.P.S.</v>
          </cell>
          <cell r="AA612">
            <v>0</v>
          </cell>
        </row>
        <row r="613">
          <cell r="N613" t="str">
            <v>FAMISANAR E.P.S.</v>
          </cell>
          <cell r="AA613">
            <v>0</v>
          </cell>
        </row>
        <row r="614">
          <cell r="N614" t="str">
            <v>FAMISANAR E.P.S.</v>
          </cell>
          <cell r="AA614">
            <v>0</v>
          </cell>
        </row>
        <row r="615">
          <cell r="N615" t="str">
            <v>FAMISANAR E.P.S.</v>
          </cell>
          <cell r="AA615">
            <v>0</v>
          </cell>
        </row>
        <row r="616">
          <cell r="N616" t="str">
            <v>CAJA DE COMPENSACION FAMILIAR COMPENSAR</v>
          </cell>
          <cell r="AA616">
            <v>0</v>
          </cell>
        </row>
        <row r="617">
          <cell r="N617" t="str">
            <v>ENTIDAD PROMOTORA DE SALUD SANITAS S.A. EPS</v>
          </cell>
          <cell r="AA617">
            <v>0</v>
          </cell>
        </row>
        <row r="618">
          <cell r="N618" t="str">
            <v>POSITIVA</v>
          </cell>
          <cell r="AA618">
            <v>158933</v>
          </cell>
        </row>
        <row r="619">
          <cell r="N619" t="str">
            <v>POSITIVA</v>
          </cell>
          <cell r="AA619">
            <v>397333</v>
          </cell>
        </row>
        <row r="620">
          <cell r="N620" t="str">
            <v>POSITIVA</v>
          </cell>
          <cell r="AA620">
            <v>556267</v>
          </cell>
        </row>
        <row r="621">
          <cell r="N621" t="str">
            <v>POSITIVA</v>
          </cell>
          <cell r="AA621">
            <v>476800</v>
          </cell>
        </row>
        <row r="622">
          <cell r="N622" t="str">
            <v>POSITIVA</v>
          </cell>
          <cell r="AA622">
            <v>556267</v>
          </cell>
        </row>
        <row r="623">
          <cell r="N623" t="str">
            <v>POSITIVA</v>
          </cell>
          <cell r="AA623">
            <v>52980</v>
          </cell>
        </row>
        <row r="624">
          <cell r="N624" t="str">
            <v>FAMISANAR E.P.S.</v>
          </cell>
          <cell r="AA624">
            <v>0</v>
          </cell>
        </row>
        <row r="625">
          <cell r="N625" t="str">
            <v>CRUZ BLANCA E.P.S. S.A.</v>
          </cell>
          <cell r="AA625">
            <v>0</v>
          </cell>
        </row>
        <row r="626">
          <cell r="N626" t="str">
            <v>CRUZ BLANCA E.P.S. S.A.</v>
          </cell>
          <cell r="AA626">
            <v>0</v>
          </cell>
        </row>
        <row r="627">
          <cell r="N627" t="str">
            <v>CRUZ BLANCA E.P.S. S.A.</v>
          </cell>
          <cell r="AA627">
            <v>0</v>
          </cell>
        </row>
        <row r="628">
          <cell r="N628" t="str">
            <v>CRUZ BLANCA E.P.S. S.A.</v>
          </cell>
          <cell r="AA628">
            <v>0</v>
          </cell>
        </row>
        <row r="629">
          <cell r="N629" t="str">
            <v>CRUZ BLANCA E.P.S. S.A.</v>
          </cell>
          <cell r="AA629">
            <v>0</v>
          </cell>
        </row>
        <row r="630">
          <cell r="N630" t="str">
            <v>NUEVA EMPRESA PROMOTORA DE SALUD S.A</v>
          </cell>
          <cell r="AA630">
            <v>0</v>
          </cell>
        </row>
        <row r="631">
          <cell r="N631" t="str">
            <v>POSITIVA</v>
          </cell>
          <cell r="AA631">
            <v>49630</v>
          </cell>
        </row>
        <row r="632">
          <cell r="N632" t="str">
            <v>SALUD TOTAL S.A.</v>
          </cell>
          <cell r="AA632">
            <v>0</v>
          </cell>
        </row>
        <row r="633">
          <cell r="N633" t="str">
            <v>SALUD TOTAL S.A.</v>
          </cell>
          <cell r="AA633">
            <v>0</v>
          </cell>
        </row>
        <row r="634">
          <cell r="N634" t="e">
            <v>#N/A</v>
          </cell>
          <cell r="AA634">
            <v>0</v>
          </cell>
        </row>
        <row r="635">
          <cell r="N635" t="str">
            <v>FAMISANAR E.P.S.</v>
          </cell>
          <cell r="AA635">
            <v>239723</v>
          </cell>
        </row>
        <row r="636">
          <cell r="N636" t="str">
            <v>POSITIVA</v>
          </cell>
          <cell r="AA636">
            <v>0</v>
          </cell>
        </row>
        <row r="637">
          <cell r="N637" t="str">
            <v>POSITIVA</v>
          </cell>
          <cell r="AA637">
            <v>0</v>
          </cell>
        </row>
        <row r="638">
          <cell r="N638" t="str">
            <v>POSITIVA</v>
          </cell>
          <cell r="AA638">
            <v>1725000</v>
          </cell>
        </row>
        <row r="639">
          <cell r="N639" t="str">
            <v>POSITIVA</v>
          </cell>
          <cell r="AA639">
            <v>0</v>
          </cell>
        </row>
        <row r="640">
          <cell r="N640" t="str">
            <v>POSITIVA</v>
          </cell>
          <cell r="AA640">
            <v>287500</v>
          </cell>
        </row>
        <row r="641">
          <cell r="N641" t="str">
            <v>POSITIVA</v>
          </cell>
          <cell r="AA641">
            <v>1437500</v>
          </cell>
        </row>
        <row r="642">
          <cell r="N642" t="str">
            <v>CAJA DE COMPENSACION FAMILIAR COMPENSAR</v>
          </cell>
          <cell r="AA642">
            <v>0</v>
          </cell>
        </row>
        <row r="643">
          <cell r="N643" t="str">
            <v>CAJA DE COMPENSACION FAMILIAR COMPENSAR</v>
          </cell>
          <cell r="AA643">
            <v>0</v>
          </cell>
        </row>
        <row r="644">
          <cell r="N644" t="str">
            <v>CAJA DE COMPENSACION FAMILIAR COMPENSAR</v>
          </cell>
          <cell r="AA644">
            <v>0</v>
          </cell>
        </row>
        <row r="645">
          <cell r="N645" t="str">
            <v>CAJA DE COMPENSACION FAMILIAR COMPENSAR</v>
          </cell>
          <cell r="AA645">
            <v>0</v>
          </cell>
        </row>
        <row r="646">
          <cell r="N646" t="str">
            <v>CAJA DE COMPENSACION FAMILIAR COMPENSAR</v>
          </cell>
          <cell r="AA646">
            <v>0</v>
          </cell>
        </row>
        <row r="647">
          <cell r="N647" t="str">
            <v>NUEVA EMPRESA PROMOTORA DE SALUD S.A</v>
          </cell>
          <cell r="AA647">
            <v>0</v>
          </cell>
        </row>
        <row r="648">
          <cell r="N648" t="str">
            <v>Nueva Promotora de Salud - Nueva EPS</v>
          </cell>
          <cell r="AA648">
            <v>0</v>
          </cell>
        </row>
        <row r="649">
          <cell r="N649" t="str">
            <v>POSITIVA</v>
          </cell>
          <cell r="AA649">
            <v>46345</v>
          </cell>
        </row>
        <row r="650">
          <cell r="N650" t="str">
            <v>POSITIVA</v>
          </cell>
          <cell r="AA650">
            <v>0</v>
          </cell>
        </row>
        <row r="651">
          <cell r="N651" t="str">
            <v>FAMISANAR E.P.S.</v>
          </cell>
          <cell r="AA651">
            <v>17134</v>
          </cell>
        </row>
        <row r="652">
          <cell r="N652" t="str">
            <v>FAMISANAR E.P.S.</v>
          </cell>
          <cell r="AA652">
            <v>0</v>
          </cell>
        </row>
        <row r="653">
          <cell r="N653" t="str">
            <v>FAMISANAR E.P.S.</v>
          </cell>
          <cell r="AA653">
            <v>0</v>
          </cell>
        </row>
        <row r="654">
          <cell r="N654" t="str">
            <v>FAMISANAR E.P.S.</v>
          </cell>
          <cell r="AA654">
            <v>0</v>
          </cell>
        </row>
        <row r="655">
          <cell r="N655" t="str">
            <v>FAMISANAR E.P.S.</v>
          </cell>
          <cell r="AA655">
            <v>0</v>
          </cell>
        </row>
        <row r="656">
          <cell r="N656" t="str">
            <v>ENTIDAD PROMOTORA DE SALUD SANITAS S.A. EPS</v>
          </cell>
          <cell r="AA656">
            <v>0</v>
          </cell>
        </row>
        <row r="657">
          <cell r="N657" t="str">
            <v>ENTIDAD PROMOTORA DE SALUD SANITAS S.A. EPS</v>
          </cell>
          <cell r="AA657">
            <v>0</v>
          </cell>
        </row>
        <row r="658">
          <cell r="N658" t="str">
            <v>ENTIDAD PROMOTORA DE SALUD SANITAS S.A. EPS</v>
          </cell>
          <cell r="AA658">
            <v>0</v>
          </cell>
        </row>
        <row r="659">
          <cell r="N659" t="str">
            <v>SALUD TOTAL S.A.</v>
          </cell>
          <cell r="AA659">
            <v>0</v>
          </cell>
        </row>
        <row r="660">
          <cell r="N660" t="str">
            <v>SALUD TOTAL S.A.</v>
          </cell>
          <cell r="AA660">
            <v>0</v>
          </cell>
        </row>
        <row r="661">
          <cell r="N661" t="str">
            <v>SALUD TOTAL S.A.</v>
          </cell>
          <cell r="AA661">
            <v>0</v>
          </cell>
        </row>
        <row r="662">
          <cell r="N662" t="str">
            <v>SALUD TOTAL S.A.</v>
          </cell>
          <cell r="AA662">
            <v>50714</v>
          </cell>
        </row>
        <row r="663">
          <cell r="N663" t="str">
            <v>POSITIVA</v>
          </cell>
          <cell r="AA663">
            <v>0</v>
          </cell>
        </row>
        <row r="664">
          <cell r="N664" t="str">
            <v>POSITIVA</v>
          </cell>
          <cell r="AA664">
            <v>0</v>
          </cell>
        </row>
        <row r="665">
          <cell r="N665" t="str">
            <v>SALUD TOTAL S.A.</v>
          </cell>
          <cell r="AA665">
            <v>44269</v>
          </cell>
        </row>
        <row r="666">
          <cell r="N666" t="e">
            <v>#N/A</v>
          </cell>
          <cell r="AA666">
            <v>0</v>
          </cell>
        </row>
        <row r="667">
          <cell r="N667" t="str">
            <v>CAJA DE COMPENSACION FAMILIAR COMPENSAR</v>
          </cell>
          <cell r="AA667">
            <v>0</v>
          </cell>
        </row>
        <row r="668">
          <cell r="N668" t="str">
            <v>CRUZ BLANCA E.P.S. S.A.</v>
          </cell>
          <cell r="AA668">
            <v>0</v>
          </cell>
        </row>
        <row r="669">
          <cell r="N669" t="str">
            <v>CRUZ BLANCA E.P.S. S.A.</v>
          </cell>
          <cell r="AA669">
            <v>0</v>
          </cell>
        </row>
        <row r="670">
          <cell r="N670" t="str">
            <v>SALUD TOTAL S.A.</v>
          </cell>
          <cell r="AA670">
            <v>0</v>
          </cell>
        </row>
        <row r="671">
          <cell r="N671" t="str">
            <v>SALUD TOTAL S.A.</v>
          </cell>
          <cell r="AA671">
            <v>0</v>
          </cell>
        </row>
        <row r="672">
          <cell r="N672" t="str">
            <v>SALUD TOTAL S.A.</v>
          </cell>
          <cell r="AA672">
            <v>0</v>
          </cell>
        </row>
        <row r="673">
          <cell r="N673" t="str">
            <v>POSITIVA</v>
          </cell>
          <cell r="AA673">
            <v>34767</v>
          </cell>
        </row>
        <row r="674">
          <cell r="N674" t="str">
            <v>FAMISANAR E.P.S.</v>
          </cell>
          <cell r="AA674">
            <v>435888</v>
          </cell>
        </row>
        <row r="675">
          <cell r="N675" t="str">
            <v>FAMISANAR E.P.S.</v>
          </cell>
          <cell r="AA675">
            <v>72648</v>
          </cell>
        </row>
        <row r="676">
          <cell r="N676" t="str">
            <v>FAMISANAR E.P.S.</v>
          </cell>
          <cell r="AA676">
            <v>1962098</v>
          </cell>
        </row>
        <row r="677">
          <cell r="N677" t="str">
            <v>FAMISANAR E.P.S.</v>
          </cell>
          <cell r="AA677">
            <v>2015500</v>
          </cell>
        </row>
        <row r="678">
          <cell r="N678" t="str">
            <v>CAJA DE COMPENSACION FAMILIAR COMPENSAR</v>
          </cell>
          <cell r="AA678">
            <v>0</v>
          </cell>
        </row>
        <row r="679">
          <cell r="N679" t="str">
            <v>ENTIDAD PROMOTORA DE SALUD SANITAS S.A. EPS</v>
          </cell>
          <cell r="AA679">
            <v>0</v>
          </cell>
        </row>
        <row r="680">
          <cell r="N680" t="str">
            <v>ENTIDAD PROMOTORA DE SALUD SANITAS S.A. EPS</v>
          </cell>
          <cell r="AA680">
            <v>1502700</v>
          </cell>
        </row>
        <row r="681">
          <cell r="N681" t="str">
            <v>ENTIDAD PROMOTORA DE SALUD SANITAS S.A. EPS</v>
          </cell>
          <cell r="AA681">
            <v>0</v>
          </cell>
        </row>
        <row r="682">
          <cell r="N682" t="str">
            <v>SALUD TOTAL S.A.</v>
          </cell>
          <cell r="AA682">
            <v>0</v>
          </cell>
        </row>
        <row r="683">
          <cell r="N683" t="str">
            <v>SALUD TOTAL EPS</v>
          </cell>
          <cell r="AA683">
            <v>0</v>
          </cell>
        </row>
        <row r="684">
          <cell r="N684" t="str">
            <v>CAFESALUD E.P.S.</v>
          </cell>
          <cell r="AA684">
            <v>0</v>
          </cell>
        </row>
        <row r="685">
          <cell r="N685" t="str">
            <v>CAFESALUD E.P.S.</v>
          </cell>
          <cell r="AA685">
            <v>0</v>
          </cell>
        </row>
        <row r="686">
          <cell r="N686" t="str">
            <v>CAFESALUD E.P.S.</v>
          </cell>
          <cell r="AA686">
            <v>0</v>
          </cell>
        </row>
        <row r="687">
          <cell r="N687" t="str">
            <v>ENTIDAD PROMOTORA DE SALUD SANITAS S.A. EPS</v>
          </cell>
          <cell r="AA687">
            <v>0</v>
          </cell>
        </row>
        <row r="688">
          <cell r="N688" t="str">
            <v>ENTIDAD PROMOTORA DE SALUD ORGANISMO COOPERAT</v>
          </cell>
          <cell r="AA688">
            <v>0</v>
          </cell>
        </row>
        <row r="689">
          <cell r="N689" t="str">
            <v>ENTIDAD PROMOTORA DE SALUD ORGANISMO COOPERAT</v>
          </cell>
          <cell r="AA689">
            <v>0</v>
          </cell>
        </row>
        <row r="690">
          <cell r="N690" t="str">
            <v>ENTIDAD PROMOTORA DE SALUD ORGANISMO COOPERAT</v>
          </cell>
          <cell r="AA690">
            <v>0</v>
          </cell>
        </row>
        <row r="691">
          <cell r="N691" t="str">
            <v>FAMISANAR E.P.S.</v>
          </cell>
          <cell r="AA691">
            <v>0</v>
          </cell>
        </row>
        <row r="692">
          <cell r="N692" t="str">
            <v>FAMISANAR E.P.S.</v>
          </cell>
          <cell r="AA692">
            <v>0</v>
          </cell>
        </row>
        <row r="693">
          <cell r="N693" t="str">
            <v>CAJA DE COMPENSACION FAMILIAR COMPENSAR</v>
          </cell>
          <cell r="AA693">
            <v>0</v>
          </cell>
        </row>
        <row r="694">
          <cell r="N694" t="str">
            <v>COMPENSAR EPS</v>
          </cell>
          <cell r="AA694">
            <v>0</v>
          </cell>
        </row>
        <row r="695">
          <cell r="N695" t="str">
            <v>FAMISANAR E.P.S.</v>
          </cell>
          <cell r="AA695">
            <v>335350</v>
          </cell>
        </row>
        <row r="696">
          <cell r="N696" t="str">
            <v>FAMISANAR E.P.S.</v>
          </cell>
          <cell r="AA696">
            <v>67070</v>
          </cell>
        </row>
        <row r="697">
          <cell r="N697" t="str">
            <v>POSITIVA</v>
          </cell>
          <cell r="AA697">
            <v>0</v>
          </cell>
        </row>
        <row r="698">
          <cell r="N698" t="str">
            <v>FAMISANAR E.P.S.</v>
          </cell>
          <cell r="AA698">
            <v>0</v>
          </cell>
        </row>
        <row r="699">
          <cell r="N699" t="str">
            <v>FAMISANAR E.P.S.</v>
          </cell>
          <cell r="AA699">
            <v>0</v>
          </cell>
        </row>
        <row r="700">
          <cell r="N700" t="str">
            <v>CAJA DE COMPENSACION FAMILIAR COMPENSAR</v>
          </cell>
          <cell r="AA700">
            <v>0</v>
          </cell>
        </row>
        <row r="701">
          <cell r="N701" t="str">
            <v>POSITIVA</v>
          </cell>
          <cell r="AA701">
            <v>0</v>
          </cell>
        </row>
        <row r="702">
          <cell r="N702" t="str">
            <v>SALUD TOTAL S.A.</v>
          </cell>
          <cell r="AA702">
            <v>144674</v>
          </cell>
        </row>
        <row r="703">
          <cell r="N703" t="str">
            <v>SALUD TOTAL S.A.</v>
          </cell>
          <cell r="AA703">
            <v>0</v>
          </cell>
        </row>
        <row r="704">
          <cell r="N704" t="str">
            <v>SALUD TOTAL S.A.</v>
          </cell>
          <cell r="AA704">
            <v>0</v>
          </cell>
        </row>
        <row r="705">
          <cell r="N705" t="str">
            <v>SALUD TOTAL S.A.</v>
          </cell>
          <cell r="AA705">
            <v>0</v>
          </cell>
        </row>
        <row r="706">
          <cell r="N706" t="str">
            <v>SALUD TOTAL S.A.</v>
          </cell>
          <cell r="AA706">
            <v>0</v>
          </cell>
        </row>
        <row r="707">
          <cell r="N707" t="str">
            <v>SALUD TOTAL S.A.</v>
          </cell>
          <cell r="AA707">
            <v>0</v>
          </cell>
        </row>
        <row r="708">
          <cell r="N708" t="str">
            <v>FAMISANAR E.P.S.</v>
          </cell>
          <cell r="AA708">
            <v>0</v>
          </cell>
        </row>
        <row r="709">
          <cell r="N709" t="str">
            <v>NUEVA EMPRESA PROMOTORA DE SALUD S.A</v>
          </cell>
          <cell r="AA709">
            <v>-33283</v>
          </cell>
        </row>
        <row r="710">
          <cell r="N710" t="str">
            <v>NUEVA EMPRESA PROMOTORA DE SALUD S.A</v>
          </cell>
          <cell r="AA710">
            <v>-1093</v>
          </cell>
        </row>
        <row r="711">
          <cell r="N711" t="str">
            <v>NUEVA EMPRESA PROMOTORA DE SALUD S.A</v>
          </cell>
          <cell r="AA711">
            <v>-1093</v>
          </cell>
        </row>
        <row r="712">
          <cell r="N712" t="str">
            <v>NUEVA EMPRESA PROMOTORA DE SALUD S.A</v>
          </cell>
          <cell r="AA712">
            <v>-1297</v>
          </cell>
        </row>
        <row r="713">
          <cell r="N713" t="str">
            <v>NUEVA EMPRESA PROMOTORA DE SALUD S.A</v>
          </cell>
          <cell r="AA713">
            <v>-1297</v>
          </cell>
        </row>
        <row r="714">
          <cell r="N714" t="str">
            <v>NUEVA EMPRESA PROMOTORA DE SALUD S.A</v>
          </cell>
          <cell r="AA714">
            <v>164230</v>
          </cell>
        </row>
        <row r="715">
          <cell r="N715" t="str">
            <v>POSITIVA</v>
          </cell>
          <cell r="AA715">
            <v>0</v>
          </cell>
        </row>
        <row r="716">
          <cell r="N716" t="str">
            <v>SANITAS EPS</v>
          </cell>
          <cell r="AA716">
            <v>0</v>
          </cell>
        </row>
        <row r="717">
          <cell r="N717" t="str">
            <v>CAJA DE COMPENSACION FAMILIAR COMPENSAR</v>
          </cell>
          <cell r="AA717">
            <v>0</v>
          </cell>
        </row>
        <row r="718">
          <cell r="N718" t="str">
            <v>CAJA DE COMPENSACION FAMILIAR COMPENSAR</v>
          </cell>
          <cell r="AA718">
            <v>0</v>
          </cell>
        </row>
        <row r="719">
          <cell r="N719" t="str">
            <v>CAJA DE COMPENSACION FAMILIAR COMPENSAR</v>
          </cell>
          <cell r="AA719">
            <v>35624</v>
          </cell>
        </row>
        <row r="720">
          <cell r="N720" t="str">
            <v>POSITIVA</v>
          </cell>
          <cell r="AA720">
            <v>0</v>
          </cell>
        </row>
        <row r="721">
          <cell r="N721" t="str">
            <v>FAMISANAR E.P.S.</v>
          </cell>
          <cell r="AA721">
            <v>0</v>
          </cell>
        </row>
        <row r="722">
          <cell r="N722" t="str">
            <v>ENTIDAD PROMOTORA DE SALUD ORGANISMO COOPERAT</v>
          </cell>
          <cell r="AA722">
            <v>0</v>
          </cell>
        </row>
        <row r="723">
          <cell r="N723" t="str">
            <v>NUEVA EMPRESA PROMOTORA DE SALUD S.A</v>
          </cell>
          <cell r="AA723">
            <v>0</v>
          </cell>
        </row>
        <row r="724">
          <cell r="N724" t="str">
            <v>CAJA DE COMPENSACION FAMILIAR COMPENSAR</v>
          </cell>
          <cell r="AA724">
            <v>0</v>
          </cell>
        </row>
        <row r="725">
          <cell r="N725" t="str">
            <v>CAJA DE COMPENSACION FAMILIAR COMPENSAR</v>
          </cell>
          <cell r="AA725">
            <v>0</v>
          </cell>
        </row>
        <row r="726">
          <cell r="N726" t="str">
            <v>CAJA DE COMPENSACION FAMILIAR COMPENSAR</v>
          </cell>
          <cell r="AA726">
            <v>0</v>
          </cell>
        </row>
        <row r="727">
          <cell r="N727" t="str">
            <v>NUEVA EMPRESA PROMOTORA DE SALUD S.A</v>
          </cell>
          <cell r="AA727">
            <v>0</v>
          </cell>
        </row>
        <row r="728">
          <cell r="N728" t="str">
            <v>SALUD TOTAL S.A.</v>
          </cell>
          <cell r="AA728">
            <v>0</v>
          </cell>
        </row>
        <row r="729">
          <cell r="N729" t="str">
            <v>SALUD TOTAL S.A.</v>
          </cell>
          <cell r="AA729">
            <v>0</v>
          </cell>
        </row>
        <row r="730">
          <cell r="N730" t="str">
            <v>FAMISANAR E.P.S.</v>
          </cell>
          <cell r="AA730">
            <v>0</v>
          </cell>
        </row>
        <row r="731">
          <cell r="N731" t="str">
            <v>FAMISANAR E.P.S.</v>
          </cell>
          <cell r="AA731">
            <v>0</v>
          </cell>
        </row>
        <row r="732">
          <cell r="N732" t="str">
            <v>ENTIDAD PROMOTORA DE SALUD SANITAS S.A. EPS</v>
          </cell>
          <cell r="AA732">
            <v>0</v>
          </cell>
        </row>
        <row r="733">
          <cell r="N733" t="str">
            <v>ENTIDAD PROMOTORA DE SALUD SANITAS S.A. EPS</v>
          </cell>
          <cell r="AA733">
            <v>92271</v>
          </cell>
        </row>
        <row r="734">
          <cell r="N734" t="str">
            <v>ENTIDAD PROMOTORA DE SALUD SANITAS S.A. EPS</v>
          </cell>
          <cell r="AA734">
            <v>0</v>
          </cell>
        </row>
        <row r="735">
          <cell r="N735" t="str">
            <v>ENTIDAD PROMOTORA DE SALUD ORGANISMO COOPERAT</v>
          </cell>
          <cell r="AA735">
            <v>0</v>
          </cell>
        </row>
        <row r="736">
          <cell r="N736" t="str">
            <v>ENTIDAD PROMOTORA DE SALUD ORGANISMO COOPERAT</v>
          </cell>
          <cell r="AA736">
            <v>0</v>
          </cell>
        </row>
        <row r="737">
          <cell r="N737" t="str">
            <v>SALUD TOTAL S.A.</v>
          </cell>
          <cell r="AA737">
            <v>0</v>
          </cell>
        </row>
        <row r="738">
          <cell r="N738" t="str">
            <v>CRUZ BLANCA E.P.S. S.A.</v>
          </cell>
          <cell r="AA738">
            <v>0</v>
          </cell>
        </row>
        <row r="739">
          <cell r="N739" t="str">
            <v>CRUZ BLANCA E.P.S. S.A.</v>
          </cell>
          <cell r="AA739">
            <v>0</v>
          </cell>
        </row>
        <row r="740">
          <cell r="N740" t="str">
            <v>CRUZ BLANCA E.P.S. S.A.</v>
          </cell>
          <cell r="AA740">
            <v>0</v>
          </cell>
        </row>
        <row r="741">
          <cell r="N741" t="str">
            <v>CRUZ BLANCA E.P.S. S.A.</v>
          </cell>
          <cell r="AA741">
            <v>0</v>
          </cell>
        </row>
        <row r="742">
          <cell r="N742" t="str">
            <v>CRUZ BLANCA E.P.S. S.A.</v>
          </cell>
          <cell r="AA742">
            <v>0</v>
          </cell>
        </row>
        <row r="743">
          <cell r="N743" t="str">
            <v>CRUZ BLANCA E.P.S. S.A.</v>
          </cell>
          <cell r="AA743">
            <v>0</v>
          </cell>
        </row>
        <row r="744">
          <cell r="N744" t="str">
            <v>CRUZ BLANCA E.P.S.</v>
          </cell>
          <cell r="AA744">
            <v>0</v>
          </cell>
        </row>
        <row r="745">
          <cell r="N745" t="str">
            <v>CRUZ BLANCA E.P.S. S.A.</v>
          </cell>
          <cell r="AA745">
            <v>0</v>
          </cell>
        </row>
        <row r="746">
          <cell r="N746" t="str">
            <v>CAJA DE COMPENSACION FAMILIAR COMPENSAR</v>
          </cell>
          <cell r="AA746">
            <v>0</v>
          </cell>
        </row>
        <row r="747">
          <cell r="N747" t="str">
            <v>FAMISANAR E.P.S.</v>
          </cell>
          <cell r="AA747">
            <v>0</v>
          </cell>
        </row>
        <row r="748">
          <cell r="N748" t="str">
            <v>FAMISANAR E.P.S.</v>
          </cell>
          <cell r="AA748">
            <v>0</v>
          </cell>
        </row>
        <row r="749">
          <cell r="N749" t="str">
            <v>ENTIDAD PROMOTORA DE SALUD SANITAS S.A. EPS</v>
          </cell>
          <cell r="AA749">
            <v>43291</v>
          </cell>
        </row>
        <row r="750">
          <cell r="N750" t="str">
            <v>ENTIDAD PROMOTORA DE SALUD SANITAS S.A. EPS</v>
          </cell>
          <cell r="AA750">
            <v>0</v>
          </cell>
        </row>
        <row r="751">
          <cell r="N751" t="str">
            <v>FAMISANAR E.P.S.</v>
          </cell>
          <cell r="AA751">
            <v>1131346</v>
          </cell>
        </row>
        <row r="752">
          <cell r="N752" t="str">
            <v>FAMISANAR E.P.S.</v>
          </cell>
          <cell r="AA752">
            <v>2175664</v>
          </cell>
        </row>
        <row r="753">
          <cell r="N753" t="str">
            <v>FAMISANAR E.P.S.</v>
          </cell>
          <cell r="AA753">
            <v>1305399</v>
          </cell>
        </row>
        <row r="754">
          <cell r="N754" t="str">
            <v>FAMISANAR E.P.S.</v>
          </cell>
          <cell r="AA754">
            <v>1067865</v>
          </cell>
        </row>
        <row r="755">
          <cell r="N755" t="str">
            <v>FAMISANAR E.P.S.</v>
          </cell>
          <cell r="AA755">
            <v>0</v>
          </cell>
        </row>
        <row r="756">
          <cell r="N756" t="str">
            <v>FAMISANAR E.P.S.</v>
          </cell>
          <cell r="AA756">
            <v>0</v>
          </cell>
        </row>
        <row r="757">
          <cell r="N757" t="str">
            <v>FAMISANAR E.P.S.</v>
          </cell>
          <cell r="AA757">
            <v>0</v>
          </cell>
        </row>
        <row r="758">
          <cell r="N758" t="str">
            <v>FAMISANAR E.P.S.</v>
          </cell>
          <cell r="AA758">
            <v>0</v>
          </cell>
        </row>
        <row r="759">
          <cell r="N759" t="str">
            <v>NUEVA EMPRESA PROMOTORA DE SALUD S.A</v>
          </cell>
          <cell r="AA759">
            <v>154319</v>
          </cell>
        </row>
        <row r="760">
          <cell r="N760" t="str">
            <v>NUEVA EMPRESA PROMOTORA DE SALUD S.A</v>
          </cell>
          <cell r="AA760">
            <v>115739</v>
          </cell>
        </row>
        <row r="761">
          <cell r="N761" t="str">
            <v>NUEVA EMPRESA PROMOTORA DE SALUD S.A</v>
          </cell>
          <cell r="AA761">
            <v>0</v>
          </cell>
        </row>
        <row r="762">
          <cell r="N762" t="str">
            <v>NUEVA EMPRESA PROMOTORA DE SALUD S.A</v>
          </cell>
          <cell r="AA762">
            <v>0</v>
          </cell>
        </row>
        <row r="763">
          <cell r="N763" t="str">
            <v>ENTIDAD PROMOTORA DE SALUD SANITAS S.A. EPS</v>
          </cell>
          <cell r="AA763">
            <v>0</v>
          </cell>
        </row>
        <row r="764">
          <cell r="N764" t="str">
            <v>CRUZ BLANCA E.P.S.</v>
          </cell>
          <cell r="AA764">
            <v>0</v>
          </cell>
        </row>
        <row r="765">
          <cell r="N765" t="str">
            <v>FAMISANAR E.P.S.</v>
          </cell>
          <cell r="AA765">
            <v>0</v>
          </cell>
        </row>
        <row r="766">
          <cell r="N766" t="str">
            <v>FAMISANAR E.P.S.</v>
          </cell>
          <cell r="AA766">
            <v>0</v>
          </cell>
        </row>
        <row r="767">
          <cell r="N767" t="str">
            <v>CAJA DE COMPENSACION FAMILIAR COMPENSAR</v>
          </cell>
          <cell r="AA767">
            <v>0</v>
          </cell>
        </row>
        <row r="768">
          <cell r="N768" t="str">
            <v>CAJA DE COMPENSACION FAMILIAR COMPENSAR</v>
          </cell>
          <cell r="AA768">
            <v>0</v>
          </cell>
        </row>
        <row r="769">
          <cell r="N769" t="str">
            <v>CAJA DE COMPENSACION FAMILIAR COMPENSAR</v>
          </cell>
          <cell r="AA769">
            <v>0</v>
          </cell>
        </row>
        <row r="770">
          <cell r="N770" t="str">
            <v>CAJA DE COMPENSACION FAMILIAR COMPENSAR</v>
          </cell>
          <cell r="AA770">
            <v>0</v>
          </cell>
        </row>
        <row r="771">
          <cell r="N771" t="str">
            <v>NUEVA EMPRESA PROMOTORA DE SALUD S.A</v>
          </cell>
          <cell r="AA771">
            <v>0</v>
          </cell>
        </row>
        <row r="772">
          <cell r="N772" t="str">
            <v>FAMISANAR E.P.S.</v>
          </cell>
          <cell r="AA772">
            <v>0</v>
          </cell>
        </row>
        <row r="773">
          <cell r="N773" t="str">
            <v>FAMISANAR E.P.S.</v>
          </cell>
          <cell r="AA773">
            <v>84471</v>
          </cell>
        </row>
        <row r="774">
          <cell r="N774" t="str">
            <v>FAMISANAR E.P.S.</v>
          </cell>
          <cell r="AA774">
            <v>0</v>
          </cell>
        </row>
        <row r="775">
          <cell r="N775" t="str">
            <v>FAMISANAR E.P.S.</v>
          </cell>
          <cell r="AA775">
            <v>0</v>
          </cell>
        </row>
        <row r="776">
          <cell r="N776" t="str">
            <v>FAMISANAR E.P.S.</v>
          </cell>
          <cell r="AA776">
            <v>0</v>
          </cell>
        </row>
        <row r="777">
          <cell r="N777" t="str">
            <v>FAMISANAR E.P.S.</v>
          </cell>
          <cell r="AA777">
            <v>0</v>
          </cell>
        </row>
        <row r="778">
          <cell r="N778" t="str">
            <v>FAMISANAR E.P.S.</v>
          </cell>
          <cell r="AA778">
            <v>0</v>
          </cell>
        </row>
        <row r="779">
          <cell r="N779" t="str">
            <v>FAMISANAR E.P.S.</v>
          </cell>
          <cell r="AA779">
            <v>49580</v>
          </cell>
        </row>
        <row r="780">
          <cell r="N780" t="str">
            <v>FAMISANAR E.P.S.</v>
          </cell>
          <cell r="AA780">
            <v>0</v>
          </cell>
        </row>
        <row r="781">
          <cell r="N781" t="str">
            <v>FAMISANAR E.P.S.</v>
          </cell>
          <cell r="AA781">
            <v>1425049</v>
          </cell>
        </row>
        <row r="782">
          <cell r="N782" t="str">
            <v>CRUZ BLANCA E.P.S. S.A.</v>
          </cell>
          <cell r="AA782">
            <v>0</v>
          </cell>
        </row>
        <row r="783">
          <cell r="N783" t="str">
            <v>CRUZ BLANCA E.P.S. S.A.</v>
          </cell>
          <cell r="AA783">
            <v>0</v>
          </cell>
        </row>
        <row r="784">
          <cell r="N784" t="str">
            <v>POSITIVA</v>
          </cell>
          <cell r="AA784">
            <v>272500</v>
          </cell>
        </row>
        <row r="785">
          <cell r="N785" t="str">
            <v>SALUD TOTAL S.A.</v>
          </cell>
          <cell r="AA785">
            <v>0</v>
          </cell>
        </row>
        <row r="786">
          <cell r="N786" t="str">
            <v>POSITIVA</v>
          </cell>
          <cell r="AA786">
            <v>0</v>
          </cell>
        </row>
        <row r="787">
          <cell r="N787" t="str">
            <v>FAMISANAR E.P.S.</v>
          </cell>
          <cell r="AA787">
            <v>0</v>
          </cell>
        </row>
        <row r="788">
          <cell r="N788" t="str">
            <v>ENTIDAD PROMOTORA DE SALUD ORGANISMO COOPERAT</v>
          </cell>
          <cell r="AA788">
            <v>0</v>
          </cell>
        </row>
        <row r="789">
          <cell r="N789" t="str">
            <v>ENTIDAD PROMOTORA DE SALUD ORGANISMO COOPERAT</v>
          </cell>
          <cell r="AA789">
            <v>0</v>
          </cell>
        </row>
        <row r="790">
          <cell r="N790" t="str">
            <v>ENTIDAD PROMOTORA DE SALUD ORGANISMO COOPERAT</v>
          </cell>
          <cell r="AA790">
            <v>0</v>
          </cell>
        </row>
        <row r="791">
          <cell r="N791" t="str">
            <v>NUEVA EMPRESA PROMOTORA DE SALUD S.A</v>
          </cell>
          <cell r="AA791">
            <v>0</v>
          </cell>
        </row>
        <row r="792">
          <cell r="N792" t="str">
            <v>Nueva Promotora de Salud - Nueva EPS</v>
          </cell>
          <cell r="AA792">
            <v>0</v>
          </cell>
        </row>
        <row r="793">
          <cell r="N793" t="str">
            <v>NUEVA EMPRESA PROMOTORA DE SALUD S.A</v>
          </cell>
          <cell r="AA793">
            <v>0</v>
          </cell>
        </row>
        <row r="794">
          <cell r="N794" t="str">
            <v>SALUD TOTAL S.A.</v>
          </cell>
          <cell r="AA794">
            <v>41067</v>
          </cell>
        </row>
        <row r="795">
          <cell r="N795" t="str">
            <v>CRUZ BLANCA E.P.S. S.A.</v>
          </cell>
          <cell r="AA795">
            <v>0</v>
          </cell>
        </row>
        <row r="796">
          <cell r="N796" t="str">
            <v>CRUZ BLANCA E.P.S. S.A.</v>
          </cell>
          <cell r="AA796">
            <v>0</v>
          </cell>
        </row>
        <row r="797">
          <cell r="N797" t="str">
            <v>CRUZ BLANCA E.P.S. S.A.</v>
          </cell>
          <cell r="AA797">
            <v>0</v>
          </cell>
        </row>
        <row r="798">
          <cell r="N798" t="str">
            <v>CRUZ BLANCA E.P.S.</v>
          </cell>
          <cell r="AA798">
            <v>0</v>
          </cell>
        </row>
        <row r="799">
          <cell r="N799" t="str">
            <v>FAMISANAR E.P.S.</v>
          </cell>
          <cell r="AA799">
            <v>0</v>
          </cell>
        </row>
        <row r="800">
          <cell r="N800" t="str">
            <v>FAMISANAR E.P.S.</v>
          </cell>
          <cell r="AA800">
            <v>0</v>
          </cell>
        </row>
        <row r="801">
          <cell r="N801" t="str">
            <v>FAMISANAR E.P.S.</v>
          </cell>
          <cell r="AA801">
            <v>0</v>
          </cell>
        </row>
        <row r="802">
          <cell r="N802" t="str">
            <v>FAMISANAR E.P.S.</v>
          </cell>
          <cell r="AA802">
            <v>0</v>
          </cell>
        </row>
        <row r="803">
          <cell r="N803" t="str">
            <v>FAMISANAR E.P.S.</v>
          </cell>
          <cell r="AA803">
            <v>56448</v>
          </cell>
        </row>
        <row r="804">
          <cell r="N804" t="str">
            <v>FAMISANAR E.P.S.</v>
          </cell>
          <cell r="AA804">
            <v>56448</v>
          </cell>
        </row>
        <row r="805">
          <cell r="N805" t="str">
            <v>ENTIDAD PROMOTORA DE SALUD ORGANISMO COOPERAT</v>
          </cell>
          <cell r="AA805">
            <v>0</v>
          </cell>
        </row>
        <row r="806">
          <cell r="N806" t="str">
            <v>ENTIDAD PROMOTORA DE SALUD SANITAS S.A. EPS</v>
          </cell>
          <cell r="AA806">
            <v>0</v>
          </cell>
        </row>
        <row r="807">
          <cell r="N807" t="str">
            <v>POSITIVA</v>
          </cell>
          <cell r="AA807">
            <v>0</v>
          </cell>
        </row>
        <row r="808">
          <cell r="N808" t="str">
            <v>FAMISANAR E.P.S.</v>
          </cell>
          <cell r="AA808">
            <v>0</v>
          </cell>
        </row>
        <row r="809">
          <cell r="N809" t="str">
            <v>FAMISANAR E.P.S.</v>
          </cell>
          <cell r="AA809">
            <v>0</v>
          </cell>
        </row>
        <row r="810">
          <cell r="N810" t="str">
            <v>FAMISANAR E.P.S.</v>
          </cell>
          <cell r="AA810">
            <v>0</v>
          </cell>
        </row>
        <row r="811">
          <cell r="N811" t="str">
            <v>CONSORCIO SAYP</v>
          </cell>
          <cell r="AA811">
            <v>0</v>
          </cell>
        </row>
        <row r="812">
          <cell r="N812" t="str">
            <v>CAJA DE COMPENSACION FAMILIAR COMPENSAR</v>
          </cell>
          <cell r="AA812">
            <v>0</v>
          </cell>
        </row>
        <row r="813">
          <cell r="N813" t="str">
            <v>FAMISANAR E.P.S.</v>
          </cell>
          <cell r="AA813">
            <v>0</v>
          </cell>
        </row>
        <row r="814">
          <cell r="N814" t="str">
            <v>FAMISANAR E.P.S.</v>
          </cell>
          <cell r="AA814">
            <v>0</v>
          </cell>
        </row>
        <row r="815">
          <cell r="N815" t="str">
            <v>FAMISANAR E.P.S.</v>
          </cell>
          <cell r="AA815">
            <v>214800</v>
          </cell>
        </row>
        <row r="816">
          <cell r="N816" t="str">
            <v>FAMISANAR E.P.S.</v>
          </cell>
          <cell r="AA816">
            <v>42960</v>
          </cell>
        </row>
        <row r="817">
          <cell r="N817" t="str">
            <v>FAMISANAR E.P.S.</v>
          </cell>
          <cell r="AA817">
            <v>0</v>
          </cell>
        </row>
        <row r="818">
          <cell r="N818" t="str">
            <v>CRUZ BLANCA E.P.S. S.A.</v>
          </cell>
          <cell r="AA818">
            <v>0</v>
          </cell>
        </row>
        <row r="819">
          <cell r="N819" t="str">
            <v>CRUZ BLANCA E.P.S. S.A.</v>
          </cell>
          <cell r="AA819">
            <v>0</v>
          </cell>
        </row>
        <row r="820">
          <cell r="N820" t="str">
            <v>POSITIVA</v>
          </cell>
          <cell r="AA820">
            <v>0</v>
          </cell>
        </row>
        <row r="821">
          <cell r="N821" t="str">
            <v>POSITIVA</v>
          </cell>
          <cell r="AA821">
            <v>0</v>
          </cell>
        </row>
        <row r="822">
          <cell r="N822" t="str">
            <v>POSITIVA</v>
          </cell>
          <cell r="AA822">
            <v>-85000</v>
          </cell>
        </row>
        <row r="823">
          <cell r="N823" t="str">
            <v>POSITIVA</v>
          </cell>
          <cell r="AA823">
            <v>-102000</v>
          </cell>
        </row>
        <row r="824">
          <cell r="N824" t="str">
            <v>POSITIVA</v>
          </cell>
          <cell r="AA824">
            <v>-38333</v>
          </cell>
        </row>
        <row r="825">
          <cell r="N825" t="str">
            <v>POSITIVA</v>
          </cell>
          <cell r="AA825">
            <v>520333</v>
          </cell>
        </row>
        <row r="826">
          <cell r="N826" t="str">
            <v>POSITIVA</v>
          </cell>
          <cell r="AA826">
            <v>665867</v>
          </cell>
        </row>
        <row r="827">
          <cell r="N827" t="str">
            <v>POSITIVA</v>
          </cell>
          <cell r="AA827">
            <v>1150133</v>
          </cell>
        </row>
        <row r="828">
          <cell r="N828" t="str">
            <v>POSITIVA</v>
          </cell>
          <cell r="AA828">
            <v>40100</v>
          </cell>
        </row>
        <row r="829">
          <cell r="N829" t="str">
            <v>POSITIVA</v>
          </cell>
          <cell r="AA829">
            <v>-157833</v>
          </cell>
        </row>
        <row r="830">
          <cell r="N830" t="str">
            <v>CRUZ BLANCA E.P.S.</v>
          </cell>
          <cell r="AA830">
            <v>0</v>
          </cell>
        </row>
        <row r="831">
          <cell r="N831" t="str">
            <v>CAJA DE COMPENSACION FAMILIAR COMPENSAR</v>
          </cell>
          <cell r="AA831">
            <v>0</v>
          </cell>
        </row>
        <row r="832">
          <cell r="N832" t="str">
            <v>CAJA DE COMPENSACION FAMILIAR COMPENSAR</v>
          </cell>
          <cell r="AA832">
            <v>0</v>
          </cell>
        </row>
        <row r="833">
          <cell r="N833" t="str">
            <v>CAJA DE COMPENSACION FAMILIAR COMPENSAR</v>
          </cell>
          <cell r="AA833">
            <v>599563</v>
          </cell>
        </row>
        <row r="834">
          <cell r="N834" t="str">
            <v>FAMISANAR E.P.S.</v>
          </cell>
          <cell r="AA834">
            <v>0</v>
          </cell>
        </row>
        <row r="835">
          <cell r="N835" t="str">
            <v>FAMISANAR E.P.S.</v>
          </cell>
          <cell r="AA835">
            <v>0</v>
          </cell>
        </row>
        <row r="836">
          <cell r="N836" t="str">
            <v>FAMISANAR E.P.S.</v>
          </cell>
          <cell r="AA836">
            <v>0</v>
          </cell>
        </row>
        <row r="837">
          <cell r="N837" t="str">
            <v>ENTIDAD PROMOTORA DE SALUD SANITAS S.A. EPS</v>
          </cell>
          <cell r="AA837">
            <v>0</v>
          </cell>
        </row>
        <row r="838">
          <cell r="N838" t="str">
            <v>ENTIDAD PROMOTORA DE SALUD SANITAS S.A. EPS</v>
          </cell>
          <cell r="AA838">
            <v>0</v>
          </cell>
        </row>
        <row r="839">
          <cell r="N839" t="str">
            <v>ENTIDAD PROMOTORA DE SALUD SANITAS S.A. EPS</v>
          </cell>
          <cell r="AA839">
            <v>0</v>
          </cell>
        </row>
        <row r="840">
          <cell r="N840" t="str">
            <v>CAJA DE COMPENSACION FAMILIAR COMPENSAR</v>
          </cell>
          <cell r="AA840">
            <v>0</v>
          </cell>
        </row>
        <row r="841">
          <cell r="N841" t="str">
            <v>NUEVA EMPRESA PROMOTORA DE SALUD S.A</v>
          </cell>
          <cell r="AA841">
            <v>0</v>
          </cell>
        </row>
        <row r="842">
          <cell r="N842" t="str">
            <v>SALUD TOTAL S.A.</v>
          </cell>
          <cell r="AA842">
            <v>144118</v>
          </cell>
        </row>
        <row r="843">
          <cell r="N843" t="str">
            <v>SALUD TOTAL S.A.</v>
          </cell>
          <cell r="AA843">
            <v>115295</v>
          </cell>
        </row>
        <row r="844">
          <cell r="N844" t="str">
            <v>EPS Y MEDICINA PREPAGADA SURAMERICANA S.A</v>
          </cell>
          <cell r="AA844">
            <v>0</v>
          </cell>
        </row>
        <row r="845">
          <cell r="N845" t="str">
            <v>EPS Y MEDICINA PREPAGADA SURAMERICANA S.A</v>
          </cell>
          <cell r="AA845">
            <v>-33334</v>
          </cell>
        </row>
        <row r="846">
          <cell r="N846" t="str">
            <v>ENTIDAD PROMOTORA DE SALUD ORGANISMO COOPERAT</v>
          </cell>
          <cell r="AA846">
            <v>0</v>
          </cell>
        </row>
        <row r="847">
          <cell r="N847" t="str">
            <v>ENTIDAD PROMOTORA DE SALUD ORGANISMO COOPERAT</v>
          </cell>
          <cell r="AA847">
            <v>711035</v>
          </cell>
        </row>
        <row r="848">
          <cell r="N848" t="str">
            <v>ENTIDAD PROMOTORA DE SALUD SANITAS S.A. EPS</v>
          </cell>
          <cell r="AA848">
            <v>0</v>
          </cell>
        </row>
        <row r="849">
          <cell r="N849" t="str">
            <v>FAMISANAR E.P.S.</v>
          </cell>
          <cell r="AA849">
            <v>1161058</v>
          </cell>
        </row>
        <row r="850">
          <cell r="N850" t="str">
            <v>FAMISANAR E.P.S.</v>
          </cell>
          <cell r="AA850">
            <v>430022</v>
          </cell>
        </row>
        <row r="851">
          <cell r="N851" t="str">
            <v>FAMISANAR E.P.S.</v>
          </cell>
          <cell r="AA851">
            <v>645032</v>
          </cell>
        </row>
        <row r="852">
          <cell r="N852" t="str">
            <v>FAMISANAR E.P.S.</v>
          </cell>
          <cell r="AA852">
            <v>172009</v>
          </cell>
        </row>
        <row r="853">
          <cell r="N853" t="str">
            <v>FAMISANAR E.P.S.</v>
          </cell>
          <cell r="AA853">
            <v>688034</v>
          </cell>
        </row>
        <row r="854">
          <cell r="N854" t="str">
            <v>FAMISANAR E.P.S.</v>
          </cell>
          <cell r="AA854">
            <v>86004</v>
          </cell>
        </row>
        <row r="855">
          <cell r="N855" t="str">
            <v>FAMISANAR E.P.S.</v>
          </cell>
          <cell r="AA855">
            <v>-42117</v>
          </cell>
        </row>
        <row r="856">
          <cell r="N856" t="str">
            <v>FAMISANAR E.P.S.</v>
          </cell>
          <cell r="AA856">
            <v>0</v>
          </cell>
        </row>
        <row r="857">
          <cell r="N857" t="str">
            <v>FAMISANAR E.P.S.</v>
          </cell>
          <cell r="AA857">
            <v>0</v>
          </cell>
        </row>
        <row r="858">
          <cell r="N858" t="str">
            <v>CAJA DE COMPENSACION FAMILIAR COMPENSAR</v>
          </cell>
          <cell r="AA858">
            <v>0</v>
          </cell>
        </row>
        <row r="859">
          <cell r="N859" t="str">
            <v>CAJA DE COMPENSACION FAMILIAR COMPENSAR</v>
          </cell>
          <cell r="AA859">
            <v>0</v>
          </cell>
        </row>
        <row r="860">
          <cell r="N860" t="str">
            <v>CAJA DE COMPENSACION FAMILIAR COMPENSAR</v>
          </cell>
          <cell r="AA860">
            <v>0</v>
          </cell>
        </row>
        <row r="861">
          <cell r="N861" t="str">
            <v>FAMISANAR E.P.S.</v>
          </cell>
          <cell r="AA861">
            <v>0</v>
          </cell>
        </row>
        <row r="862">
          <cell r="N862" t="str">
            <v>FAMISANAR E.P.S.</v>
          </cell>
          <cell r="AA862">
            <v>0</v>
          </cell>
        </row>
        <row r="863">
          <cell r="N863" t="str">
            <v>FAMISANAR E.P.S.</v>
          </cell>
          <cell r="AA863">
            <v>0</v>
          </cell>
        </row>
        <row r="864">
          <cell r="N864" t="str">
            <v>FAMISANAR E.P.S.</v>
          </cell>
          <cell r="AA864">
            <v>310193</v>
          </cell>
        </row>
        <row r="865">
          <cell r="N865" t="str">
            <v>FAMISANAR E.P.S.</v>
          </cell>
          <cell r="AA865">
            <v>177253</v>
          </cell>
        </row>
        <row r="866">
          <cell r="N866" t="str">
            <v>FAMISANAR E.P.S.</v>
          </cell>
          <cell r="AA866">
            <v>354507</v>
          </cell>
        </row>
        <row r="867">
          <cell r="N867" t="str">
            <v>FAMISANAR E.P.S.</v>
          </cell>
          <cell r="AA867">
            <v>576073</v>
          </cell>
        </row>
        <row r="868">
          <cell r="N868" t="str">
            <v>FAMISANAR E.P.S.</v>
          </cell>
          <cell r="AA868">
            <v>0</v>
          </cell>
        </row>
        <row r="869">
          <cell r="N869" t="str">
            <v>FAMISANAR E.P.S.</v>
          </cell>
          <cell r="AA869">
            <v>0</v>
          </cell>
        </row>
        <row r="870">
          <cell r="N870" t="str">
            <v>FAMISANAR E.P.S.</v>
          </cell>
          <cell r="AA870">
            <v>0</v>
          </cell>
        </row>
        <row r="871">
          <cell r="N871" t="str">
            <v>FAMISANAR E.P.S.</v>
          </cell>
          <cell r="AA871">
            <v>208010</v>
          </cell>
        </row>
        <row r="872">
          <cell r="N872" t="str">
            <v>FAMISANAR E.P.S.</v>
          </cell>
          <cell r="AA872">
            <v>41602</v>
          </cell>
        </row>
        <row r="873">
          <cell r="N873" t="str">
            <v>FAMISANAR E.P.S.</v>
          </cell>
          <cell r="AA873">
            <v>41602</v>
          </cell>
        </row>
        <row r="874">
          <cell r="N874" t="str">
            <v>NUEVA EMPRESA PROMOTORA DE SALUD S.A</v>
          </cell>
          <cell r="AA874">
            <v>0</v>
          </cell>
        </row>
        <row r="875">
          <cell r="N875" t="str">
            <v>FAMISANAR E.P.S.</v>
          </cell>
          <cell r="AA875">
            <v>0</v>
          </cell>
        </row>
        <row r="876">
          <cell r="N876" t="str">
            <v>FAMISANAR E.P.S.</v>
          </cell>
          <cell r="AA876">
            <v>78093</v>
          </cell>
        </row>
        <row r="877">
          <cell r="N877" t="str">
            <v>FAMISANAR E.P.S.</v>
          </cell>
          <cell r="AA877">
            <v>195232</v>
          </cell>
        </row>
        <row r="878">
          <cell r="N878" t="str">
            <v>FAMISANAR E.P.S.</v>
          </cell>
          <cell r="AA878">
            <v>78093</v>
          </cell>
        </row>
        <row r="879">
          <cell r="N879" t="str">
            <v>FAMISANAR E.P.S.</v>
          </cell>
          <cell r="AA879">
            <v>78093</v>
          </cell>
        </row>
        <row r="880">
          <cell r="N880" t="str">
            <v>FAMISANAR E.P.S.</v>
          </cell>
          <cell r="AA880">
            <v>67984</v>
          </cell>
        </row>
        <row r="881">
          <cell r="N881" t="str">
            <v>FAMISANAR E.P.S.</v>
          </cell>
          <cell r="AA881">
            <v>0</v>
          </cell>
        </row>
        <row r="882">
          <cell r="N882" t="str">
            <v>FAMISANAR E.P.S.</v>
          </cell>
          <cell r="AA882">
            <v>66003</v>
          </cell>
        </row>
        <row r="883">
          <cell r="N883" t="str">
            <v>FAMISANAR E.P.S.</v>
          </cell>
          <cell r="AA883">
            <v>82137</v>
          </cell>
        </row>
        <row r="884">
          <cell r="N884" t="str">
            <v>NUEVA EMPRESA PROMOTORA DE SALUD S.A</v>
          </cell>
          <cell r="AA884">
            <v>0</v>
          </cell>
        </row>
        <row r="885">
          <cell r="N885" t="str">
            <v>NUEVA EMPRESA PROMOTORA DE SALUD S.A</v>
          </cell>
          <cell r="AA885">
            <v>0</v>
          </cell>
        </row>
        <row r="886">
          <cell r="N886" t="str">
            <v>FAMISANAR E.P.S.</v>
          </cell>
          <cell r="AA886">
            <v>0</v>
          </cell>
        </row>
        <row r="887">
          <cell r="N887" t="str">
            <v>ENTIDAD PROMOTORA DE SALUD SERVICIO OCCIDENTA</v>
          </cell>
          <cell r="AA887">
            <v>0</v>
          </cell>
        </row>
        <row r="888">
          <cell r="N888" t="str">
            <v>CRUZ BLANCA E.P.S. S.A.</v>
          </cell>
          <cell r="AA888">
            <v>0</v>
          </cell>
        </row>
        <row r="889">
          <cell r="N889" t="str">
            <v>CRUZ BLANCA E.P.S. S.A.</v>
          </cell>
          <cell r="AA889">
            <v>0</v>
          </cell>
        </row>
        <row r="890">
          <cell r="N890" t="str">
            <v>CRUZ BLANCA E.P.S. S.A.</v>
          </cell>
          <cell r="AA890">
            <v>0</v>
          </cell>
        </row>
        <row r="891">
          <cell r="N891" t="str">
            <v>CRUZ BLANCA E.P.S.</v>
          </cell>
          <cell r="AA891">
            <v>0</v>
          </cell>
        </row>
        <row r="892">
          <cell r="N892" t="str">
            <v>POSITIVA</v>
          </cell>
          <cell r="AA892">
            <v>0</v>
          </cell>
        </row>
        <row r="893">
          <cell r="N893" t="str">
            <v>ENTIDAD PROMOTORA DE SALUD SANITAS S.A. EPS</v>
          </cell>
          <cell r="AA893">
            <v>0</v>
          </cell>
        </row>
        <row r="894">
          <cell r="N894" t="str">
            <v>ENTIDAD PROMOTORA DE SALUD SANITAS S.A. EPS</v>
          </cell>
          <cell r="AA894">
            <v>0</v>
          </cell>
        </row>
        <row r="895">
          <cell r="N895" t="str">
            <v>ENTIDAD PROMOTORA DE SALUD SANITAS S.A. EPS</v>
          </cell>
          <cell r="AA895">
            <v>0</v>
          </cell>
        </row>
        <row r="896">
          <cell r="N896" t="str">
            <v>ENTIDAD PROMOTORA DE SALUD SANITAS S.A. EPS</v>
          </cell>
          <cell r="AA896">
            <v>0</v>
          </cell>
        </row>
        <row r="897">
          <cell r="N897" t="str">
            <v>ENTIDAD PROMOTORA DE SALUD SANITAS S.A. EPS</v>
          </cell>
          <cell r="AA897">
            <v>0</v>
          </cell>
        </row>
        <row r="898">
          <cell r="N898" t="str">
            <v>ENTIDAD PROMOTORA DE SALUD SANITAS S.A. EPS</v>
          </cell>
          <cell r="AA898">
            <v>0</v>
          </cell>
        </row>
        <row r="899">
          <cell r="N899" t="str">
            <v>FAMISANAR E.P.S.</v>
          </cell>
          <cell r="AA899">
            <v>73515</v>
          </cell>
        </row>
        <row r="900">
          <cell r="N900" t="str">
            <v>FAMISANAR E.P.S.</v>
          </cell>
          <cell r="AA900">
            <v>147030</v>
          </cell>
        </row>
        <row r="901">
          <cell r="N901" t="str">
            <v>FAMISANAR E.P.S.</v>
          </cell>
          <cell r="AA901">
            <v>73515</v>
          </cell>
        </row>
        <row r="902">
          <cell r="N902" t="str">
            <v>FAMISANAR E.P.S.</v>
          </cell>
          <cell r="AA902">
            <v>0</v>
          </cell>
        </row>
        <row r="903">
          <cell r="N903" t="str">
            <v>FAMISANAR E.P.S.</v>
          </cell>
          <cell r="AA903">
            <v>0</v>
          </cell>
        </row>
        <row r="904">
          <cell r="N904" t="str">
            <v>FAMISANAR E.P.S.</v>
          </cell>
          <cell r="AA904">
            <v>0</v>
          </cell>
        </row>
        <row r="905">
          <cell r="N905" t="str">
            <v>CAJA DE COMPENSACION FAMILIAR COMPENSAR</v>
          </cell>
          <cell r="AA905">
            <v>367352</v>
          </cell>
        </row>
        <row r="906">
          <cell r="N906" t="str">
            <v>CAJA DE COMPENSACION FAMILIAR COMPENSAR</v>
          </cell>
          <cell r="AA906">
            <v>0</v>
          </cell>
        </row>
        <row r="907">
          <cell r="N907" t="str">
            <v>CAJA DE COMPENSACION FAMILIAR COMPENSAR</v>
          </cell>
          <cell r="AA907">
            <v>0</v>
          </cell>
        </row>
        <row r="908">
          <cell r="N908" t="str">
            <v>CAJA DE COMPENSACION FAMILIAR COMPENSAR</v>
          </cell>
          <cell r="AA908">
            <v>0</v>
          </cell>
        </row>
        <row r="909">
          <cell r="N909" t="str">
            <v>CAJA DE COMPENSACION FAMILIAR COMPENSAR</v>
          </cell>
          <cell r="AA909">
            <v>0</v>
          </cell>
        </row>
        <row r="910">
          <cell r="N910" t="str">
            <v>ENTIDAD PROMOTORA DE SALUD SANITAS S.A. EPS</v>
          </cell>
          <cell r="AA910">
            <v>0</v>
          </cell>
        </row>
        <row r="911">
          <cell r="N911" t="str">
            <v>ENTIDAD PROMOTORA DE SALUD SANITAS S.A. EPS</v>
          </cell>
          <cell r="AA911">
            <v>0</v>
          </cell>
        </row>
        <row r="912">
          <cell r="N912" t="str">
            <v>ENTIDAD PROMOTORA DE SALUD ORGANISMO COOPERAT</v>
          </cell>
          <cell r="AA912">
            <v>374833</v>
          </cell>
        </row>
        <row r="913">
          <cell r="N913" t="str">
            <v>ENTIDAD PROMOTORA DE SALUD ORGANISMO COOPERAT</v>
          </cell>
          <cell r="AA913">
            <v>0</v>
          </cell>
        </row>
        <row r="914">
          <cell r="N914" t="str">
            <v>FAMISANAR E.P.S.</v>
          </cell>
          <cell r="AA914">
            <v>0</v>
          </cell>
        </row>
        <row r="915">
          <cell r="N915" t="str">
            <v>FAMISANAR E.P.S.</v>
          </cell>
          <cell r="AA915">
            <v>0</v>
          </cell>
        </row>
        <row r="916">
          <cell r="N916" t="str">
            <v>NUEVA EMPRESA PROMOTORA DE SALUD S.A</v>
          </cell>
          <cell r="AA916">
            <v>0</v>
          </cell>
        </row>
        <row r="917">
          <cell r="N917" t="str">
            <v>NUEVA EMPRESA PROMOTORA DE SALUD S.A</v>
          </cell>
          <cell r="AA917">
            <v>0</v>
          </cell>
        </row>
        <row r="918">
          <cell r="N918" t="str">
            <v>CAFESALUD E.P.S.</v>
          </cell>
          <cell r="AA918">
            <v>0</v>
          </cell>
        </row>
        <row r="919">
          <cell r="N919" t="str">
            <v>POSITIVA</v>
          </cell>
          <cell r="AA919">
            <v>0</v>
          </cell>
        </row>
        <row r="920">
          <cell r="N920" t="str">
            <v>POSITIVA</v>
          </cell>
          <cell r="AA920">
            <v>0</v>
          </cell>
        </row>
        <row r="921">
          <cell r="N921" t="str">
            <v>CAJA DE COMPENSACION FAMILIAR COMPENSAR</v>
          </cell>
          <cell r="AA921">
            <v>0</v>
          </cell>
        </row>
        <row r="922">
          <cell r="N922" t="str">
            <v>SALUD TOTAL S.A.</v>
          </cell>
          <cell r="AA922">
            <v>0</v>
          </cell>
        </row>
        <row r="923">
          <cell r="N923" t="str">
            <v>SALUD TOTAL S.A.</v>
          </cell>
          <cell r="AA923">
            <v>0</v>
          </cell>
        </row>
        <row r="924">
          <cell r="N924" t="str">
            <v>SALUD TOTAL S.A.</v>
          </cell>
          <cell r="AA924">
            <v>0</v>
          </cell>
        </row>
        <row r="925">
          <cell r="N925" t="str">
            <v>SALUD TOTAL EPS</v>
          </cell>
          <cell r="AA925">
            <v>0</v>
          </cell>
        </row>
        <row r="926">
          <cell r="N926" t="str">
            <v>FAMISANAR E.P.S.</v>
          </cell>
          <cell r="AA926">
            <v>0</v>
          </cell>
        </row>
        <row r="927">
          <cell r="N927" t="str">
            <v>FAMISANAR E.P.S.</v>
          </cell>
          <cell r="AA927">
            <v>0</v>
          </cell>
        </row>
        <row r="928">
          <cell r="N928" t="str">
            <v>FAMISANAR E.P.S.</v>
          </cell>
          <cell r="AA928">
            <v>0</v>
          </cell>
        </row>
        <row r="929">
          <cell r="N929" t="str">
            <v>FAMISANAR E.P.S.</v>
          </cell>
          <cell r="AA929">
            <v>0</v>
          </cell>
        </row>
        <row r="930">
          <cell r="N930" t="str">
            <v>FAMISANAR E.P.S.</v>
          </cell>
          <cell r="AA930">
            <v>95894</v>
          </cell>
        </row>
        <row r="931">
          <cell r="N931" t="str">
            <v>POSITIVA</v>
          </cell>
          <cell r="AA931">
            <v>0</v>
          </cell>
        </row>
        <row r="932">
          <cell r="N932" t="str">
            <v>FAMISANAR E.P.S.</v>
          </cell>
          <cell r="AA932">
            <v>0</v>
          </cell>
        </row>
        <row r="933">
          <cell r="N933" t="str">
            <v>FAMISANAR E.P.S.</v>
          </cell>
          <cell r="AA933">
            <v>281967</v>
          </cell>
        </row>
        <row r="934">
          <cell r="N934" t="str">
            <v>FAMISANAR E.P.S.</v>
          </cell>
          <cell r="AA934">
            <v>0</v>
          </cell>
        </row>
        <row r="935">
          <cell r="N935" t="str">
            <v>ALIANSALUD EPS</v>
          </cell>
          <cell r="AA935">
            <v>0</v>
          </cell>
        </row>
        <row r="936">
          <cell r="N936" t="str">
            <v>Nueva Promotora de Salud - Nueva EPS</v>
          </cell>
          <cell r="AA936">
            <v>138540</v>
          </cell>
        </row>
        <row r="937">
          <cell r="N937" t="str">
            <v>POSITIVA</v>
          </cell>
          <cell r="AA937">
            <v>0</v>
          </cell>
        </row>
        <row r="938">
          <cell r="N938" t="str">
            <v>CRUZ BLANCA E.P.S. S.A.</v>
          </cell>
          <cell r="AA938">
            <v>70448</v>
          </cell>
        </row>
        <row r="939">
          <cell r="N939" t="str">
            <v>CRUZ BLANCA E.P.S. S.A.</v>
          </cell>
          <cell r="AA939">
            <v>0</v>
          </cell>
        </row>
        <row r="940">
          <cell r="N940" t="str">
            <v>CRUZ BLANCA E.P.S. S.A.</v>
          </cell>
          <cell r="AA940">
            <v>0</v>
          </cell>
        </row>
        <row r="941">
          <cell r="N941" t="str">
            <v>CRUZ BLANCA E.P.S. S.A.</v>
          </cell>
          <cell r="AA941">
            <v>0</v>
          </cell>
        </row>
        <row r="942">
          <cell r="N942" t="str">
            <v>CRUZ BLANCA E.P.S. S.A.</v>
          </cell>
          <cell r="AA942">
            <v>0</v>
          </cell>
        </row>
        <row r="943">
          <cell r="N943" t="str">
            <v>CRUZ BLANCA E.P.S. S.A.</v>
          </cell>
          <cell r="AA943">
            <v>0</v>
          </cell>
        </row>
        <row r="944">
          <cell r="N944" t="e">
            <v>#N/A</v>
          </cell>
          <cell r="AA944">
            <v>0</v>
          </cell>
        </row>
        <row r="945">
          <cell r="N945" t="str">
            <v>CAJA DE COMPENSACION FAMILIAR COMPENSAR</v>
          </cell>
          <cell r="AA945">
            <v>0</v>
          </cell>
        </row>
        <row r="946">
          <cell r="N946" t="str">
            <v>COMPENSAR EPS</v>
          </cell>
          <cell r="AA946">
            <v>0</v>
          </cell>
        </row>
        <row r="947">
          <cell r="N947" t="str">
            <v>ENTIDAD PROMOTORA DE SALUD SANITAS S.A. EPS</v>
          </cell>
          <cell r="AA947">
            <v>684479</v>
          </cell>
        </row>
        <row r="948">
          <cell r="N948" t="str">
            <v>ENTIDAD PROMOTORA DE SALUD SANITAS S.A. EPS</v>
          </cell>
          <cell r="AA948">
            <v>5133590</v>
          </cell>
        </row>
        <row r="949">
          <cell r="N949" t="str">
            <v>CAFESALUD E.P.S.</v>
          </cell>
          <cell r="AA949">
            <v>0</v>
          </cell>
        </row>
        <row r="950">
          <cell r="N950" t="str">
            <v>CAFESALUD E.P.S.</v>
          </cell>
          <cell r="AA950">
            <v>0</v>
          </cell>
        </row>
        <row r="951">
          <cell r="N951" t="str">
            <v>CAJA DE COMPENSACION FAMILIAR COMPENSAR</v>
          </cell>
          <cell r="AA951">
            <v>0</v>
          </cell>
        </row>
        <row r="952">
          <cell r="N952" t="str">
            <v>CAJA DE COMPENSACION FAMILIAR COMPENSAR</v>
          </cell>
          <cell r="AA952">
            <v>0</v>
          </cell>
        </row>
        <row r="953">
          <cell r="N953" t="str">
            <v>CAJA DE COMPENSACION FAMILIAR COMPENSAR</v>
          </cell>
          <cell r="AA953">
            <v>43113</v>
          </cell>
        </row>
        <row r="954">
          <cell r="N954" t="str">
            <v>ENTIDAD PROMOTORA DE SALUD SANITAS S.A. EPS</v>
          </cell>
          <cell r="AA954">
            <v>1237929</v>
          </cell>
        </row>
        <row r="955">
          <cell r="N955" t="str">
            <v>ENTIDAD PROMOTORA DE SALUD SANITAS S.A. EPS</v>
          </cell>
          <cell r="AA955">
            <v>1237929</v>
          </cell>
        </row>
        <row r="956">
          <cell r="N956" t="str">
            <v>ENTIDAD PROMOTORA DE SALUD SANITAS S.A. EPS</v>
          </cell>
          <cell r="AA956">
            <v>1392670</v>
          </cell>
        </row>
        <row r="957">
          <cell r="N957" t="str">
            <v>ENTIDAD PROMOTORA DE SALUD SANITAS S.A. EPS</v>
          </cell>
          <cell r="AA957">
            <v>309482</v>
          </cell>
        </row>
        <row r="958">
          <cell r="N958" t="str">
            <v>ENTIDAD PROMOTORA DE SALUD SANITAS S.A. EPS</v>
          </cell>
          <cell r="AA958">
            <v>0</v>
          </cell>
        </row>
        <row r="959">
          <cell r="N959" t="str">
            <v>ENTIDAD PROMOTORA DE SALUD SANITAS S.A. EPS</v>
          </cell>
          <cell r="AA959">
            <v>773705</v>
          </cell>
        </row>
        <row r="960">
          <cell r="N960" t="str">
            <v>ENTIDAD PROMOTORA DE SALUD SANITAS S.A. EPS</v>
          </cell>
          <cell r="AA960">
            <v>309482</v>
          </cell>
        </row>
        <row r="961">
          <cell r="N961" t="str">
            <v>ENTIDAD PROMOTORA DE SALUD SANITAS S.A. EPS</v>
          </cell>
          <cell r="AA961">
            <v>0</v>
          </cell>
        </row>
        <row r="962">
          <cell r="N962" t="str">
            <v>ENTIDAD PROMOTORA DE SALUD SANITAS S.A. EPS</v>
          </cell>
          <cell r="AA962">
            <v>0</v>
          </cell>
        </row>
        <row r="963">
          <cell r="N963" t="str">
            <v>POSITIVA</v>
          </cell>
          <cell r="AA963">
            <v>241600</v>
          </cell>
        </row>
        <row r="964">
          <cell r="N964" t="str">
            <v>POSITIVA</v>
          </cell>
          <cell r="AA964">
            <v>926133</v>
          </cell>
        </row>
        <row r="965">
          <cell r="N965" t="str">
            <v>POSITIVA</v>
          </cell>
          <cell r="AA965">
            <v>322133</v>
          </cell>
        </row>
        <row r="966">
          <cell r="N966" t="str">
            <v>POSITIVA</v>
          </cell>
          <cell r="AA966">
            <v>885867</v>
          </cell>
        </row>
        <row r="967">
          <cell r="N967" t="str">
            <v>ENTIDAD PROMOTORA DE SALUD SANITAS S.A. EPS</v>
          </cell>
          <cell r="AA967">
            <v>0</v>
          </cell>
        </row>
        <row r="968">
          <cell r="N968" t="str">
            <v>ENTIDAD PROMOTORA DE SALUD SANITAS S.A. EPS</v>
          </cell>
          <cell r="AA968">
            <v>395464</v>
          </cell>
        </row>
        <row r="969">
          <cell r="N969" t="str">
            <v>CAJA DE COMPENSACION FAMILIAR COMPENSAR</v>
          </cell>
          <cell r="AA969">
            <v>0</v>
          </cell>
        </row>
        <row r="970">
          <cell r="N970" t="str">
            <v>POSITIVA</v>
          </cell>
          <cell r="AA970">
            <v>0</v>
          </cell>
        </row>
        <row r="971">
          <cell r="N971" t="str">
            <v>ENTIDAD PROMOTORA DE SALUD ORGANISMO COOPERAT</v>
          </cell>
          <cell r="AA971">
            <v>302933</v>
          </cell>
        </row>
        <row r="972">
          <cell r="N972" t="str">
            <v>ENTIDAD PROMOTORA DE SALUD ORGANISMO COOPERAT</v>
          </cell>
          <cell r="AA972">
            <v>227200</v>
          </cell>
        </row>
        <row r="973">
          <cell r="N973" t="str">
            <v>ENTIDAD PROMOTORA DE SALUD ORGANISMO COOPERAT</v>
          </cell>
          <cell r="AA973">
            <v>0</v>
          </cell>
        </row>
        <row r="974">
          <cell r="N974" t="str">
            <v>ENTIDAD PROMOTORA DE SALUD ORGANISMO COOPERAT</v>
          </cell>
          <cell r="AA974">
            <v>0</v>
          </cell>
        </row>
        <row r="975">
          <cell r="N975" t="str">
            <v>CAFESALUD E.P.S.</v>
          </cell>
          <cell r="AA975">
            <v>0</v>
          </cell>
        </row>
        <row r="976">
          <cell r="N976" t="str">
            <v>NUEVA EMPRESA PROMOTORA DE SALUD S.A</v>
          </cell>
          <cell r="AA976">
            <v>0</v>
          </cell>
        </row>
        <row r="977">
          <cell r="N977" t="str">
            <v>NUEVA EMPRESA PROMOTORA DE SALUD S.A</v>
          </cell>
          <cell r="AA977">
            <v>174092</v>
          </cell>
        </row>
        <row r="978">
          <cell r="N978" t="str">
            <v>NUEVA EMPRESA PROMOTORA DE SALUD S.A</v>
          </cell>
          <cell r="AA978">
            <v>0</v>
          </cell>
        </row>
        <row r="979">
          <cell r="N979" t="str">
            <v>NUEVA EMPRESA PROMOTORA DE SALUD S.A</v>
          </cell>
          <cell r="AA979">
            <v>0</v>
          </cell>
        </row>
        <row r="980">
          <cell r="N980" t="str">
            <v>NUEVA EMPRESA PROMOTORA DE SALUD S.A</v>
          </cell>
          <cell r="AA980">
            <v>553623</v>
          </cell>
        </row>
        <row r="981">
          <cell r="N981" t="str">
            <v>NUEVA EMPRESA PROMOTORA DE SALUD S.A</v>
          </cell>
          <cell r="AA981">
            <v>97872</v>
          </cell>
        </row>
        <row r="982">
          <cell r="N982" t="str">
            <v>NUEVA EMPRESA PROMOTORA DE SALUD S.A</v>
          </cell>
          <cell r="AA982">
            <v>880844</v>
          </cell>
        </row>
        <row r="983">
          <cell r="N983" t="str">
            <v>NUEVA EMPRESA PROMOTORA DE SALUD S.A</v>
          </cell>
          <cell r="AA983">
            <v>97872</v>
          </cell>
        </row>
        <row r="984">
          <cell r="N984" t="str">
            <v>NUEVA EMPRESA PROMOTORA DE SALUD S.A</v>
          </cell>
          <cell r="AA984">
            <v>391486</v>
          </cell>
        </row>
        <row r="985">
          <cell r="N985" t="str">
            <v>NUEVA EMPRESA PROMOTORA DE SALUD S.A</v>
          </cell>
          <cell r="AA985">
            <v>489358</v>
          </cell>
        </row>
        <row r="986">
          <cell r="N986" t="str">
            <v>NUEVA EMPRESA PROMOTORA DE SALUD S.A</v>
          </cell>
          <cell r="AA986">
            <v>232878</v>
          </cell>
        </row>
        <row r="987">
          <cell r="N987" t="str">
            <v>NUEVA EMPRESA PROMOTORA DE SALUD S.A</v>
          </cell>
          <cell r="AA987">
            <v>0</v>
          </cell>
        </row>
        <row r="988">
          <cell r="N988" t="str">
            <v>NUEVA EMPRESA PROMOTORA DE SALUD S.A</v>
          </cell>
          <cell r="AA988">
            <v>172453</v>
          </cell>
        </row>
        <row r="989">
          <cell r="N989" t="str">
            <v>POSITIVA</v>
          </cell>
          <cell r="AA989">
            <v>0</v>
          </cell>
        </row>
        <row r="990">
          <cell r="N990" t="str">
            <v>FAMISANAR E.P.S.</v>
          </cell>
          <cell r="AA990">
            <v>0</v>
          </cell>
        </row>
        <row r="991">
          <cell r="N991" t="str">
            <v>FAMISANAR E.P.S.</v>
          </cell>
          <cell r="AA991">
            <v>112006</v>
          </cell>
        </row>
        <row r="992">
          <cell r="N992" t="str">
            <v>FAMISANAR E.P.S.</v>
          </cell>
          <cell r="AA992">
            <v>0</v>
          </cell>
        </row>
        <row r="993">
          <cell r="N993" t="str">
            <v>FAMISANAR E.P.S.</v>
          </cell>
          <cell r="AA993">
            <v>0</v>
          </cell>
        </row>
        <row r="994">
          <cell r="N994" t="str">
            <v>FAMISANAR E.P.S.</v>
          </cell>
          <cell r="AA994">
            <v>0</v>
          </cell>
        </row>
        <row r="995">
          <cell r="N995" t="str">
            <v>FAMISANAR E.P.S.</v>
          </cell>
          <cell r="AA995">
            <v>0</v>
          </cell>
        </row>
        <row r="996">
          <cell r="N996" t="str">
            <v>FAMISANAR E.P.S.</v>
          </cell>
          <cell r="AA996">
            <v>0</v>
          </cell>
        </row>
        <row r="997">
          <cell r="N997" t="str">
            <v>FAMISANAR E.P.S.</v>
          </cell>
          <cell r="AA997">
            <v>0</v>
          </cell>
        </row>
        <row r="998">
          <cell r="N998" t="str">
            <v>FAMISANAR E.P.S.</v>
          </cell>
          <cell r="AA998">
            <v>4207142</v>
          </cell>
        </row>
        <row r="999">
          <cell r="N999" t="str">
            <v>FAMISANAR E.P.S.</v>
          </cell>
          <cell r="AA999">
            <v>450100</v>
          </cell>
        </row>
        <row r="1000">
          <cell r="N1000" t="str">
            <v>FAMISANAR E.P.S.</v>
          </cell>
          <cell r="AA1000">
            <v>139400</v>
          </cell>
        </row>
        <row r="1001">
          <cell r="N1001" t="str">
            <v>FAMISANAR E.P.S.</v>
          </cell>
          <cell r="AA1001">
            <v>650533</v>
          </cell>
        </row>
        <row r="1002">
          <cell r="N1002" t="str">
            <v>FAMISANAR E.P.S.</v>
          </cell>
          <cell r="AA1002">
            <v>580833</v>
          </cell>
        </row>
        <row r="1003">
          <cell r="N1003" t="str">
            <v>FAMISANAR E.P.S.</v>
          </cell>
          <cell r="AA1003">
            <v>139400</v>
          </cell>
        </row>
        <row r="1004">
          <cell r="N1004" t="str">
            <v>FAMISANAR E.P.S.</v>
          </cell>
          <cell r="AA1004">
            <v>697000</v>
          </cell>
        </row>
        <row r="1005">
          <cell r="N1005" t="str">
            <v>FAMISANAR E.P.S.</v>
          </cell>
          <cell r="AA1005">
            <v>720233</v>
          </cell>
        </row>
        <row r="1006">
          <cell r="N1006" t="str">
            <v>FAMISANAR E.P.S.</v>
          </cell>
          <cell r="AA1006">
            <v>697000</v>
          </cell>
        </row>
        <row r="1007">
          <cell r="N1007" t="str">
            <v>FAMISANAR E.P.S.</v>
          </cell>
          <cell r="AA1007">
            <v>185867</v>
          </cell>
        </row>
        <row r="1008">
          <cell r="N1008" t="str">
            <v>FAMISANAR E.P.S.</v>
          </cell>
          <cell r="AA1008">
            <v>534367</v>
          </cell>
        </row>
        <row r="1009">
          <cell r="N1009" t="str">
            <v>FAMISANAR E.P.S.</v>
          </cell>
          <cell r="AA1009">
            <v>162633</v>
          </cell>
        </row>
        <row r="1010">
          <cell r="N1010" t="str">
            <v>FAMISANAR E.P.S.</v>
          </cell>
          <cell r="AA1010">
            <v>302033</v>
          </cell>
        </row>
        <row r="1011">
          <cell r="N1011" t="str">
            <v>FAMISANAR E.P.S.</v>
          </cell>
          <cell r="AA1011">
            <v>255567</v>
          </cell>
        </row>
        <row r="1012">
          <cell r="N1012" t="str">
            <v>FAMISANAR E.P.S.</v>
          </cell>
          <cell r="AA1012">
            <v>697000</v>
          </cell>
        </row>
        <row r="1013">
          <cell r="N1013" t="str">
            <v>FAMISANAR E.P.S.</v>
          </cell>
          <cell r="AA1013">
            <v>720233</v>
          </cell>
        </row>
        <row r="1014">
          <cell r="N1014" t="str">
            <v>FAMISANAR E.P.S.</v>
          </cell>
          <cell r="AA1014">
            <v>697000</v>
          </cell>
        </row>
        <row r="1015">
          <cell r="N1015" t="str">
            <v>FAMISANAR E.P.S.</v>
          </cell>
          <cell r="AA1015">
            <v>720233</v>
          </cell>
        </row>
        <row r="1016">
          <cell r="N1016" t="str">
            <v>FAMISANAR E.P.S.</v>
          </cell>
          <cell r="AA1016">
            <v>1044684</v>
          </cell>
        </row>
        <row r="1017">
          <cell r="N1017" t="str">
            <v>FAMISANAR E.P.S.</v>
          </cell>
          <cell r="AA1017">
            <v>278800</v>
          </cell>
        </row>
        <row r="1018">
          <cell r="N1018" t="str">
            <v>FAMISANAR E.P.S.</v>
          </cell>
          <cell r="AA1018">
            <v>69700</v>
          </cell>
        </row>
        <row r="1019">
          <cell r="N1019" t="str">
            <v>POSITIVA</v>
          </cell>
          <cell r="AA1019">
            <v>46467</v>
          </cell>
        </row>
        <row r="1020">
          <cell r="N1020" t="str">
            <v>POSITIVA</v>
          </cell>
          <cell r="AA1020">
            <v>1115200</v>
          </cell>
        </row>
        <row r="1021">
          <cell r="N1021" t="str">
            <v>POSITIVA</v>
          </cell>
          <cell r="AA1021">
            <v>1161667</v>
          </cell>
        </row>
        <row r="1022">
          <cell r="N1022" t="str">
            <v>FAMISANAR E.P.S.</v>
          </cell>
          <cell r="AA1022">
            <v>139400</v>
          </cell>
        </row>
        <row r="1023">
          <cell r="N1023" t="str">
            <v>POSITIVA</v>
          </cell>
          <cell r="AA1023">
            <v>1394000</v>
          </cell>
        </row>
        <row r="1024">
          <cell r="N1024" t="str">
            <v>FAMISANAR E.P.S.</v>
          </cell>
          <cell r="AA1024">
            <v>960359</v>
          </cell>
        </row>
        <row r="1025">
          <cell r="N1025" t="str">
            <v>FAMISANAR E.P.S.</v>
          </cell>
          <cell r="AA1025">
            <v>824750</v>
          </cell>
        </row>
        <row r="1026">
          <cell r="N1026" t="str">
            <v>CRUZ BLANCA E.P.S. S.A.</v>
          </cell>
          <cell r="AA1026">
            <v>0</v>
          </cell>
        </row>
        <row r="1027">
          <cell r="N1027" t="str">
            <v>CRUZ BLANCA E.P.S. S.A.</v>
          </cell>
          <cell r="AA1027">
            <v>0</v>
          </cell>
        </row>
        <row r="1028">
          <cell r="N1028" t="str">
            <v>CRUZ BLANCA E.P.S. S.A.</v>
          </cell>
          <cell r="AA1028">
            <v>0</v>
          </cell>
        </row>
        <row r="1029">
          <cell r="N1029" t="str">
            <v>CRUZ BLANCA E.P.S. S.A.</v>
          </cell>
          <cell r="AA1029">
            <v>0</v>
          </cell>
        </row>
        <row r="1030">
          <cell r="N1030" t="str">
            <v>CRUZ BLANCA E.P.S. S.A.</v>
          </cell>
          <cell r="AA1030">
            <v>0</v>
          </cell>
        </row>
        <row r="1031">
          <cell r="N1031" t="str">
            <v>CRUZ BLANCA E.P.S. S.A.</v>
          </cell>
          <cell r="AA1031">
            <v>0</v>
          </cell>
        </row>
        <row r="1032">
          <cell r="N1032" t="str">
            <v>CAJA DE COMPENSACION FAMILIAR COMPENSAR</v>
          </cell>
          <cell r="AA1032">
            <v>0</v>
          </cell>
        </row>
        <row r="1033">
          <cell r="N1033" t="str">
            <v>CAJA DE COMPENSACION FAMILIAR COMPENSAR</v>
          </cell>
          <cell r="AA1033">
            <v>0</v>
          </cell>
        </row>
        <row r="1034">
          <cell r="N1034" t="str">
            <v>FAMISANAR E.P.S.</v>
          </cell>
          <cell r="AA1034">
            <v>0</v>
          </cell>
        </row>
        <row r="1035">
          <cell r="N1035" t="str">
            <v>FAMISANAR E.P.S.</v>
          </cell>
          <cell r="AA1035">
            <v>235212</v>
          </cell>
        </row>
        <row r="1036">
          <cell r="N1036" t="str">
            <v>FAMISANAR E.P.S.</v>
          </cell>
          <cell r="AA1036">
            <v>672034</v>
          </cell>
        </row>
        <row r="1037">
          <cell r="N1037" t="str">
            <v>FAMISANAR E.P.S.</v>
          </cell>
          <cell r="AA1037">
            <v>64981</v>
          </cell>
        </row>
        <row r="1038">
          <cell r="N1038" t="str">
            <v>FAMISANAR E.P.S.</v>
          </cell>
          <cell r="AA1038">
            <v>324905</v>
          </cell>
        </row>
        <row r="1039">
          <cell r="N1039" t="str">
            <v>CAFESALUD E.P.S.</v>
          </cell>
          <cell r="AA1039">
            <v>285267</v>
          </cell>
        </row>
        <row r="1040">
          <cell r="N1040" t="str">
            <v>CAFESALUD E.P.S.</v>
          </cell>
          <cell r="AA1040">
            <v>22357</v>
          </cell>
        </row>
        <row r="1041">
          <cell r="N1041" t="str">
            <v>SALUD TOTAL EPS</v>
          </cell>
          <cell r="AA1041">
            <v>0</v>
          </cell>
        </row>
        <row r="1042">
          <cell r="N1042" t="str">
            <v>SALUD TOTAL EPS</v>
          </cell>
          <cell r="AA1042">
            <v>0</v>
          </cell>
        </row>
        <row r="1043">
          <cell r="N1043" t="str">
            <v>SALUD TOTAL S.A.</v>
          </cell>
          <cell r="AA1043">
            <v>0</v>
          </cell>
        </row>
        <row r="1044">
          <cell r="N1044" t="str">
            <v>POSITIVA</v>
          </cell>
          <cell r="AA1044">
            <v>48000</v>
          </cell>
        </row>
        <row r="1045">
          <cell r="N1045" t="str">
            <v>NUEVA EMPRESA PROMOTORA DE SALUD S.A</v>
          </cell>
          <cell r="AA1045">
            <v>0</v>
          </cell>
        </row>
        <row r="1046">
          <cell r="N1046" t="str">
            <v>NUEVA EMPRESA PROMOTORA DE SALUD S.A</v>
          </cell>
          <cell r="AA1046">
            <v>0</v>
          </cell>
        </row>
        <row r="1047">
          <cell r="N1047" t="str">
            <v>FAMISANAR E.P.S.</v>
          </cell>
          <cell r="AA1047">
            <v>0</v>
          </cell>
        </row>
        <row r="1048">
          <cell r="N1048" t="str">
            <v>POSITIVA</v>
          </cell>
          <cell r="AA1048">
            <v>0</v>
          </cell>
        </row>
        <row r="1049">
          <cell r="N1049" t="str">
            <v>POSITIVA</v>
          </cell>
          <cell r="AA1049">
            <v>0</v>
          </cell>
        </row>
        <row r="1050">
          <cell r="N1050" t="str">
            <v>FAMISANAR E.P.S.</v>
          </cell>
          <cell r="AA1050">
            <v>34557</v>
          </cell>
        </row>
        <row r="1051">
          <cell r="N1051" t="str">
            <v>FAMISANAR E.P.S.</v>
          </cell>
          <cell r="AA1051">
            <v>34557</v>
          </cell>
        </row>
        <row r="1052">
          <cell r="N1052" t="str">
            <v>FAMISANAR E.P.S.</v>
          </cell>
          <cell r="AA1052">
            <v>34557</v>
          </cell>
        </row>
        <row r="1053">
          <cell r="N1053" t="str">
            <v>FAMISANAR E.P.S.</v>
          </cell>
          <cell r="AA1053">
            <v>241901</v>
          </cell>
        </row>
        <row r="1054">
          <cell r="N1054" t="str">
            <v>CAFESALUD E.P.S.</v>
          </cell>
          <cell r="AA1054">
            <v>0</v>
          </cell>
        </row>
        <row r="1055">
          <cell r="N1055" t="str">
            <v>CAJA DE COMPENSACION FAMILIAR COMPENSAR</v>
          </cell>
          <cell r="AA1055">
            <v>0</v>
          </cell>
        </row>
        <row r="1056">
          <cell r="N1056" t="str">
            <v>CAJA DE COMPENSACION FAMILIAR COMPENSAR</v>
          </cell>
          <cell r="AA1056">
            <v>0</v>
          </cell>
        </row>
        <row r="1057">
          <cell r="N1057" t="str">
            <v>CAJA DE COMPENSACION FAMILIAR COMPENSAR</v>
          </cell>
          <cell r="AA1057">
            <v>0</v>
          </cell>
        </row>
        <row r="1058">
          <cell r="N1058" t="str">
            <v>CAJA DE COMPENSACION FAMILIAR COMPENSAR</v>
          </cell>
          <cell r="AA1058">
            <v>0</v>
          </cell>
        </row>
        <row r="1059">
          <cell r="N1059" t="str">
            <v>CAJA DE COMPENSACION FAMILIAR COMPENSAR</v>
          </cell>
          <cell r="AA1059">
            <v>0</v>
          </cell>
        </row>
        <row r="1060">
          <cell r="N1060" t="str">
            <v>CAJA DE COMPENSACION FAMILIAR COMPENSAR</v>
          </cell>
          <cell r="AA1060">
            <v>0</v>
          </cell>
        </row>
        <row r="1061">
          <cell r="N1061" t="str">
            <v>POSITIVA</v>
          </cell>
          <cell r="AA1061">
            <v>78400</v>
          </cell>
        </row>
        <row r="1062">
          <cell r="N1062" t="str">
            <v>NUEVA EMPRESA PROMOTORA DE SALUD S.A</v>
          </cell>
          <cell r="AA1062">
            <v>0</v>
          </cell>
        </row>
        <row r="1063">
          <cell r="N1063" t="str">
            <v>FAMISANAR E.P.S.</v>
          </cell>
          <cell r="AA1063">
            <v>0</v>
          </cell>
        </row>
        <row r="1064">
          <cell r="N1064" t="str">
            <v>ENTIDAD PROMOTORA DE SALUD SANITAS S.A. EPS</v>
          </cell>
          <cell r="AA1064">
            <v>0</v>
          </cell>
        </row>
        <row r="1065">
          <cell r="N1065" t="str">
            <v>ENTIDAD PROMOTORA DE SALUD SANITAS S.A. EPS</v>
          </cell>
          <cell r="AA1065">
            <v>0</v>
          </cell>
        </row>
        <row r="1066">
          <cell r="N1066" t="str">
            <v>FAMISANAR E.P.S.</v>
          </cell>
          <cell r="AA1066">
            <v>0</v>
          </cell>
        </row>
        <row r="1067">
          <cell r="N1067" t="str">
            <v>CAFESALUD E.P.S.</v>
          </cell>
          <cell r="AA1067">
            <v>0</v>
          </cell>
        </row>
        <row r="1068">
          <cell r="N1068" t="str">
            <v>CAFESALUD E.P.S.</v>
          </cell>
          <cell r="AA1068">
            <v>0</v>
          </cell>
        </row>
        <row r="1069">
          <cell r="N1069" t="str">
            <v>CAFESALUD E.P.S.</v>
          </cell>
          <cell r="AA1069">
            <v>-21478</v>
          </cell>
        </row>
        <row r="1070">
          <cell r="N1070" t="str">
            <v>EPS Y MEDICINA PREPAGADA SURAMERICANA S.A</v>
          </cell>
          <cell r="AA1070">
            <v>0</v>
          </cell>
        </row>
        <row r="1071">
          <cell r="N1071" t="str">
            <v>EPS Y MEDICINA PREPAGADA SURAMERICANA S.A</v>
          </cell>
          <cell r="AA1071">
            <v>0</v>
          </cell>
        </row>
        <row r="1072">
          <cell r="N1072" t="str">
            <v>POSITIVA</v>
          </cell>
          <cell r="AA1072">
            <v>0</v>
          </cell>
        </row>
        <row r="1073">
          <cell r="N1073" t="str">
            <v>FAMISANAR E.P.S.</v>
          </cell>
          <cell r="AA1073">
            <v>0</v>
          </cell>
        </row>
        <row r="1074">
          <cell r="N1074" t="str">
            <v>FAMISANAR E.P.S.</v>
          </cell>
          <cell r="AA1074">
            <v>0</v>
          </cell>
        </row>
        <row r="1075">
          <cell r="N1075" t="str">
            <v>FAMISANAR E.P.S.</v>
          </cell>
          <cell r="AA1075">
            <v>0</v>
          </cell>
        </row>
        <row r="1076">
          <cell r="N1076" t="str">
            <v>FAMISANAR E.P.S.</v>
          </cell>
          <cell r="AA1076">
            <v>0</v>
          </cell>
        </row>
        <row r="1077">
          <cell r="N1077" t="str">
            <v>FAMISANAR E.P.S.</v>
          </cell>
          <cell r="AA1077">
            <v>0</v>
          </cell>
        </row>
        <row r="1078">
          <cell r="N1078" t="str">
            <v>SALUD TOTAL S.A.</v>
          </cell>
          <cell r="AA1078">
            <v>36924</v>
          </cell>
        </row>
        <row r="1079">
          <cell r="N1079" t="str">
            <v>CRUZ BLANCA E.P.S. S.A.</v>
          </cell>
          <cell r="AA1079">
            <v>79671</v>
          </cell>
        </row>
        <row r="1080">
          <cell r="N1080" t="str">
            <v>ENTIDAD PROMOTORA DE SALUD SANITAS S.A. EPS</v>
          </cell>
          <cell r="AA1080">
            <v>0</v>
          </cell>
        </row>
        <row r="1081">
          <cell r="N1081" t="str">
            <v>NUEVA EMPRESA PROMOTORA DE SALUD S.A</v>
          </cell>
          <cell r="AA1081">
            <v>0</v>
          </cell>
        </row>
        <row r="1082">
          <cell r="N1082" t="str">
            <v>FAMISANAR E.P.S.</v>
          </cell>
          <cell r="AA1082">
            <v>0</v>
          </cell>
        </row>
        <row r="1083">
          <cell r="N1083">
            <v>0</v>
          </cell>
          <cell r="AA1083">
            <v>0</v>
          </cell>
        </row>
        <row r="1084">
          <cell r="N1084">
            <v>0</v>
          </cell>
          <cell r="AA1084">
            <v>0</v>
          </cell>
        </row>
        <row r="1085">
          <cell r="AA1085">
            <v>145801433</v>
          </cell>
        </row>
        <row r="1094">
          <cell r="AA1094">
            <v>0</v>
          </cell>
        </row>
        <row r="1048477">
          <cell r="N1048477">
            <v>0</v>
          </cell>
        </row>
        <row r="1048555">
          <cell r="AA1048555">
            <v>0</v>
          </cell>
        </row>
      </sheetData>
      <sheetData sheetId="11">
        <row r="3">
          <cell r="AA3">
            <v>0</v>
          </cell>
        </row>
        <row r="4">
          <cell r="AA4">
            <v>25690</v>
          </cell>
        </row>
        <row r="5">
          <cell r="AA5">
            <v>0</v>
          </cell>
        </row>
        <row r="6">
          <cell r="AA6">
            <v>0</v>
          </cell>
        </row>
        <row r="7">
          <cell r="AA7">
            <v>0</v>
          </cell>
        </row>
        <row r="8">
          <cell r="AA8">
            <v>0</v>
          </cell>
        </row>
        <row r="9">
          <cell r="AA9">
            <v>0</v>
          </cell>
        </row>
        <row r="10">
          <cell r="AA10">
            <v>121406</v>
          </cell>
        </row>
        <row r="11">
          <cell r="AA11">
            <v>364218</v>
          </cell>
        </row>
        <row r="12">
          <cell r="AA12">
            <v>0</v>
          </cell>
        </row>
        <row r="13">
          <cell r="AA13">
            <v>0</v>
          </cell>
        </row>
        <row r="14">
          <cell r="AA14">
            <v>0</v>
          </cell>
        </row>
        <row r="15">
          <cell r="AA15">
            <v>0</v>
          </cell>
        </row>
        <row r="16">
          <cell r="AA16">
            <v>0</v>
          </cell>
        </row>
        <row r="17">
          <cell r="AA17">
            <v>0</v>
          </cell>
        </row>
        <row r="18">
          <cell r="AA18">
            <v>0</v>
          </cell>
        </row>
        <row r="19">
          <cell r="AA19">
            <v>0</v>
          </cell>
        </row>
        <row r="20">
          <cell r="AA20">
            <v>0</v>
          </cell>
        </row>
        <row r="21">
          <cell r="AA21">
            <v>0</v>
          </cell>
        </row>
        <row r="22">
          <cell r="AA22">
            <v>782039</v>
          </cell>
        </row>
        <row r="23">
          <cell r="AA23">
            <v>0</v>
          </cell>
        </row>
        <row r="24">
          <cell r="AA24">
            <v>0</v>
          </cell>
        </row>
        <row r="25">
          <cell r="AA25">
            <v>0</v>
          </cell>
        </row>
        <row r="26">
          <cell r="AA26">
            <v>0</v>
          </cell>
        </row>
        <row r="27">
          <cell r="AA27">
            <v>0</v>
          </cell>
        </row>
        <row r="28">
          <cell r="AA28">
            <v>128451</v>
          </cell>
        </row>
        <row r="29">
          <cell r="AA29">
            <v>0</v>
          </cell>
        </row>
        <row r="30">
          <cell r="AA30">
            <v>466667</v>
          </cell>
        </row>
        <row r="31">
          <cell r="AA31">
            <v>25579</v>
          </cell>
        </row>
        <row r="32">
          <cell r="AA32">
            <v>0</v>
          </cell>
        </row>
        <row r="33">
          <cell r="AA33">
            <v>0</v>
          </cell>
        </row>
        <row r="34">
          <cell r="AA34">
            <v>0</v>
          </cell>
        </row>
        <row r="35">
          <cell r="AA35">
            <v>0</v>
          </cell>
        </row>
        <row r="36">
          <cell r="AA36">
            <v>0</v>
          </cell>
        </row>
        <row r="37">
          <cell r="AA37">
            <v>0</v>
          </cell>
        </row>
        <row r="38">
          <cell r="AA38">
            <v>0</v>
          </cell>
        </row>
        <row r="39">
          <cell r="AA39">
            <v>0</v>
          </cell>
        </row>
        <row r="40">
          <cell r="AA40">
            <v>0</v>
          </cell>
        </row>
        <row r="41">
          <cell r="AA41">
            <v>0</v>
          </cell>
        </row>
        <row r="42">
          <cell r="AA42">
            <v>0</v>
          </cell>
        </row>
        <row r="43">
          <cell r="AA43">
            <v>283500</v>
          </cell>
        </row>
        <row r="44">
          <cell r="AA44">
            <v>0</v>
          </cell>
        </row>
        <row r="45">
          <cell r="AA45">
            <v>0</v>
          </cell>
        </row>
        <row r="46">
          <cell r="AA46">
            <v>0</v>
          </cell>
        </row>
        <row r="47">
          <cell r="AA47">
            <v>0</v>
          </cell>
        </row>
        <row r="48">
          <cell r="AA48">
            <v>0</v>
          </cell>
        </row>
        <row r="49">
          <cell r="AA49">
            <v>0</v>
          </cell>
        </row>
        <row r="50">
          <cell r="AA50">
            <v>0</v>
          </cell>
        </row>
        <row r="51">
          <cell r="AA51">
            <v>-1</v>
          </cell>
        </row>
        <row r="52">
          <cell r="AA52">
            <v>0</v>
          </cell>
        </row>
        <row r="53">
          <cell r="AA53">
            <v>193320</v>
          </cell>
        </row>
        <row r="54">
          <cell r="AA54">
            <v>0</v>
          </cell>
        </row>
        <row r="55">
          <cell r="AA55">
            <v>0</v>
          </cell>
        </row>
        <row r="56">
          <cell r="AA56">
            <v>0</v>
          </cell>
        </row>
        <row r="57">
          <cell r="AA57">
            <v>0</v>
          </cell>
        </row>
        <row r="58">
          <cell r="AA58">
            <v>0</v>
          </cell>
        </row>
        <row r="59">
          <cell r="AA59">
            <v>0</v>
          </cell>
        </row>
        <row r="60">
          <cell r="AA60">
            <v>296281</v>
          </cell>
        </row>
        <row r="61">
          <cell r="AA61">
            <v>831333</v>
          </cell>
        </row>
        <row r="62">
          <cell r="AA62">
            <v>0</v>
          </cell>
        </row>
        <row r="63">
          <cell r="AA63">
            <v>0</v>
          </cell>
        </row>
        <row r="64">
          <cell r="AA64">
            <v>0</v>
          </cell>
        </row>
        <row r="65">
          <cell r="AA65">
            <v>144229</v>
          </cell>
        </row>
        <row r="66">
          <cell r="AA66">
            <v>0</v>
          </cell>
        </row>
        <row r="67">
          <cell r="AA67">
            <v>21480</v>
          </cell>
        </row>
        <row r="68">
          <cell r="AA68">
            <v>0</v>
          </cell>
        </row>
        <row r="69">
          <cell r="AA69">
            <v>859865</v>
          </cell>
        </row>
        <row r="70">
          <cell r="AA70">
            <v>0</v>
          </cell>
        </row>
        <row r="71">
          <cell r="AA71">
            <v>0</v>
          </cell>
        </row>
        <row r="72">
          <cell r="AA72">
            <v>0</v>
          </cell>
        </row>
        <row r="73">
          <cell r="AA73">
            <v>0</v>
          </cell>
        </row>
        <row r="74">
          <cell r="AA74">
            <v>0</v>
          </cell>
        </row>
        <row r="75">
          <cell r="AA75">
            <v>0</v>
          </cell>
        </row>
        <row r="76">
          <cell r="AA76">
            <v>0</v>
          </cell>
        </row>
        <row r="77">
          <cell r="AA77">
            <v>0</v>
          </cell>
        </row>
        <row r="78">
          <cell r="AA78">
            <v>303600</v>
          </cell>
        </row>
        <row r="79">
          <cell r="AA79">
            <v>-36067</v>
          </cell>
        </row>
        <row r="80">
          <cell r="AA80">
            <v>132600</v>
          </cell>
        </row>
        <row r="81">
          <cell r="AA81">
            <v>0</v>
          </cell>
        </row>
        <row r="82">
          <cell r="AA82">
            <v>0</v>
          </cell>
        </row>
        <row r="83">
          <cell r="AA83">
            <v>0</v>
          </cell>
        </row>
        <row r="84">
          <cell r="AA84">
            <v>214833</v>
          </cell>
        </row>
        <row r="85">
          <cell r="AA85">
            <v>429667</v>
          </cell>
        </row>
        <row r="86">
          <cell r="AA86">
            <v>57292</v>
          </cell>
        </row>
        <row r="87">
          <cell r="AA87">
            <v>85933</v>
          </cell>
        </row>
        <row r="88">
          <cell r="AA88">
            <v>859333</v>
          </cell>
        </row>
        <row r="89">
          <cell r="AA89">
            <v>86867</v>
          </cell>
        </row>
        <row r="90">
          <cell r="AA90">
            <v>171867</v>
          </cell>
        </row>
        <row r="91">
          <cell r="AA91">
            <v>42967</v>
          </cell>
        </row>
        <row r="92">
          <cell r="AA92">
            <v>868667</v>
          </cell>
        </row>
        <row r="93">
          <cell r="AA93">
            <v>434333</v>
          </cell>
        </row>
        <row r="94">
          <cell r="AA94">
            <v>304033</v>
          </cell>
        </row>
        <row r="95">
          <cell r="AA95">
            <v>75115</v>
          </cell>
        </row>
        <row r="96">
          <cell r="AA96">
            <v>0</v>
          </cell>
        </row>
        <row r="97">
          <cell r="AA97">
            <v>0</v>
          </cell>
        </row>
        <row r="98">
          <cell r="AA98">
            <v>0</v>
          </cell>
        </row>
        <row r="99">
          <cell r="AA99">
            <v>0</v>
          </cell>
        </row>
        <row r="100">
          <cell r="AA100">
            <v>92627</v>
          </cell>
        </row>
        <row r="101">
          <cell r="AA101">
            <v>0</v>
          </cell>
        </row>
        <row r="102">
          <cell r="AA102">
            <v>0</v>
          </cell>
        </row>
        <row r="103">
          <cell r="AA103">
            <v>0</v>
          </cell>
        </row>
        <row r="104">
          <cell r="AA104">
            <v>0</v>
          </cell>
        </row>
        <row r="105">
          <cell r="AA105">
            <v>0</v>
          </cell>
        </row>
        <row r="106">
          <cell r="AA106">
            <v>0</v>
          </cell>
        </row>
        <row r="107">
          <cell r="AA107">
            <v>0</v>
          </cell>
        </row>
        <row r="108">
          <cell r="AA108">
            <v>0</v>
          </cell>
        </row>
        <row r="109">
          <cell r="AA109">
            <v>0</v>
          </cell>
        </row>
        <row r="110">
          <cell r="AA110">
            <v>0</v>
          </cell>
        </row>
        <row r="111">
          <cell r="AA111">
            <v>21480</v>
          </cell>
        </row>
        <row r="112">
          <cell r="AA112">
            <v>243768</v>
          </cell>
        </row>
        <row r="113">
          <cell r="AA113">
            <v>0</v>
          </cell>
        </row>
        <row r="114">
          <cell r="AA114">
            <v>0</v>
          </cell>
        </row>
        <row r="115">
          <cell r="AA115">
            <v>29601</v>
          </cell>
        </row>
        <row r="116">
          <cell r="AA116">
            <v>0</v>
          </cell>
        </row>
        <row r="117">
          <cell r="AA117">
            <v>0</v>
          </cell>
        </row>
        <row r="118">
          <cell r="AA118">
            <v>0</v>
          </cell>
        </row>
        <row r="119">
          <cell r="AA119">
            <v>0</v>
          </cell>
        </row>
        <row r="120">
          <cell r="AA120">
            <v>0</v>
          </cell>
        </row>
        <row r="121">
          <cell r="AA121">
            <v>285348</v>
          </cell>
        </row>
        <row r="122">
          <cell r="AA122">
            <v>0</v>
          </cell>
        </row>
        <row r="123">
          <cell r="AA123">
            <v>126673</v>
          </cell>
        </row>
        <row r="124">
          <cell r="AA124">
            <v>0</v>
          </cell>
        </row>
        <row r="125">
          <cell r="AA125">
            <v>0</v>
          </cell>
        </row>
        <row r="126">
          <cell r="AA126">
            <v>0</v>
          </cell>
        </row>
        <row r="127">
          <cell r="AA127">
            <v>0</v>
          </cell>
        </row>
        <row r="128">
          <cell r="AA128">
            <v>0</v>
          </cell>
        </row>
        <row r="129">
          <cell r="AA129">
            <v>0</v>
          </cell>
        </row>
        <row r="130">
          <cell r="AA130">
            <v>0</v>
          </cell>
        </row>
        <row r="131">
          <cell r="AA131">
            <v>0</v>
          </cell>
        </row>
        <row r="132">
          <cell r="AA132">
            <v>0</v>
          </cell>
        </row>
        <row r="133">
          <cell r="AA133">
            <v>0</v>
          </cell>
        </row>
        <row r="134">
          <cell r="AA134">
            <v>0</v>
          </cell>
        </row>
        <row r="135">
          <cell r="AA135">
            <v>0</v>
          </cell>
        </row>
        <row r="136">
          <cell r="AA136">
            <v>0</v>
          </cell>
        </row>
        <row r="137">
          <cell r="AA137">
            <v>0</v>
          </cell>
        </row>
        <row r="138">
          <cell r="AA138">
            <v>574933</v>
          </cell>
        </row>
        <row r="139">
          <cell r="AA139">
            <v>41066</v>
          </cell>
        </row>
        <row r="140">
          <cell r="AA140">
            <v>558480</v>
          </cell>
        </row>
        <row r="141">
          <cell r="AA141">
            <v>21480</v>
          </cell>
        </row>
        <row r="142">
          <cell r="AA142">
            <v>124451</v>
          </cell>
        </row>
        <row r="143">
          <cell r="AA143">
            <v>0</v>
          </cell>
        </row>
        <row r="144">
          <cell r="AA144">
            <v>0</v>
          </cell>
        </row>
        <row r="145">
          <cell r="AA145">
            <v>0</v>
          </cell>
        </row>
        <row r="146">
          <cell r="AA146">
            <v>0</v>
          </cell>
        </row>
        <row r="147">
          <cell r="AA147">
            <v>0</v>
          </cell>
        </row>
        <row r="148">
          <cell r="AA148">
            <v>0</v>
          </cell>
        </row>
        <row r="149">
          <cell r="AA149">
            <v>0</v>
          </cell>
        </row>
        <row r="150">
          <cell r="AA150">
            <v>0</v>
          </cell>
        </row>
        <row r="151">
          <cell r="AA151">
            <v>0</v>
          </cell>
        </row>
        <row r="152">
          <cell r="AA152">
            <v>0</v>
          </cell>
        </row>
        <row r="153">
          <cell r="AA153">
            <v>0</v>
          </cell>
        </row>
        <row r="154">
          <cell r="AA154">
            <v>0</v>
          </cell>
        </row>
        <row r="155">
          <cell r="AA155">
            <v>0</v>
          </cell>
        </row>
        <row r="156">
          <cell r="AA156">
            <v>0</v>
          </cell>
        </row>
        <row r="157">
          <cell r="AA157">
            <v>0</v>
          </cell>
        </row>
        <row r="158">
          <cell r="AA158">
            <v>42960</v>
          </cell>
        </row>
        <row r="159">
          <cell r="AA159">
            <v>50891</v>
          </cell>
        </row>
        <row r="160">
          <cell r="AA160">
            <v>140874</v>
          </cell>
        </row>
        <row r="161">
          <cell r="AA161">
            <v>0</v>
          </cell>
        </row>
        <row r="162">
          <cell r="AA162">
            <v>0</v>
          </cell>
        </row>
        <row r="163">
          <cell r="AA163">
            <v>0</v>
          </cell>
        </row>
        <row r="164">
          <cell r="AA164">
            <v>0</v>
          </cell>
        </row>
        <row r="165">
          <cell r="AA165">
            <v>0</v>
          </cell>
        </row>
        <row r="166">
          <cell r="AA166">
            <v>0</v>
          </cell>
        </row>
        <row r="167">
          <cell r="AA167">
            <v>190676</v>
          </cell>
        </row>
        <row r="168">
          <cell r="AA168">
            <v>0</v>
          </cell>
        </row>
        <row r="169">
          <cell r="AA169">
            <v>0</v>
          </cell>
        </row>
        <row r="170">
          <cell r="AA170">
            <v>0</v>
          </cell>
        </row>
        <row r="171">
          <cell r="AA171">
            <v>0</v>
          </cell>
        </row>
        <row r="172">
          <cell r="AA172">
            <v>0</v>
          </cell>
        </row>
        <row r="173">
          <cell r="AA173">
            <v>30767</v>
          </cell>
        </row>
        <row r="174">
          <cell r="AA174">
            <v>0</v>
          </cell>
        </row>
        <row r="175">
          <cell r="AA175">
            <v>0</v>
          </cell>
        </row>
        <row r="176">
          <cell r="AA176">
            <v>0</v>
          </cell>
        </row>
        <row r="177">
          <cell r="AA177">
            <v>0</v>
          </cell>
        </row>
        <row r="178">
          <cell r="AA178">
            <v>0</v>
          </cell>
        </row>
        <row r="179">
          <cell r="AA179">
            <v>0</v>
          </cell>
        </row>
        <row r="180">
          <cell r="AA180">
            <v>0</v>
          </cell>
        </row>
        <row r="181">
          <cell r="AA181">
            <v>0</v>
          </cell>
        </row>
        <row r="182">
          <cell r="AA182">
            <v>0</v>
          </cell>
        </row>
        <row r="183">
          <cell r="AA183">
            <v>0</v>
          </cell>
        </row>
        <row r="184">
          <cell r="AA184">
            <v>470424</v>
          </cell>
        </row>
        <row r="185">
          <cell r="AA185">
            <v>78404</v>
          </cell>
        </row>
        <row r="186">
          <cell r="AA186">
            <v>156808</v>
          </cell>
        </row>
        <row r="187">
          <cell r="AA187">
            <v>0</v>
          </cell>
        </row>
        <row r="188">
          <cell r="AA188">
            <v>0</v>
          </cell>
        </row>
        <row r="189">
          <cell r="AA189">
            <v>0</v>
          </cell>
        </row>
        <row r="190">
          <cell r="AA190">
            <v>0</v>
          </cell>
        </row>
        <row r="191">
          <cell r="AA191">
            <v>118273</v>
          </cell>
        </row>
        <row r="192">
          <cell r="AA192">
            <v>236545</v>
          </cell>
        </row>
        <row r="193">
          <cell r="AA193">
            <v>275969</v>
          </cell>
        </row>
        <row r="194">
          <cell r="AA194">
            <v>0</v>
          </cell>
        </row>
        <row r="195">
          <cell r="AA195">
            <v>0</v>
          </cell>
        </row>
        <row r="196">
          <cell r="AA196">
            <v>0</v>
          </cell>
        </row>
        <row r="197">
          <cell r="AA197">
            <v>87338</v>
          </cell>
        </row>
        <row r="198">
          <cell r="AA198">
            <v>0</v>
          </cell>
        </row>
        <row r="199">
          <cell r="AA199">
            <v>0</v>
          </cell>
        </row>
        <row r="200">
          <cell r="AA200">
            <v>0</v>
          </cell>
        </row>
        <row r="201">
          <cell r="AA201">
            <v>0</v>
          </cell>
        </row>
        <row r="202">
          <cell r="AA202">
            <v>0</v>
          </cell>
        </row>
        <row r="203">
          <cell r="AA203">
            <v>0</v>
          </cell>
        </row>
        <row r="204">
          <cell r="AA204">
            <v>0</v>
          </cell>
        </row>
        <row r="205">
          <cell r="AA205">
            <v>0</v>
          </cell>
        </row>
        <row r="206">
          <cell r="AA206">
            <v>0</v>
          </cell>
        </row>
        <row r="207">
          <cell r="AA207">
            <v>0</v>
          </cell>
        </row>
        <row r="208">
          <cell r="AA208">
            <v>0</v>
          </cell>
        </row>
        <row r="209">
          <cell r="AA209">
            <v>0</v>
          </cell>
        </row>
        <row r="210">
          <cell r="AA210">
            <v>0</v>
          </cell>
        </row>
        <row r="211">
          <cell r="AA211">
            <v>0</v>
          </cell>
        </row>
        <row r="212">
          <cell r="AA212">
            <v>0</v>
          </cell>
        </row>
        <row r="213">
          <cell r="AA213">
            <v>0</v>
          </cell>
        </row>
        <row r="214">
          <cell r="AA214">
            <v>0</v>
          </cell>
        </row>
        <row r="215">
          <cell r="AA215">
            <v>0</v>
          </cell>
        </row>
        <row r="216">
          <cell r="AA216">
            <v>80271</v>
          </cell>
        </row>
        <row r="217">
          <cell r="AA217">
            <v>0</v>
          </cell>
        </row>
        <row r="218">
          <cell r="AA218">
            <v>0</v>
          </cell>
        </row>
        <row r="219">
          <cell r="AA219">
            <v>0</v>
          </cell>
        </row>
        <row r="220">
          <cell r="AA220">
            <v>0</v>
          </cell>
        </row>
        <row r="221">
          <cell r="AA221">
            <v>0</v>
          </cell>
        </row>
        <row r="222">
          <cell r="AA222">
            <v>0</v>
          </cell>
        </row>
        <row r="223">
          <cell r="AA223">
            <v>0</v>
          </cell>
        </row>
        <row r="224">
          <cell r="AA224">
            <v>150052</v>
          </cell>
        </row>
        <row r="225">
          <cell r="AA225">
            <v>177342</v>
          </cell>
        </row>
        <row r="226">
          <cell r="AA226">
            <v>577667</v>
          </cell>
        </row>
        <row r="227">
          <cell r="AA227">
            <v>164008</v>
          </cell>
        </row>
        <row r="228">
          <cell r="AA228">
            <v>0</v>
          </cell>
        </row>
        <row r="229">
          <cell r="AA229">
            <v>0</v>
          </cell>
        </row>
        <row r="230">
          <cell r="AA230">
            <v>0</v>
          </cell>
        </row>
        <row r="231">
          <cell r="AA231">
            <v>946714</v>
          </cell>
        </row>
        <row r="232">
          <cell r="AA232">
            <v>0</v>
          </cell>
        </row>
        <row r="233">
          <cell r="AA233">
            <v>277852</v>
          </cell>
        </row>
        <row r="234">
          <cell r="AA234">
            <v>0</v>
          </cell>
        </row>
        <row r="235">
          <cell r="AA235">
            <v>30224</v>
          </cell>
        </row>
        <row r="236">
          <cell r="AA236">
            <v>0</v>
          </cell>
        </row>
        <row r="237">
          <cell r="AA237">
            <v>726503</v>
          </cell>
        </row>
        <row r="238">
          <cell r="AA238">
            <v>0</v>
          </cell>
        </row>
        <row r="239">
          <cell r="AA239">
            <v>0</v>
          </cell>
        </row>
        <row r="240">
          <cell r="AA240">
            <v>0</v>
          </cell>
        </row>
        <row r="241">
          <cell r="AA241">
            <v>0</v>
          </cell>
        </row>
        <row r="242">
          <cell r="AA242">
            <v>0</v>
          </cell>
        </row>
        <row r="243">
          <cell r="AA243">
            <v>0</v>
          </cell>
        </row>
        <row r="244">
          <cell r="AA244">
            <v>0</v>
          </cell>
        </row>
        <row r="245">
          <cell r="AA245">
            <v>0</v>
          </cell>
        </row>
        <row r="246">
          <cell r="AA246">
            <v>0</v>
          </cell>
        </row>
        <row r="247">
          <cell r="AA247">
            <v>0</v>
          </cell>
        </row>
        <row r="248">
          <cell r="AA248">
            <v>0</v>
          </cell>
        </row>
        <row r="249">
          <cell r="AA249">
            <v>0</v>
          </cell>
        </row>
        <row r="250">
          <cell r="AA250">
            <v>42960</v>
          </cell>
        </row>
        <row r="251">
          <cell r="AA251">
            <v>301348</v>
          </cell>
        </row>
        <row r="252">
          <cell r="AA252">
            <v>0</v>
          </cell>
        </row>
        <row r="253">
          <cell r="AA253">
            <v>0</v>
          </cell>
        </row>
        <row r="254">
          <cell r="AA254">
            <v>967515</v>
          </cell>
        </row>
        <row r="255">
          <cell r="AA255">
            <v>0</v>
          </cell>
        </row>
        <row r="256">
          <cell r="AA256">
            <v>0</v>
          </cell>
        </row>
        <row r="257">
          <cell r="AA257">
            <v>0</v>
          </cell>
        </row>
        <row r="258">
          <cell r="AA258">
            <v>0</v>
          </cell>
        </row>
        <row r="259">
          <cell r="AA259">
            <v>0</v>
          </cell>
        </row>
        <row r="260">
          <cell r="AA260">
            <v>0</v>
          </cell>
        </row>
        <row r="261">
          <cell r="AA261">
            <v>0</v>
          </cell>
        </row>
        <row r="262">
          <cell r="AA262">
            <v>309200</v>
          </cell>
        </row>
        <row r="263">
          <cell r="AA263">
            <v>0</v>
          </cell>
        </row>
        <row r="264">
          <cell r="AA264">
            <v>569200</v>
          </cell>
        </row>
        <row r="265">
          <cell r="AA265">
            <v>0</v>
          </cell>
        </row>
        <row r="266">
          <cell r="AA266">
            <v>0</v>
          </cell>
        </row>
        <row r="267">
          <cell r="AA267">
            <v>56069</v>
          </cell>
        </row>
        <row r="268">
          <cell r="AA268">
            <v>0</v>
          </cell>
        </row>
        <row r="269">
          <cell r="AA269">
            <v>0</v>
          </cell>
        </row>
        <row r="270">
          <cell r="AA270">
            <v>0</v>
          </cell>
        </row>
        <row r="271">
          <cell r="AA271">
            <v>0</v>
          </cell>
        </row>
        <row r="272">
          <cell r="AA272">
            <v>0</v>
          </cell>
        </row>
        <row r="273">
          <cell r="AA273">
            <v>0</v>
          </cell>
        </row>
        <row r="274">
          <cell r="AA274">
            <v>0</v>
          </cell>
        </row>
        <row r="275">
          <cell r="AA275">
            <v>0</v>
          </cell>
        </row>
        <row r="276">
          <cell r="AA276">
            <v>0</v>
          </cell>
        </row>
        <row r="277">
          <cell r="AA277">
            <v>0</v>
          </cell>
        </row>
        <row r="278">
          <cell r="AA278">
            <v>91000</v>
          </cell>
        </row>
        <row r="279">
          <cell r="AA279">
            <v>0</v>
          </cell>
        </row>
        <row r="280">
          <cell r="AA280">
            <v>0</v>
          </cell>
        </row>
        <row r="281">
          <cell r="AA281">
            <v>0</v>
          </cell>
        </row>
        <row r="282">
          <cell r="AA282">
            <v>0</v>
          </cell>
        </row>
        <row r="283">
          <cell r="AA283">
            <v>623809</v>
          </cell>
        </row>
        <row r="284">
          <cell r="AA284">
            <v>0</v>
          </cell>
        </row>
        <row r="285">
          <cell r="AA285">
            <v>0</v>
          </cell>
        </row>
        <row r="286">
          <cell r="AA286">
            <v>992094</v>
          </cell>
        </row>
        <row r="287">
          <cell r="AA287">
            <v>145963</v>
          </cell>
        </row>
        <row r="288">
          <cell r="AA288">
            <v>1240684</v>
          </cell>
        </row>
        <row r="289">
          <cell r="AA289">
            <v>708569</v>
          </cell>
        </row>
        <row r="290">
          <cell r="AA290">
            <v>236190</v>
          </cell>
        </row>
        <row r="291">
          <cell r="AA291">
            <v>177142</v>
          </cell>
        </row>
        <row r="292">
          <cell r="AA292">
            <v>1092677</v>
          </cell>
        </row>
        <row r="293">
          <cell r="AA293">
            <v>312193</v>
          </cell>
        </row>
        <row r="294">
          <cell r="AA294">
            <v>0</v>
          </cell>
        </row>
        <row r="295">
          <cell r="AA295">
            <v>0</v>
          </cell>
        </row>
        <row r="296">
          <cell r="AA296">
            <v>0</v>
          </cell>
        </row>
        <row r="297">
          <cell r="AA297">
            <v>116139</v>
          </cell>
        </row>
        <row r="298">
          <cell r="AA298">
            <v>0</v>
          </cell>
        </row>
        <row r="299">
          <cell r="AA299">
            <v>0</v>
          </cell>
        </row>
        <row r="300">
          <cell r="AA300">
            <v>0</v>
          </cell>
        </row>
        <row r="301">
          <cell r="AA301">
            <v>0</v>
          </cell>
        </row>
        <row r="302">
          <cell r="AA302">
            <v>114233</v>
          </cell>
        </row>
        <row r="303">
          <cell r="AA303">
            <v>0</v>
          </cell>
        </row>
        <row r="304">
          <cell r="AA304">
            <v>0</v>
          </cell>
        </row>
        <row r="305">
          <cell r="AA305">
            <v>0</v>
          </cell>
        </row>
        <row r="306">
          <cell r="AA306">
            <v>0</v>
          </cell>
        </row>
        <row r="307">
          <cell r="AA307">
            <v>0</v>
          </cell>
        </row>
        <row r="308">
          <cell r="AA308">
            <v>0</v>
          </cell>
        </row>
        <row r="309">
          <cell r="AA309">
            <v>278814</v>
          </cell>
        </row>
        <row r="310">
          <cell r="AA310">
            <v>42180</v>
          </cell>
        </row>
        <row r="311">
          <cell r="AA311">
            <v>0</v>
          </cell>
        </row>
        <row r="312">
          <cell r="AA312">
            <v>0</v>
          </cell>
        </row>
        <row r="313">
          <cell r="AA313">
            <v>0</v>
          </cell>
        </row>
        <row r="314">
          <cell r="AA314">
            <v>0</v>
          </cell>
        </row>
        <row r="315">
          <cell r="AA315">
            <v>325600</v>
          </cell>
        </row>
        <row r="316">
          <cell r="AA316">
            <v>0</v>
          </cell>
        </row>
        <row r="317">
          <cell r="AA317">
            <v>0</v>
          </cell>
        </row>
        <row r="318">
          <cell r="AA318">
            <v>0</v>
          </cell>
        </row>
        <row r="319">
          <cell r="AA319">
            <v>0</v>
          </cell>
        </row>
        <row r="320">
          <cell r="AA320">
            <v>0</v>
          </cell>
        </row>
        <row r="321">
          <cell r="AA321">
            <v>0</v>
          </cell>
        </row>
        <row r="322">
          <cell r="AA322">
            <v>48965</v>
          </cell>
        </row>
        <row r="323">
          <cell r="AA323">
            <v>0</v>
          </cell>
        </row>
        <row r="324">
          <cell r="AA324">
            <v>235745</v>
          </cell>
        </row>
        <row r="325">
          <cell r="AA325">
            <v>0</v>
          </cell>
        </row>
        <row r="326">
          <cell r="AA326">
            <v>0</v>
          </cell>
        </row>
        <row r="327">
          <cell r="AA327">
            <v>0</v>
          </cell>
        </row>
        <row r="328">
          <cell r="AA328">
            <v>0</v>
          </cell>
        </row>
        <row r="329">
          <cell r="AA329">
            <v>474133</v>
          </cell>
        </row>
        <row r="330">
          <cell r="AA330">
            <v>0</v>
          </cell>
        </row>
        <row r="331">
          <cell r="AA331">
            <v>0</v>
          </cell>
        </row>
        <row r="332">
          <cell r="AA332">
            <v>0</v>
          </cell>
        </row>
        <row r="333">
          <cell r="AA333">
            <v>0</v>
          </cell>
        </row>
        <row r="334">
          <cell r="AA334">
            <v>0</v>
          </cell>
        </row>
        <row r="335">
          <cell r="AA335">
            <v>0</v>
          </cell>
        </row>
        <row r="336">
          <cell r="AA336">
            <v>0</v>
          </cell>
        </row>
        <row r="337">
          <cell r="AA337">
            <v>64440</v>
          </cell>
        </row>
        <row r="338">
          <cell r="AA338">
            <v>0</v>
          </cell>
        </row>
        <row r="339">
          <cell r="AA339">
            <v>0</v>
          </cell>
        </row>
        <row r="340">
          <cell r="AA340">
            <v>0</v>
          </cell>
        </row>
        <row r="341">
          <cell r="AA341">
            <v>0</v>
          </cell>
        </row>
        <row r="342">
          <cell r="AA342">
            <v>0</v>
          </cell>
        </row>
        <row r="343">
          <cell r="AA343">
            <v>0</v>
          </cell>
        </row>
        <row r="344">
          <cell r="AA344">
            <v>0</v>
          </cell>
        </row>
        <row r="345">
          <cell r="AA345">
            <v>0</v>
          </cell>
        </row>
        <row r="346">
          <cell r="AA346">
            <v>0</v>
          </cell>
        </row>
        <row r="347">
          <cell r="AA347">
            <v>0</v>
          </cell>
        </row>
        <row r="348">
          <cell r="AA348">
            <v>0</v>
          </cell>
        </row>
        <row r="349">
          <cell r="AA349">
            <v>0</v>
          </cell>
        </row>
        <row r="350">
          <cell r="AA350">
            <v>0</v>
          </cell>
        </row>
        <row r="351">
          <cell r="AA351">
            <v>263000</v>
          </cell>
        </row>
        <row r="352">
          <cell r="AA352">
            <v>0</v>
          </cell>
        </row>
        <row r="353">
          <cell r="AA353">
            <v>1536000</v>
          </cell>
        </row>
        <row r="354">
          <cell r="AA354">
            <v>0</v>
          </cell>
        </row>
        <row r="355">
          <cell r="AA355">
            <v>0</v>
          </cell>
        </row>
        <row r="356">
          <cell r="AA356">
            <v>972800</v>
          </cell>
        </row>
        <row r="357">
          <cell r="AA357">
            <v>0</v>
          </cell>
        </row>
        <row r="358">
          <cell r="AA358">
            <v>502656</v>
          </cell>
        </row>
        <row r="359">
          <cell r="AA359">
            <v>915957</v>
          </cell>
        </row>
        <row r="360">
          <cell r="AA360">
            <v>686968</v>
          </cell>
        </row>
        <row r="361">
          <cell r="AA361">
            <v>0</v>
          </cell>
        </row>
        <row r="362">
          <cell r="AA362">
            <v>0</v>
          </cell>
        </row>
        <row r="363">
          <cell r="AA363">
            <v>28357</v>
          </cell>
        </row>
        <row r="364">
          <cell r="AA364">
            <v>0</v>
          </cell>
        </row>
        <row r="365">
          <cell r="AA365">
            <v>0</v>
          </cell>
        </row>
        <row r="366">
          <cell r="AA366">
            <v>0</v>
          </cell>
        </row>
        <row r="367">
          <cell r="AA367">
            <v>0</v>
          </cell>
        </row>
        <row r="368">
          <cell r="AA368">
            <v>0</v>
          </cell>
        </row>
        <row r="369">
          <cell r="AA369">
            <v>0</v>
          </cell>
        </row>
        <row r="370">
          <cell r="AA370">
            <v>0</v>
          </cell>
        </row>
        <row r="371">
          <cell r="AA371">
            <v>655633</v>
          </cell>
        </row>
        <row r="372">
          <cell r="AA372">
            <v>42960</v>
          </cell>
        </row>
        <row r="373">
          <cell r="AA373">
            <v>116351</v>
          </cell>
        </row>
        <row r="374">
          <cell r="AA374">
            <v>62759</v>
          </cell>
        </row>
        <row r="375">
          <cell r="AA375">
            <v>0</v>
          </cell>
        </row>
        <row r="376">
          <cell r="AA376">
            <v>0</v>
          </cell>
        </row>
        <row r="377">
          <cell r="AA377">
            <v>137874</v>
          </cell>
        </row>
        <row r="378">
          <cell r="AA378">
            <v>0</v>
          </cell>
        </row>
        <row r="379">
          <cell r="AA379">
            <v>37157</v>
          </cell>
        </row>
        <row r="380">
          <cell r="AA380">
            <v>111472</v>
          </cell>
        </row>
        <row r="381">
          <cell r="AA381">
            <v>314833</v>
          </cell>
        </row>
        <row r="382">
          <cell r="AA382">
            <v>188900</v>
          </cell>
        </row>
        <row r="383">
          <cell r="AA383">
            <v>423767</v>
          </cell>
        </row>
        <row r="384">
          <cell r="AA384">
            <v>0</v>
          </cell>
        </row>
        <row r="385">
          <cell r="AA385">
            <v>0</v>
          </cell>
        </row>
        <row r="386">
          <cell r="AA386">
            <v>0</v>
          </cell>
        </row>
        <row r="387">
          <cell r="AA387">
            <v>0</v>
          </cell>
        </row>
        <row r="388">
          <cell r="AA388">
            <v>0</v>
          </cell>
        </row>
        <row r="389">
          <cell r="AA389">
            <v>0</v>
          </cell>
        </row>
        <row r="390">
          <cell r="AA390">
            <v>0</v>
          </cell>
        </row>
        <row r="391">
          <cell r="AA391">
            <v>0</v>
          </cell>
        </row>
        <row r="392">
          <cell r="AA392">
            <v>0</v>
          </cell>
        </row>
        <row r="393">
          <cell r="AA393">
            <v>0</v>
          </cell>
        </row>
        <row r="394">
          <cell r="AA394">
            <v>0</v>
          </cell>
        </row>
        <row r="395">
          <cell r="AA395">
            <v>44700</v>
          </cell>
        </row>
        <row r="396">
          <cell r="AA396">
            <v>491700</v>
          </cell>
        </row>
        <row r="397">
          <cell r="AA397">
            <v>0</v>
          </cell>
        </row>
        <row r="398">
          <cell r="AA398">
            <v>0</v>
          </cell>
        </row>
        <row r="399">
          <cell r="AA399">
            <v>82760</v>
          </cell>
        </row>
        <row r="400">
          <cell r="AA400">
            <v>0</v>
          </cell>
        </row>
        <row r="401">
          <cell r="AA401">
            <v>0</v>
          </cell>
        </row>
        <row r="402">
          <cell r="AA402">
            <v>0</v>
          </cell>
        </row>
        <row r="403">
          <cell r="AA403">
            <v>490400</v>
          </cell>
        </row>
        <row r="404">
          <cell r="AA404">
            <v>0</v>
          </cell>
        </row>
        <row r="405">
          <cell r="AA405">
            <v>0</v>
          </cell>
        </row>
        <row r="406">
          <cell r="AA406">
            <v>0</v>
          </cell>
        </row>
        <row r="407">
          <cell r="AA407">
            <v>0</v>
          </cell>
        </row>
        <row r="408">
          <cell r="AA408">
            <v>0</v>
          </cell>
        </row>
        <row r="409">
          <cell r="AA409">
            <v>0</v>
          </cell>
        </row>
        <row r="410">
          <cell r="AA410">
            <v>0</v>
          </cell>
        </row>
        <row r="411">
          <cell r="AA411">
            <v>7668460</v>
          </cell>
        </row>
        <row r="412">
          <cell r="AA412">
            <v>0</v>
          </cell>
        </row>
        <row r="413">
          <cell r="AA413">
            <v>0</v>
          </cell>
        </row>
        <row r="414">
          <cell r="AA414">
            <v>0</v>
          </cell>
        </row>
        <row r="415">
          <cell r="AA415">
            <v>0</v>
          </cell>
        </row>
        <row r="416">
          <cell r="AA416">
            <v>0</v>
          </cell>
        </row>
        <row r="417">
          <cell r="AA417">
            <v>0</v>
          </cell>
        </row>
        <row r="418">
          <cell r="AA418">
            <v>0</v>
          </cell>
        </row>
        <row r="419">
          <cell r="AA419">
            <v>0</v>
          </cell>
        </row>
        <row r="420">
          <cell r="AA420">
            <v>0</v>
          </cell>
        </row>
        <row r="421">
          <cell r="AA421">
            <v>0</v>
          </cell>
        </row>
        <row r="422">
          <cell r="AA422">
            <v>0</v>
          </cell>
        </row>
        <row r="423">
          <cell r="AA423">
            <v>0</v>
          </cell>
        </row>
        <row r="424">
          <cell r="AA424">
            <v>0</v>
          </cell>
        </row>
        <row r="425">
          <cell r="AA425">
            <v>0</v>
          </cell>
        </row>
        <row r="426">
          <cell r="AA426">
            <v>0</v>
          </cell>
        </row>
        <row r="427">
          <cell r="AA427">
            <v>0</v>
          </cell>
        </row>
        <row r="428">
          <cell r="AA428">
            <v>0</v>
          </cell>
        </row>
        <row r="429">
          <cell r="AA429">
            <v>0</v>
          </cell>
        </row>
        <row r="430">
          <cell r="AA430">
            <v>0</v>
          </cell>
        </row>
        <row r="431">
          <cell r="AA431">
            <v>0</v>
          </cell>
        </row>
        <row r="432">
          <cell r="AA432">
            <v>0</v>
          </cell>
        </row>
        <row r="433">
          <cell r="AA433">
            <v>644400</v>
          </cell>
        </row>
        <row r="434">
          <cell r="AA434">
            <v>386640</v>
          </cell>
        </row>
        <row r="435">
          <cell r="AA435">
            <v>472267</v>
          </cell>
        </row>
        <row r="436">
          <cell r="AA436">
            <v>0</v>
          </cell>
        </row>
        <row r="437">
          <cell r="AA437">
            <v>0</v>
          </cell>
        </row>
        <row r="438">
          <cell r="AA438">
            <v>0</v>
          </cell>
        </row>
        <row r="439">
          <cell r="AA439">
            <v>0</v>
          </cell>
        </row>
        <row r="440">
          <cell r="AA440">
            <v>0</v>
          </cell>
        </row>
        <row r="441">
          <cell r="AA441">
            <v>0</v>
          </cell>
        </row>
        <row r="442">
          <cell r="AA442">
            <v>0</v>
          </cell>
        </row>
        <row r="443">
          <cell r="AA443">
            <v>0</v>
          </cell>
        </row>
        <row r="444">
          <cell r="AA444">
            <v>191676</v>
          </cell>
        </row>
        <row r="445">
          <cell r="AA445">
            <v>0</v>
          </cell>
        </row>
        <row r="446">
          <cell r="AA446">
            <v>0</v>
          </cell>
        </row>
        <row r="447">
          <cell r="AA447">
            <v>0</v>
          </cell>
        </row>
        <row r="448">
          <cell r="AA448">
            <v>0</v>
          </cell>
        </row>
        <row r="449">
          <cell r="AA449">
            <v>0</v>
          </cell>
        </row>
        <row r="450">
          <cell r="AA450">
            <v>0</v>
          </cell>
        </row>
        <row r="451">
          <cell r="AA451">
            <v>0</v>
          </cell>
        </row>
        <row r="452">
          <cell r="AA452">
            <v>0</v>
          </cell>
        </row>
        <row r="453">
          <cell r="AA453">
            <v>0</v>
          </cell>
        </row>
        <row r="454">
          <cell r="AA454">
            <v>0</v>
          </cell>
        </row>
        <row r="455">
          <cell r="AA455">
            <v>0</v>
          </cell>
        </row>
        <row r="456">
          <cell r="AA456">
            <v>273169</v>
          </cell>
        </row>
        <row r="457">
          <cell r="AA457">
            <v>0</v>
          </cell>
        </row>
        <row r="458">
          <cell r="AA458">
            <v>129028</v>
          </cell>
        </row>
        <row r="459">
          <cell r="AA459">
            <v>0</v>
          </cell>
        </row>
        <row r="460">
          <cell r="AA460">
            <v>0</v>
          </cell>
        </row>
        <row r="461">
          <cell r="AA461">
            <v>0</v>
          </cell>
        </row>
        <row r="462">
          <cell r="AA462">
            <v>0</v>
          </cell>
        </row>
        <row r="463">
          <cell r="AA463">
            <v>0</v>
          </cell>
        </row>
        <row r="464">
          <cell r="AA464">
            <v>0</v>
          </cell>
        </row>
        <row r="465">
          <cell r="AA465">
            <v>0</v>
          </cell>
        </row>
        <row r="466">
          <cell r="AA466">
            <v>0</v>
          </cell>
        </row>
        <row r="467">
          <cell r="AA467">
            <v>134673</v>
          </cell>
        </row>
        <row r="468">
          <cell r="AA468">
            <v>0</v>
          </cell>
        </row>
        <row r="469">
          <cell r="AA469">
            <v>0</v>
          </cell>
        </row>
        <row r="470">
          <cell r="AA470">
            <v>108028</v>
          </cell>
        </row>
        <row r="471">
          <cell r="AA471">
            <v>0</v>
          </cell>
        </row>
        <row r="472">
          <cell r="AA472">
            <v>375463</v>
          </cell>
        </row>
        <row r="473">
          <cell r="AA473">
            <v>864310</v>
          </cell>
        </row>
        <row r="474">
          <cell r="AA474">
            <v>0</v>
          </cell>
        </row>
        <row r="475">
          <cell r="AA475">
            <v>26702</v>
          </cell>
        </row>
        <row r="476">
          <cell r="AA476">
            <v>0</v>
          </cell>
        </row>
        <row r="477">
          <cell r="AA477">
            <v>0</v>
          </cell>
        </row>
        <row r="478">
          <cell r="AA478">
            <v>0</v>
          </cell>
        </row>
        <row r="479">
          <cell r="AA479">
            <v>0</v>
          </cell>
        </row>
        <row r="480">
          <cell r="AA480">
            <v>0</v>
          </cell>
        </row>
        <row r="481">
          <cell r="AA481">
            <v>0</v>
          </cell>
        </row>
        <row r="482">
          <cell r="AA482">
            <v>0</v>
          </cell>
        </row>
        <row r="483">
          <cell r="AA483">
            <v>0</v>
          </cell>
        </row>
        <row r="484">
          <cell r="AA484">
            <v>0</v>
          </cell>
        </row>
        <row r="485">
          <cell r="AA485">
            <v>0</v>
          </cell>
        </row>
        <row r="486">
          <cell r="AA486">
            <v>74600</v>
          </cell>
        </row>
        <row r="487">
          <cell r="AA487">
            <v>283500</v>
          </cell>
        </row>
        <row r="488">
          <cell r="AA488">
            <v>396900</v>
          </cell>
        </row>
        <row r="489">
          <cell r="AA489">
            <v>0</v>
          </cell>
        </row>
        <row r="490">
          <cell r="AA490">
            <v>0</v>
          </cell>
        </row>
        <row r="491">
          <cell r="AA491">
            <v>0</v>
          </cell>
        </row>
        <row r="492">
          <cell r="AA492">
            <v>0</v>
          </cell>
        </row>
        <row r="493">
          <cell r="AA493">
            <v>0</v>
          </cell>
        </row>
        <row r="494">
          <cell r="AA494">
            <v>0</v>
          </cell>
        </row>
        <row r="495">
          <cell r="AA495">
            <v>0</v>
          </cell>
        </row>
        <row r="496">
          <cell r="AA496">
            <v>0</v>
          </cell>
        </row>
        <row r="497">
          <cell r="AA497">
            <v>0</v>
          </cell>
        </row>
        <row r="498">
          <cell r="AA498">
            <v>0</v>
          </cell>
        </row>
        <row r="499">
          <cell r="AA499">
            <v>0</v>
          </cell>
        </row>
        <row r="500">
          <cell r="AA500">
            <v>0</v>
          </cell>
        </row>
        <row r="501">
          <cell r="AA501">
            <v>0</v>
          </cell>
        </row>
        <row r="502">
          <cell r="AA502">
            <v>0</v>
          </cell>
        </row>
        <row r="503">
          <cell r="AA503">
            <v>555533</v>
          </cell>
        </row>
        <row r="504">
          <cell r="AA504">
            <v>615209</v>
          </cell>
        </row>
        <row r="505">
          <cell r="AA505">
            <v>615209</v>
          </cell>
        </row>
        <row r="506">
          <cell r="AA506">
            <v>555670</v>
          </cell>
        </row>
        <row r="507">
          <cell r="AA507">
            <v>615209</v>
          </cell>
        </row>
        <row r="508">
          <cell r="AA508">
            <v>595363</v>
          </cell>
        </row>
        <row r="509">
          <cell r="AA509">
            <v>616000</v>
          </cell>
        </row>
        <row r="510">
          <cell r="AA510">
            <v>616000</v>
          </cell>
        </row>
        <row r="511">
          <cell r="AA511">
            <v>615209</v>
          </cell>
        </row>
        <row r="512">
          <cell r="AA512">
            <v>636533</v>
          </cell>
        </row>
        <row r="513">
          <cell r="AA513">
            <v>616000</v>
          </cell>
        </row>
        <row r="514">
          <cell r="AA514">
            <v>615209</v>
          </cell>
        </row>
        <row r="515">
          <cell r="AA515">
            <v>615687</v>
          </cell>
        </row>
        <row r="516">
          <cell r="AA516">
            <v>636534</v>
          </cell>
        </row>
        <row r="517">
          <cell r="AA517">
            <v>616000</v>
          </cell>
        </row>
        <row r="518">
          <cell r="AA518">
            <v>601395</v>
          </cell>
        </row>
        <row r="519">
          <cell r="AA519">
            <v>21480</v>
          </cell>
        </row>
        <row r="520">
          <cell r="AA520">
            <v>644400</v>
          </cell>
        </row>
        <row r="521">
          <cell r="AA521">
            <v>644400</v>
          </cell>
        </row>
        <row r="522">
          <cell r="AA522">
            <v>665880</v>
          </cell>
        </row>
        <row r="523">
          <cell r="AA523">
            <v>5372251</v>
          </cell>
        </row>
        <row r="524">
          <cell r="AA524">
            <v>50447</v>
          </cell>
        </row>
        <row r="525">
          <cell r="AA525">
            <v>0</v>
          </cell>
        </row>
        <row r="526">
          <cell r="AA526">
            <v>0</v>
          </cell>
        </row>
        <row r="527">
          <cell r="AA527">
            <v>0</v>
          </cell>
        </row>
        <row r="528">
          <cell r="AA528">
            <v>0</v>
          </cell>
        </row>
        <row r="529">
          <cell r="AA529">
            <v>0</v>
          </cell>
        </row>
        <row r="530">
          <cell r="AA530">
            <v>0</v>
          </cell>
        </row>
        <row r="531">
          <cell r="AA531">
            <v>417900</v>
          </cell>
        </row>
        <row r="532">
          <cell r="AA532">
            <v>4179000</v>
          </cell>
        </row>
        <row r="533">
          <cell r="AA533">
            <v>4318300</v>
          </cell>
        </row>
        <row r="534">
          <cell r="AA534">
            <v>0</v>
          </cell>
        </row>
        <row r="535">
          <cell r="AA535">
            <v>0</v>
          </cell>
        </row>
        <row r="536">
          <cell r="AA536">
            <v>0</v>
          </cell>
        </row>
        <row r="537">
          <cell r="AA537">
            <v>0</v>
          </cell>
        </row>
        <row r="538">
          <cell r="AA538">
            <v>0</v>
          </cell>
        </row>
        <row r="539">
          <cell r="AA539">
            <v>0</v>
          </cell>
        </row>
        <row r="540">
          <cell r="AA540">
            <v>0</v>
          </cell>
        </row>
        <row r="541">
          <cell r="AA541">
            <v>0</v>
          </cell>
        </row>
        <row r="542">
          <cell r="AA542">
            <v>0</v>
          </cell>
        </row>
        <row r="543">
          <cell r="AA543">
            <v>0</v>
          </cell>
        </row>
        <row r="544">
          <cell r="AA544">
            <v>0</v>
          </cell>
        </row>
        <row r="545">
          <cell r="AA545">
            <v>0</v>
          </cell>
        </row>
        <row r="546">
          <cell r="AA546">
            <v>2198580</v>
          </cell>
        </row>
        <row r="547">
          <cell r="AA547">
            <v>0</v>
          </cell>
        </row>
        <row r="548">
          <cell r="AA548">
            <v>0</v>
          </cell>
        </row>
        <row r="549">
          <cell r="AA549">
            <v>0</v>
          </cell>
        </row>
        <row r="550">
          <cell r="AA550">
            <v>0</v>
          </cell>
        </row>
        <row r="551">
          <cell r="AA551">
            <v>0</v>
          </cell>
        </row>
        <row r="552">
          <cell r="AA552">
            <v>0</v>
          </cell>
        </row>
        <row r="553">
          <cell r="AA553">
            <v>0</v>
          </cell>
        </row>
        <row r="554">
          <cell r="AA554">
            <v>49630</v>
          </cell>
        </row>
        <row r="555">
          <cell r="AA555">
            <v>0</v>
          </cell>
        </row>
        <row r="556">
          <cell r="AA556">
            <v>0</v>
          </cell>
        </row>
        <row r="557">
          <cell r="AA557">
            <v>239723</v>
          </cell>
        </row>
        <row r="558">
          <cell r="AA558">
            <v>0</v>
          </cell>
        </row>
        <row r="559">
          <cell r="AA559">
            <v>0</v>
          </cell>
        </row>
        <row r="560">
          <cell r="AA560">
            <v>1725000</v>
          </cell>
        </row>
        <row r="561">
          <cell r="AA561">
            <v>0</v>
          </cell>
        </row>
        <row r="562">
          <cell r="AA562">
            <v>287500</v>
          </cell>
        </row>
        <row r="563">
          <cell r="AA563">
            <v>0</v>
          </cell>
        </row>
        <row r="564">
          <cell r="AA564">
            <v>0</v>
          </cell>
        </row>
        <row r="565">
          <cell r="AA565">
            <v>0</v>
          </cell>
        </row>
        <row r="566">
          <cell r="AA566">
            <v>0</v>
          </cell>
        </row>
        <row r="567">
          <cell r="AA567">
            <v>0</v>
          </cell>
        </row>
        <row r="568">
          <cell r="AA568">
            <v>46345</v>
          </cell>
        </row>
        <row r="569">
          <cell r="AA569">
            <v>17134</v>
          </cell>
        </row>
        <row r="570">
          <cell r="AA570">
            <v>0</v>
          </cell>
        </row>
        <row r="571">
          <cell r="AA571">
            <v>0</v>
          </cell>
        </row>
        <row r="572">
          <cell r="AA572">
            <v>0</v>
          </cell>
        </row>
        <row r="573">
          <cell r="AA573">
            <v>0</v>
          </cell>
        </row>
        <row r="574">
          <cell r="AA574">
            <v>0</v>
          </cell>
        </row>
        <row r="575">
          <cell r="AA575">
            <v>0</v>
          </cell>
        </row>
        <row r="576">
          <cell r="AA576">
            <v>0</v>
          </cell>
        </row>
        <row r="577">
          <cell r="AA577">
            <v>0</v>
          </cell>
        </row>
        <row r="578">
          <cell r="AA578">
            <v>0</v>
          </cell>
        </row>
        <row r="579">
          <cell r="AA579">
            <v>50714</v>
          </cell>
        </row>
        <row r="580">
          <cell r="AA580">
            <v>0</v>
          </cell>
        </row>
        <row r="581">
          <cell r="AA581">
            <v>0</v>
          </cell>
        </row>
        <row r="582">
          <cell r="AA582">
            <v>44269</v>
          </cell>
        </row>
        <row r="583">
          <cell r="AA583">
            <v>0</v>
          </cell>
        </row>
        <row r="584">
          <cell r="AA584">
            <v>0</v>
          </cell>
        </row>
        <row r="585">
          <cell r="AA585">
            <v>0</v>
          </cell>
        </row>
        <row r="586">
          <cell r="AA586">
            <v>0</v>
          </cell>
        </row>
        <row r="587">
          <cell r="AA587">
            <v>0</v>
          </cell>
        </row>
        <row r="588">
          <cell r="AA588">
            <v>0</v>
          </cell>
        </row>
        <row r="589">
          <cell r="AA589">
            <v>435888</v>
          </cell>
        </row>
        <row r="590">
          <cell r="AA590">
            <v>72648</v>
          </cell>
        </row>
        <row r="591">
          <cell r="AA591">
            <v>72670</v>
          </cell>
        </row>
        <row r="592">
          <cell r="AA592">
            <v>1889428</v>
          </cell>
        </row>
        <row r="593">
          <cell r="AA593">
            <v>149296</v>
          </cell>
        </row>
        <row r="594">
          <cell r="AA594">
            <v>1866204</v>
          </cell>
        </row>
        <row r="595">
          <cell r="AA595">
            <v>0</v>
          </cell>
        </row>
        <row r="596">
          <cell r="AA596">
            <v>0</v>
          </cell>
        </row>
        <row r="597">
          <cell r="AA597">
            <v>1836633</v>
          </cell>
        </row>
        <row r="598">
          <cell r="AA598">
            <v>1001800</v>
          </cell>
        </row>
        <row r="599">
          <cell r="AA599">
            <v>0</v>
          </cell>
        </row>
        <row r="600">
          <cell r="AA600">
            <v>0</v>
          </cell>
        </row>
        <row r="601">
          <cell r="AA601">
            <v>0</v>
          </cell>
        </row>
        <row r="602">
          <cell r="AA602">
            <v>0</v>
          </cell>
        </row>
        <row r="603">
          <cell r="AA603">
            <v>0</v>
          </cell>
        </row>
        <row r="604">
          <cell r="AA604">
            <v>0</v>
          </cell>
        </row>
        <row r="605">
          <cell r="AA605">
            <v>0</v>
          </cell>
        </row>
        <row r="606">
          <cell r="AA606">
            <v>0</v>
          </cell>
        </row>
        <row r="607">
          <cell r="AA607">
            <v>0</v>
          </cell>
        </row>
        <row r="608">
          <cell r="AA608">
            <v>0</v>
          </cell>
        </row>
        <row r="609">
          <cell r="AA609">
            <v>0</v>
          </cell>
        </row>
        <row r="610">
          <cell r="AA610">
            <v>0</v>
          </cell>
        </row>
        <row r="611">
          <cell r="AA611">
            <v>0</v>
          </cell>
        </row>
        <row r="612">
          <cell r="AA612">
            <v>335350</v>
          </cell>
        </row>
        <row r="613">
          <cell r="AA613">
            <v>67070</v>
          </cell>
        </row>
        <row r="614">
          <cell r="AA614">
            <v>0</v>
          </cell>
        </row>
        <row r="615">
          <cell r="AA615">
            <v>0</v>
          </cell>
        </row>
        <row r="616">
          <cell r="AA616">
            <v>0</v>
          </cell>
        </row>
        <row r="617">
          <cell r="AA617">
            <v>0</v>
          </cell>
        </row>
        <row r="618">
          <cell r="AA618">
            <v>0</v>
          </cell>
        </row>
        <row r="619">
          <cell r="AA619">
            <v>144674</v>
          </cell>
        </row>
        <row r="620">
          <cell r="AA620">
            <v>0</v>
          </cell>
        </row>
        <row r="621">
          <cell r="AA621">
            <v>0</v>
          </cell>
        </row>
        <row r="622">
          <cell r="AA622">
            <v>0</v>
          </cell>
        </row>
        <row r="623">
          <cell r="AA623">
            <v>0</v>
          </cell>
        </row>
        <row r="624">
          <cell r="AA624">
            <v>0</v>
          </cell>
        </row>
        <row r="625">
          <cell r="AA625">
            <v>0</v>
          </cell>
        </row>
        <row r="626">
          <cell r="AA626">
            <v>0</v>
          </cell>
        </row>
        <row r="627">
          <cell r="AA627">
            <v>0</v>
          </cell>
        </row>
        <row r="628">
          <cell r="AA628">
            <v>0</v>
          </cell>
        </row>
        <row r="629">
          <cell r="AA629">
            <v>0</v>
          </cell>
        </row>
        <row r="630">
          <cell r="AA630">
            <v>0</v>
          </cell>
        </row>
        <row r="631">
          <cell r="AA631">
            <v>164230</v>
          </cell>
        </row>
        <row r="632">
          <cell r="AA632">
            <v>0</v>
          </cell>
        </row>
        <row r="633">
          <cell r="AA633">
            <v>0</v>
          </cell>
        </row>
        <row r="634">
          <cell r="AA634">
            <v>0</v>
          </cell>
        </row>
        <row r="635">
          <cell r="AA635">
            <v>0</v>
          </cell>
        </row>
        <row r="636">
          <cell r="AA636">
            <v>0</v>
          </cell>
        </row>
        <row r="637">
          <cell r="AA637">
            <v>0</v>
          </cell>
        </row>
        <row r="638">
          <cell r="AA638">
            <v>0</v>
          </cell>
        </row>
        <row r="639">
          <cell r="AA639">
            <v>0</v>
          </cell>
        </row>
        <row r="640">
          <cell r="AA640">
            <v>0</v>
          </cell>
        </row>
        <row r="641">
          <cell r="AA641">
            <v>0</v>
          </cell>
        </row>
        <row r="642">
          <cell r="AA642">
            <v>0</v>
          </cell>
        </row>
        <row r="643">
          <cell r="AA643">
            <v>59203</v>
          </cell>
        </row>
        <row r="644">
          <cell r="AA644">
            <v>0</v>
          </cell>
        </row>
        <row r="645">
          <cell r="AA645">
            <v>92271</v>
          </cell>
        </row>
        <row r="646">
          <cell r="AA646">
            <v>0</v>
          </cell>
        </row>
        <row r="647">
          <cell r="AA647">
            <v>0</v>
          </cell>
        </row>
        <row r="648">
          <cell r="AA648">
            <v>0</v>
          </cell>
        </row>
        <row r="649">
          <cell r="AA649">
            <v>0</v>
          </cell>
        </row>
        <row r="650">
          <cell r="AA650">
            <v>0</v>
          </cell>
        </row>
        <row r="651">
          <cell r="AA651">
            <v>0</v>
          </cell>
        </row>
        <row r="652">
          <cell r="AA652">
            <v>0</v>
          </cell>
        </row>
        <row r="653">
          <cell r="AA653">
            <v>0</v>
          </cell>
        </row>
        <row r="654">
          <cell r="AA654">
            <v>0</v>
          </cell>
        </row>
        <row r="655">
          <cell r="AA655">
            <v>0</v>
          </cell>
        </row>
        <row r="656">
          <cell r="AA656">
            <v>0</v>
          </cell>
        </row>
        <row r="657">
          <cell r="AA657">
            <v>0</v>
          </cell>
        </row>
        <row r="658">
          <cell r="AA658">
            <v>0</v>
          </cell>
        </row>
        <row r="659">
          <cell r="AA659">
            <v>43291</v>
          </cell>
        </row>
        <row r="660">
          <cell r="AA660">
            <v>435133</v>
          </cell>
        </row>
        <row r="661">
          <cell r="AA661">
            <v>696213</v>
          </cell>
        </row>
        <row r="662">
          <cell r="AA662">
            <v>1218372</v>
          </cell>
        </row>
        <row r="663">
          <cell r="AA663">
            <v>957292</v>
          </cell>
        </row>
        <row r="664">
          <cell r="AA664">
            <v>1305399</v>
          </cell>
        </row>
        <row r="665">
          <cell r="AA665">
            <v>213573</v>
          </cell>
        </row>
        <row r="666">
          <cell r="AA666">
            <v>854292</v>
          </cell>
        </row>
        <row r="667">
          <cell r="AA667">
            <v>3626100</v>
          </cell>
        </row>
        <row r="668">
          <cell r="AA668">
            <v>4029000</v>
          </cell>
        </row>
        <row r="669">
          <cell r="AA669">
            <v>4163300</v>
          </cell>
        </row>
        <row r="670">
          <cell r="AA670">
            <v>1343000</v>
          </cell>
        </row>
        <row r="671">
          <cell r="AA671">
            <v>154319</v>
          </cell>
        </row>
        <row r="672">
          <cell r="AA672">
            <v>115739</v>
          </cell>
        </row>
        <row r="673">
          <cell r="AA673">
            <v>0</v>
          </cell>
        </row>
        <row r="674">
          <cell r="AA674">
            <v>0</v>
          </cell>
        </row>
        <row r="675">
          <cell r="AA675">
            <v>0</v>
          </cell>
        </row>
        <row r="676">
          <cell r="AA676">
            <v>0</v>
          </cell>
        </row>
        <row r="677">
          <cell r="AA677">
            <v>0</v>
          </cell>
        </row>
        <row r="678">
          <cell r="AA678">
            <v>0</v>
          </cell>
        </row>
        <row r="679">
          <cell r="AA679">
            <v>0</v>
          </cell>
        </row>
        <row r="680">
          <cell r="AA680">
            <v>0</v>
          </cell>
        </row>
        <row r="681">
          <cell r="AA681">
            <v>0</v>
          </cell>
        </row>
        <row r="682">
          <cell r="AA682">
            <v>207677</v>
          </cell>
        </row>
        <row r="683">
          <cell r="AA683">
            <v>0</v>
          </cell>
        </row>
        <row r="684">
          <cell r="AA684">
            <v>0</v>
          </cell>
        </row>
        <row r="685">
          <cell r="AA685">
            <v>84471</v>
          </cell>
        </row>
        <row r="686">
          <cell r="AA686">
            <v>0</v>
          </cell>
        </row>
        <row r="687">
          <cell r="AA687">
            <v>0</v>
          </cell>
        </row>
        <row r="688">
          <cell r="AA688">
            <v>0</v>
          </cell>
        </row>
        <row r="689">
          <cell r="AA689">
            <v>49580</v>
          </cell>
        </row>
        <row r="690">
          <cell r="AA690">
            <v>0</v>
          </cell>
        </row>
        <row r="691">
          <cell r="AA691">
            <v>1425049</v>
          </cell>
        </row>
        <row r="692">
          <cell r="AA692">
            <v>0</v>
          </cell>
        </row>
        <row r="693">
          <cell r="AA693">
            <v>0</v>
          </cell>
        </row>
        <row r="694">
          <cell r="AA694">
            <v>0</v>
          </cell>
        </row>
        <row r="695">
          <cell r="AA695">
            <v>0</v>
          </cell>
        </row>
        <row r="696">
          <cell r="AA696">
            <v>0</v>
          </cell>
        </row>
        <row r="697">
          <cell r="AA697">
            <v>0</v>
          </cell>
        </row>
        <row r="698">
          <cell r="AA698">
            <v>0</v>
          </cell>
        </row>
        <row r="699">
          <cell r="AA699">
            <v>0</v>
          </cell>
        </row>
        <row r="700">
          <cell r="AA700">
            <v>0</v>
          </cell>
        </row>
        <row r="701">
          <cell r="AA701">
            <v>0</v>
          </cell>
        </row>
        <row r="702">
          <cell r="AA702">
            <v>41067</v>
          </cell>
        </row>
        <row r="703">
          <cell r="AA703">
            <v>0</v>
          </cell>
        </row>
        <row r="704">
          <cell r="AA704">
            <v>0</v>
          </cell>
        </row>
        <row r="705">
          <cell r="AA705">
            <v>0</v>
          </cell>
        </row>
        <row r="706">
          <cell r="AA706">
            <v>0</v>
          </cell>
        </row>
        <row r="707">
          <cell r="AA707">
            <v>0</v>
          </cell>
        </row>
        <row r="708">
          <cell r="AA708">
            <v>0</v>
          </cell>
        </row>
        <row r="709">
          <cell r="AA709">
            <v>0</v>
          </cell>
        </row>
        <row r="710">
          <cell r="AA710">
            <v>0</v>
          </cell>
        </row>
        <row r="711">
          <cell r="AA711">
            <v>0</v>
          </cell>
        </row>
        <row r="712">
          <cell r="AA712">
            <v>0</v>
          </cell>
        </row>
        <row r="713">
          <cell r="AA713">
            <v>0</v>
          </cell>
        </row>
        <row r="714">
          <cell r="AA714">
            <v>0</v>
          </cell>
        </row>
        <row r="715">
          <cell r="AA715">
            <v>0</v>
          </cell>
        </row>
        <row r="716">
          <cell r="AA716">
            <v>0</v>
          </cell>
        </row>
        <row r="717">
          <cell r="AA717">
            <v>0</v>
          </cell>
        </row>
        <row r="718">
          <cell r="AA718">
            <v>0</v>
          </cell>
        </row>
        <row r="719">
          <cell r="AA719">
            <v>0</v>
          </cell>
        </row>
        <row r="720">
          <cell r="AA720">
            <v>0</v>
          </cell>
        </row>
        <row r="721">
          <cell r="AA721">
            <v>0</v>
          </cell>
        </row>
        <row r="722">
          <cell r="AA722">
            <v>0</v>
          </cell>
        </row>
        <row r="723">
          <cell r="AA723">
            <v>64440</v>
          </cell>
        </row>
        <row r="724">
          <cell r="AA724">
            <v>150360</v>
          </cell>
        </row>
        <row r="725">
          <cell r="AA725">
            <v>42960</v>
          </cell>
        </row>
        <row r="726">
          <cell r="AA726">
            <v>0</v>
          </cell>
        </row>
        <row r="727">
          <cell r="AA727">
            <v>68626</v>
          </cell>
        </row>
        <row r="728">
          <cell r="AA728">
            <v>34313</v>
          </cell>
        </row>
        <row r="729">
          <cell r="AA729">
            <v>0</v>
          </cell>
        </row>
        <row r="730">
          <cell r="AA730">
            <v>0</v>
          </cell>
        </row>
        <row r="731">
          <cell r="AA731">
            <v>0</v>
          </cell>
        </row>
        <row r="732">
          <cell r="AA732">
            <v>0</v>
          </cell>
        </row>
        <row r="733">
          <cell r="AA733">
            <v>-38333</v>
          </cell>
        </row>
        <row r="734">
          <cell r="AA734">
            <v>520333</v>
          </cell>
        </row>
        <row r="735">
          <cell r="AA735">
            <v>665867</v>
          </cell>
        </row>
        <row r="736">
          <cell r="AA736">
            <v>1150133</v>
          </cell>
        </row>
        <row r="737">
          <cell r="AA737">
            <v>40100</v>
          </cell>
        </row>
        <row r="738">
          <cell r="AA738">
            <v>463467</v>
          </cell>
        </row>
        <row r="739">
          <cell r="AA739">
            <v>0</v>
          </cell>
        </row>
        <row r="740">
          <cell r="AA740">
            <v>0</v>
          </cell>
        </row>
        <row r="741">
          <cell r="AA741">
            <v>0</v>
          </cell>
        </row>
        <row r="742">
          <cell r="AA742">
            <v>599563</v>
          </cell>
        </row>
        <row r="743">
          <cell r="AA743">
            <v>0</v>
          </cell>
        </row>
        <row r="744">
          <cell r="AA744">
            <v>0</v>
          </cell>
        </row>
        <row r="745">
          <cell r="AA745">
            <v>0</v>
          </cell>
        </row>
        <row r="746">
          <cell r="AA746">
            <v>0</v>
          </cell>
        </row>
        <row r="747">
          <cell r="AA747">
            <v>0</v>
          </cell>
        </row>
        <row r="748">
          <cell r="AA748">
            <v>0</v>
          </cell>
        </row>
        <row r="749">
          <cell r="AA749">
            <v>0</v>
          </cell>
        </row>
        <row r="750">
          <cell r="AA750">
            <v>144118</v>
          </cell>
        </row>
        <row r="751">
          <cell r="AA751">
            <v>115295</v>
          </cell>
        </row>
        <row r="752">
          <cell r="AA752">
            <v>0</v>
          </cell>
        </row>
        <row r="753">
          <cell r="AA753">
            <v>0</v>
          </cell>
        </row>
        <row r="754">
          <cell r="AA754">
            <v>0</v>
          </cell>
        </row>
        <row r="755">
          <cell r="AA755">
            <v>711035</v>
          </cell>
        </row>
        <row r="756">
          <cell r="AA756">
            <v>0</v>
          </cell>
        </row>
        <row r="757">
          <cell r="AA757">
            <v>1161058</v>
          </cell>
        </row>
        <row r="758">
          <cell r="AA758">
            <v>430022</v>
          </cell>
        </row>
        <row r="759">
          <cell r="AA759">
            <v>645032</v>
          </cell>
        </row>
        <row r="760">
          <cell r="AA760">
            <v>172009</v>
          </cell>
        </row>
        <row r="761">
          <cell r="AA761">
            <v>688034</v>
          </cell>
        </row>
        <row r="762">
          <cell r="AA762">
            <v>86004</v>
          </cell>
        </row>
        <row r="763">
          <cell r="AA763">
            <v>0</v>
          </cell>
        </row>
        <row r="764">
          <cell r="AA764">
            <v>0</v>
          </cell>
        </row>
        <row r="765">
          <cell r="AA765">
            <v>0</v>
          </cell>
        </row>
        <row r="766">
          <cell r="AA766">
            <v>0</v>
          </cell>
        </row>
        <row r="767">
          <cell r="AA767">
            <v>64003</v>
          </cell>
        </row>
        <row r="768">
          <cell r="AA768">
            <v>800040</v>
          </cell>
        </row>
        <row r="769">
          <cell r="AA769">
            <v>160008</v>
          </cell>
        </row>
        <row r="770">
          <cell r="AA770">
            <v>800040</v>
          </cell>
        </row>
        <row r="771">
          <cell r="AA771">
            <v>0</v>
          </cell>
        </row>
        <row r="772">
          <cell r="AA772">
            <v>0</v>
          </cell>
        </row>
        <row r="773">
          <cell r="AA773">
            <v>310193</v>
          </cell>
        </row>
        <row r="774">
          <cell r="AA774">
            <v>0</v>
          </cell>
        </row>
        <row r="775">
          <cell r="AA775">
            <v>0</v>
          </cell>
        </row>
        <row r="776">
          <cell r="AA776">
            <v>0</v>
          </cell>
        </row>
        <row r="777">
          <cell r="AA777">
            <v>208010</v>
          </cell>
        </row>
        <row r="778">
          <cell r="AA778">
            <v>41602</v>
          </cell>
        </row>
        <row r="779">
          <cell r="AA779">
            <v>41602</v>
          </cell>
        </row>
        <row r="780">
          <cell r="AA780">
            <v>0</v>
          </cell>
        </row>
        <row r="781">
          <cell r="AA781">
            <v>0</v>
          </cell>
        </row>
        <row r="782">
          <cell r="AA782">
            <v>78093</v>
          </cell>
        </row>
        <row r="783">
          <cell r="AA783">
            <v>195232</v>
          </cell>
        </row>
        <row r="784">
          <cell r="AA784">
            <v>78093</v>
          </cell>
        </row>
        <row r="785">
          <cell r="AA785">
            <v>78093</v>
          </cell>
        </row>
        <row r="786">
          <cell r="AA786">
            <v>0</v>
          </cell>
        </row>
        <row r="787">
          <cell r="AA787">
            <v>0</v>
          </cell>
        </row>
        <row r="788">
          <cell r="AA788">
            <v>66003</v>
          </cell>
        </row>
        <row r="789">
          <cell r="AA789">
            <v>82137</v>
          </cell>
        </row>
        <row r="790">
          <cell r="AA790">
            <v>0</v>
          </cell>
        </row>
        <row r="791">
          <cell r="AA791">
            <v>0</v>
          </cell>
        </row>
        <row r="792">
          <cell r="AA792">
            <v>0</v>
          </cell>
        </row>
        <row r="793">
          <cell r="AA793">
            <v>0</v>
          </cell>
        </row>
        <row r="794">
          <cell r="AA794">
            <v>0</v>
          </cell>
        </row>
        <row r="795">
          <cell r="AA795">
            <v>0</v>
          </cell>
        </row>
        <row r="796">
          <cell r="AA796">
            <v>0</v>
          </cell>
        </row>
        <row r="797">
          <cell r="AA797">
            <v>0</v>
          </cell>
        </row>
        <row r="798">
          <cell r="AA798">
            <v>0</v>
          </cell>
        </row>
        <row r="799">
          <cell r="AA799">
            <v>0</v>
          </cell>
        </row>
        <row r="800">
          <cell r="AA800">
            <v>0</v>
          </cell>
        </row>
        <row r="801">
          <cell r="AA801">
            <v>0</v>
          </cell>
        </row>
        <row r="802">
          <cell r="AA802">
            <v>0</v>
          </cell>
        </row>
        <row r="803">
          <cell r="AA803">
            <v>341846</v>
          </cell>
        </row>
        <row r="804">
          <cell r="AA804">
            <v>73515</v>
          </cell>
        </row>
        <row r="805">
          <cell r="AA805">
            <v>147030</v>
          </cell>
        </row>
        <row r="806">
          <cell r="AA806">
            <v>73515</v>
          </cell>
        </row>
        <row r="807">
          <cell r="AA807">
            <v>0</v>
          </cell>
        </row>
        <row r="808">
          <cell r="AA808">
            <v>0</v>
          </cell>
        </row>
        <row r="809">
          <cell r="AA809">
            <v>0</v>
          </cell>
        </row>
        <row r="810">
          <cell r="AA810">
            <v>367352</v>
          </cell>
        </row>
        <row r="811">
          <cell r="AA811">
            <v>0</v>
          </cell>
        </row>
        <row r="812">
          <cell r="AA812">
            <v>0</v>
          </cell>
        </row>
        <row r="813">
          <cell r="AA813">
            <v>0</v>
          </cell>
        </row>
        <row r="814">
          <cell r="AA814">
            <v>0</v>
          </cell>
        </row>
        <row r="815">
          <cell r="AA815">
            <v>0</v>
          </cell>
        </row>
        <row r="816">
          <cell r="AA816">
            <v>0</v>
          </cell>
        </row>
        <row r="817">
          <cell r="AA817">
            <v>374833</v>
          </cell>
        </row>
        <row r="818">
          <cell r="AA818">
            <v>0</v>
          </cell>
        </row>
        <row r="819">
          <cell r="AA819">
            <v>0</v>
          </cell>
        </row>
        <row r="820">
          <cell r="AA820">
            <v>0</v>
          </cell>
        </row>
        <row r="821">
          <cell r="AA821">
            <v>0</v>
          </cell>
        </row>
        <row r="822">
          <cell r="AA822">
            <v>0</v>
          </cell>
        </row>
        <row r="823">
          <cell r="AA823">
            <v>0</v>
          </cell>
        </row>
        <row r="824">
          <cell r="AA824">
            <v>0</v>
          </cell>
        </row>
        <row r="825">
          <cell r="AA825">
            <v>0</v>
          </cell>
        </row>
        <row r="826">
          <cell r="AA826">
            <v>0</v>
          </cell>
        </row>
        <row r="827">
          <cell r="AA827">
            <v>0</v>
          </cell>
        </row>
        <row r="828">
          <cell r="AA828">
            <v>0</v>
          </cell>
        </row>
        <row r="829">
          <cell r="AA829">
            <v>0</v>
          </cell>
        </row>
        <row r="830">
          <cell r="AA830">
            <v>0</v>
          </cell>
        </row>
        <row r="831">
          <cell r="AA831">
            <v>0</v>
          </cell>
        </row>
        <row r="832">
          <cell r="AA832">
            <v>0</v>
          </cell>
        </row>
        <row r="833">
          <cell r="AA833">
            <v>95894</v>
          </cell>
        </row>
        <row r="834">
          <cell r="AA834">
            <v>0</v>
          </cell>
        </row>
        <row r="835">
          <cell r="AA835">
            <v>0</v>
          </cell>
        </row>
        <row r="836">
          <cell r="AA836">
            <v>0</v>
          </cell>
        </row>
        <row r="837">
          <cell r="AA837">
            <v>0</v>
          </cell>
        </row>
        <row r="838">
          <cell r="AA838">
            <v>138540</v>
          </cell>
        </row>
        <row r="839">
          <cell r="AA839">
            <v>0</v>
          </cell>
        </row>
        <row r="840">
          <cell r="AA840">
            <v>70448</v>
          </cell>
        </row>
        <row r="841">
          <cell r="AA841">
            <v>0</v>
          </cell>
        </row>
        <row r="842">
          <cell r="AA842">
            <v>0</v>
          </cell>
        </row>
        <row r="843">
          <cell r="AA843">
            <v>0</v>
          </cell>
        </row>
        <row r="844">
          <cell r="AA844">
            <v>0</v>
          </cell>
        </row>
        <row r="845">
          <cell r="AA845">
            <v>0</v>
          </cell>
        </row>
        <row r="846">
          <cell r="AA846">
            <v>0</v>
          </cell>
        </row>
        <row r="847">
          <cell r="AA847">
            <v>0</v>
          </cell>
        </row>
        <row r="848">
          <cell r="AA848">
            <v>0</v>
          </cell>
        </row>
        <row r="849">
          <cell r="AA849">
            <v>684479</v>
          </cell>
        </row>
        <row r="850">
          <cell r="AA850">
            <v>5133590</v>
          </cell>
        </row>
        <row r="851">
          <cell r="AA851">
            <v>0</v>
          </cell>
        </row>
        <row r="852">
          <cell r="AA852">
            <v>0</v>
          </cell>
        </row>
        <row r="853">
          <cell r="AA853">
            <v>0</v>
          </cell>
        </row>
        <row r="854">
          <cell r="AA854">
            <v>0</v>
          </cell>
        </row>
        <row r="855">
          <cell r="AA855">
            <v>1237929</v>
          </cell>
        </row>
        <row r="856">
          <cell r="AA856">
            <v>1237929</v>
          </cell>
        </row>
        <row r="857">
          <cell r="AA857">
            <v>1392670</v>
          </cell>
        </row>
        <row r="858">
          <cell r="AA858">
            <v>309482</v>
          </cell>
        </row>
        <row r="859">
          <cell r="AA859">
            <v>0</v>
          </cell>
        </row>
        <row r="860">
          <cell r="AA860">
            <v>773705</v>
          </cell>
        </row>
        <row r="861">
          <cell r="AA861">
            <v>309482</v>
          </cell>
        </row>
        <row r="862">
          <cell r="AA862">
            <v>0</v>
          </cell>
        </row>
        <row r="863">
          <cell r="AA863">
            <v>241600</v>
          </cell>
        </row>
        <row r="864">
          <cell r="AA864">
            <v>926133</v>
          </cell>
        </row>
        <row r="865">
          <cell r="AA865">
            <v>322133</v>
          </cell>
        </row>
        <row r="866">
          <cell r="AA866">
            <v>0</v>
          </cell>
        </row>
        <row r="867">
          <cell r="AA867">
            <v>395464</v>
          </cell>
        </row>
        <row r="868">
          <cell r="AA868">
            <v>0</v>
          </cell>
        </row>
        <row r="869">
          <cell r="AA869">
            <v>0</v>
          </cell>
        </row>
        <row r="870">
          <cell r="AA870">
            <v>302933</v>
          </cell>
        </row>
        <row r="871">
          <cell r="AA871">
            <v>227200</v>
          </cell>
        </row>
        <row r="872">
          <cell r="AA872">
            <v>0</v>
          </cell>
        </row>
        <row r="873">
          <cell r="AA873">
            <v>0</v>
          </cell>
        </row>
        <row r="874">
          <cell r="AA874">
            <v>0</v>
          </cell>
        </row>
        <row r="875">
          <cell r="AA875">
            <v>0</v>
          </cell>
        </row>
        <row r="876">
          <cell r="AA876">
            <v>0</v>
          </cell>
        </row>
        <row r="877">
          <cell r="AA877">
            <v>0</v>
          </cell>
        </row>
        <row r="878">
          <cell r="AA878">
            <v>0</v>
          </cell>
        </row>
        <row r="879">
          <cell r="AA879">
            <v>0</v>
          </cell>
        </row>
        <row r="880">
          <cell r="AA880">
            <v>97872</v>
          </cell>
        </row>
        <row r="881">
          <cell r="AA881">
            <v>880844</v>
          </cell>
        </row>
        <row r="882">
          <cell r="AA882">
            <v>97872</v>
          </cell>
        </row>
        <row r="883">
          <cell r="AA883">
            <v>391486</v>
          </cell>
        </row>
        <row r="884">
          <cell r="AA884">
            <v>489358</v>
          </cell>
        </row>
        <row r="885">
          <cell r="AA885">
            <v>232878</v>
          </cell>
        </row>
        <row r="886">
          <cell r="AA886">
            <v>0</v>
          </cell>
        </row>
        <row r="887">
          <cell r="AA887">
            <v>0</v>
          </cell>
        </row>
        <row r="888">
          <cell r="AA888">
            <v>0</v>
          </cell>
        </row>
        <row r="889">
          <cell r="AA889">
            <v>112006</v>
          </cell>
        </row>
        <row r="890">
          <cell r="AA890">
            <v>0</v>
          </cell>
        </row>
        <row r="891">
          <cell r="AA891">
            <v>0</v>
          </cell>
        </row>
        <row r="892">
          <cell r="AA892">
            <v>0</v>
          </cell>
        </row>
        <row r="893">
          <cell r="AA893">
            <v>0</v>
          </cell>
        </row>
        <row r="894">
          <cell r="AA894">
            <v>0</v>
          </cell>
        </row>
        <row r="895">
          <cell r="AA895">
            <v>4207142</v>
          </cell>
        </row>
        <row r="896">
          <cell r="AA896">
            <v>450100</v>
          </cell>
        </row>
        <row r="897">
          <cell r="AA897">
            <v>139400</v>
          </cell>
        </row>
        <row r="898">
          <cell r="AA898">
            <v>650533</v>
          </cell>
        </row>
        <row r="899">
          <cell r="AA899">
            <v>580833</v>
          </cell>
        </row>
        <row r="900">
          <cell r="AA900">
            <v>139400</v>
          </cell>
        </row>
        <row r="901">
          <cell r="AA901">
            <v>697000</v>
          </cell>
        </row>
        <row r="902">
          <cell r="AA902">
            <v>720233</v>
          </cell>
        </row>
        <row r="903">
          <cell r="AA903">
            <v>697000</v>
          </cell>
        </row>
        <row r="904">
          <cell r="AA904">
            <v>185867</v>
          </cell>
        </row>
        <row r="905">
          <cell r="AA905">
            <v>534367</v>
          </cell>
        </row>
        <row r="906">
          <cell r="AA906">
            <v>162633</v>
          </cell>
        </row>
        <row r="907">
          <cell r="AA907">
            <v>302033</v>
          </cell>
        </row>
        <row r="908">
          <cell r="AA908">
            <v>255567</v>
          </cell>
        </row>
        <row r="909">
          <cell r="AA909">
            <v>697000</v>
          </cell>
        </row>
        <row r="910">
          <cell r="AA910">
            <v>720233</v>
          </cell>
        </row>
        <row r="911">
          <cell r="AA911">
            <v>697000</v>
          </cell>
        </row>
        <row r="912">
          <cell r="AA912">
            <v>720233</v>
          </cell>
        </row>
        <row r="913">
          <cell r="AA913">
            <v>1044684</v>
          </cell>
        </row>
        <row r="914">
          <cell r="AA914">
            <v>278800</v>
          </cell>
        </row>
        <row r="915">
          <cell r="AA915">
            <v>69700</v>
          </cell>
        </row>
        <row r="916">
          <cell r="AA916">
            <v>46467</v>
          </cell>
        </row>
        <row r="917">
          <cell r="AA917">
            <v>1115200</v>
          </cell>
        </row>
        <row r="918">
          <cell r="AA918">
            <v>1161667</v>
          </cell>
        </row>
        <row r="919">
          <cell r="AA919">
            <v>139400</v>
          </cell>
        </row>
        <row r="920">
          <cell r="AA920">
            <v>1394000</v>
          </cell>
        </row>
        <row r="921">
          <cell r="AA921">
            <v>960359</v>
          </cell>
        </row>
        <row r="922">
          <cell r="AA922">
            <v>0</v>
          </cell>
        </row>
        <row r="923">
          <cell r="AA923">
            <v>0</v>
          </cell>
        </row>
        <row r="924">
          <cell r="AA924">
            <v>0</v>
          </cell>
        </row>
        <row r="925">
          <cell r="AA925">
            <v>0</v>
          </cell>
        </row>
        <row r="926">
          <cell r="AA926">
            <v>0</v>
          </cell>
        </row>
        <row r="927">
          <cell r="AA927">
            <v>0</v>
          </cell>
        </row>
        <row r="928">
          <cell r="AA928">
            <v>0</v>
          </cell>
        </row>
        <row r="929">
          <cell r="AA929">
            <v>0</v>
          </cell>
        </row>
        <row r="930">
          <cell r="AA930">
            <v>235212</v>
          </cell>
        </row>
        <row r="931">
          <cell r="AA931">
            <v>235212</v>
          </cell>
        </row>
        <row r="932">
          <cell r="AA932">
            <v>436822</v>
          </cell>
        </row>
        <row r="933">
          <cell r="AA933">
            <v>64981</v>
          </cell>
        </row>
        <row r="934">
          <cell r="AA934">
            <v>324905</v>
          </cell>
        </row>
        <row r="935">
          <cell r="AA935">
            <v>285267</v>
          </cell>
        </row>
        <row r="936">
          <cell r="AA936">
            <v>22357</v>
          </cell>
        </row>
        <row r="937">
          <cell r="AA937">
            <v>0</v>
          </cell>
        </row>
        <row r="938">
          <cell r="AA938">
            <v>0</v>
          </cell>
        </row>
        <row r="939">
          <cell r="AA939">
            <v>48000</v>
          </cell>
        </row>
        <row r="940">
          <cell r="AA940">
            <v>0</v>
          </cell>
        </row>
        <row r="941">
          <cell r="AA941">
            <v>0</v>
          </cell>
        </row>
        <row r="942">
          <cell r="AA942">
            <v>658000</v>
          </cell>
        </row>
        <row r="943">
          <cell r="AA943">
            <v>188000</v>
          </cell>
        </row>
        <row r="944">
          <cell r="AA944">
            <v>34557</v>
          </cell>
        </row>
        <row r="945">
          <cell r="AA945">
            <v>34557</v>
          </cell>
        </row>
        <row r="946">
          <cell r="AA946">
            <v>34557</v>
          </cell>
        </row>
        <row r="947">
          <cell r="AA947">
            <v>241901</v>
          </cell>
        </row>
        <row r="948">
          <cell r="AA948">
            <v>0</v>
          </cell>
        </row>
        <row r="949">
          <cell r="AA949">
            <v>0</v>
          </cell>
        </row>
        <row r="950">
          <cell r="AA950">
            <v>0</v>
          </cell>
        </row>
        <row r="951">
          <cell r="AA951">
            <v>0</v>
          </cell>
        </row>
        <row r="952">
          <cell r="AA952">
            <v>85920</v>
          </cell>
        </row>
        <row r="953">
          <cell r="AA953">
            <v>42960</v>
          </cell>
        </row>
        <row r="954">
          <cell r="AA954">
            <v>0</v>
          </cell>
        </row>
        <row r="955">
          <cell r="AA955">
            <v>0</v>
          </cell>
        </row>
        <row r="956">
          <cell r="AA956">
            <v>0</v>
          </cell>
        </row>
        <row r="957">
          <cell r="AA957">
            <v>0</v>
          </cell>
        </row>
        <row r="958">
          <cell r="AA958">
            <v>0</v>
          </cell>
        </row>
        <row r="959">
          <cell r="AA959">
            <v>0</v>
          </cell>
        </row>
        <row r="960">
          <cell r="AA960">
            <v>0</v>
          </cell>
        </row>
        <row r="961">
          <cell r="AA961">
            <v>0</v>
          </cell>
        </row>
        <row r="962">
          <cell r="AA962">
            <v>0</v>
          </cell>
        </row>
        <row r="963">
          <cell r="AA963">
            <v>0</v>
          </cell>
        </row>
        <row r="964">
          <cell r="AA964">
            <v>312433</v>
          </cell>
        </row>
        <row r="965">
          <cell r="AA965">
            <v>267800</v>
          </cell>
        </row>
        <row r="966">
          <cell r="AA966">
            <v>0</v>
          </cell>
        </row>
        <row r="967">
          <cell r="AA967">
            <v>0</v>
          </cell>
        </row>
        <row r="968">
          <cell r="AA968">
            <v>66003</v>
          </cell>
        </row>
        <row r="969">
          <cell r="AA969">
            <v>44002</v>
          </cell>
        </row>
        <row r="970">
          <cell r="AA970">
            <v>0</v>
          </cell>
        </row>
        <row r="971">
          <cell r="AA971">
            <v>36924</v>
          </cell>
        </row>
        <row r="972">
          <cell r="AA972">
            <v>79671</v>
          </cell>
        </row>
        <row r="973">
          <cell r="AA973">
            <v>0</v>
          </cell>
        </row>
        <row r="974">
          <cell r="AA974">
            <v>147280716</v>
          </cell>
        </row>
        <row r="1048556">
          <cell r="AA1048556">
            <v>0</v>
          </cell>
        </row>
      </sheetData>
      <sheetData sheetId="12">
        <row r="3">
          <cell r="AA3">
            <v>0</v>
          </cell>
        </row>
        <row r="4">
          <cell r="AA4">
            <v>0</v>
          </cell>
        </row>
        <row r="5">
          <cell r="AA5">
            <v>0</v>
          </cell>
        </row>
        <row r="6">
          <cell r="AA6">
            <v>0</v>
          </cell>
        </row>
        <row r="7">
          <cell r="AA7">
            <v>0</v>
          </cell>
        </row>
        <row r="8">
          <cell r="AA8">
            <v>121406</v>
          </cell>
        </row>
        <row r="9">
          <cell r="AA9">
            <v>364218</v>
          </cell>
        </row>
        <row r="10">
          <cell r="AA10">
            <v>0</v>
          </cell>
        </row>
        <row r="11">
          <cell r="AA11">
            <v>0</v>
          </cell>
        </row>
        <row r="12">
          <cell r="AA12">
            <v>0</v>
          </cell>
        </row>
        <row r="13">
          <cell r="AA13">
            <v>0</v>
          </cell>
        </row>
        <row r="14">
          <cell r="AA14">
            <v>0</v>
          </cell>
        </row>
        <row r="15">
          <cell r="AA15">
            <v>0</v>
          </cell>
        </row>
        <row r="16">
          <cell r="AA16">
            <v>0</v>
          </cell>
        </row>
        <row r="17">
          <cell r="AA17">
            <v>0</v>
          </cell>
        </row>
        <row r="18">
          <cell r="AA18">
            <v>0</v>
          </cell>
        </row>
        <row r="19">
          <cell r="AA19">
            <v>782039</v>
          </cell>
        </row>
        <row r="20">
          <cell r="AA20">
            <v>0</v>
          </cell>
        </row>
        <row r="21">
          <cell r="AA21">
            <v>0</v>
          </cell>
        </row>
        <row r="22">
          <cell r="AA22">
            <v>0</v>
          </cell>
        </row>
        <row r="23">
          <cell r="AA23">
            <v>0</v>
          </cell>
        </row>
        <row r="24">
          <cell r="AA24">
            <v>0</v>
          </cell>
        </row>
        <row r="25">
          <cell r="AA25">
            <v>128451</v>
          </cell>
        </row>
        <row r="26">
          <cell r="AA26">
            <v>0</v>
          </cell>
        </row>
        <row r="27">
          <cell r="AA27">
            <v>466667</v>
          </cell>
        </row>
        <row r="28">
          <cell r="AA28">
            <v>25579</v>
          </cell>
        </row>
        <row r="29">
          <cell r="AA29">
            <v>0</v>
          </cell>
        </row>
        <row r="30">
          <cell r="AA30">
            <v>0</v>
          </cell>
        </row>
        <row r="31">
          <cell r="AA31">
            <v>0</v>
          </cell>
        </row>
        <row r="32">
          <cell r="AA32">
            <v>0</v>
          </cell>
        </row>
        <row r="33">
          <cell r="AA33">
            <v>0</v>
          </cell>
        </row>
        <row r="34">
          <cell r="AA34">
            <v>0</v>
          </cell>
        </row>
        <row r="35">
          <cell r="AA35">
            <v>0</v>
          </cell>
        </row>
        <row r="36">
          <cell r="AA36">
            <v>0</v>
          </cell>
        </row>
        <row r="37">
          <cell r="AA37">
            <v>0</v>
          </cell>
        </row>
        <row r="38">
          <cell r="AA38">
            <v>113400</v>
          </cell>
        </row>
        <row r="39">
          <cell r="AA39">
            <v>170100</v>
          </cell>
        </row>
        <row r="40">
          <cell r="AA40">
            <v>0</v>
          </cell>
        </row>
        <row r="41">
          <cell r="AA41">
            <v>0</v>
          </cell>
        </row>
        <row r="42">
          <cell r="AA42">
            <v>0</v>
          </cell>
        </row>
        <row r="43">
          <cell r="AA43">
            <v>0</v>
          </cell>
        </row>
        <row r="44">
          <cell r="AA44">
            <v>0</v>
          </cell>
        </row>
        <row r="45">
          <cell r="AA45">
            <v>0</v>
          </cell>
        </row>
        <row r="46">
          <cell r="AA46">
            <v>0</v>
          </cell>
        </row>
        <row r="47">
          <cell r="AA47">
            <v>-1</v>
          </cell>
        </row>
        <row r="48">
          <cell r="AA48">
            <v>0</v>
          </cell>
        </row>
        <row r="49">
          <cell r="AA49">
            <v>0</v>
          </cell>
        </row>
        <row r="50">
          <cell r="AA50">
            <v>0</v>
          </cell>
        </row>
        <row r="51">
          <cell r="AA51">
            <v>831333</v>
          </cell>
        </row>
        <row r="52">
          <cell r="AA52">
            <v>0</v>
          </cell>
        </row>
        <row r="53">
          <cell r="AA53">
            <v>0</v>
          </cell>
        </row>
        <row r="54">
          <cell r="AA54">
            <v>0</v>
          </cell>
        </row>
        <row r="55">
          <cell r="AA55">
            <v>144229</v>
          </cell>
        </row>
        <row r="56">
          <cell r="AA56">
            <v>0</v>
          </cell>
        </row>
        <row r="57">
          <cell r="AA57">
            <v>0</v>
          </cell>
        </row>
        <row r="58">
          <cell r="AA58">
            <v>0</v>
          </cell>
        </row>
        <row r="59">
          <cell r="AA59">
            <v>0</v>
          </cell>
        </row>
        <row r="60">
          <cell r="AA60">
            <v>0</v>
          </cell>
        </row>
        <row r="61">
          <cell r="AA61">
            <v>0</v>
          </cell>
        </row>
        <row r="62">
          <cell r="AA62">
            <v>0</v>
          </cell>
        </row>
        <row r="63">
          <cell r="AA63">
            <v>0</v>
          </cell>
        </row>
        <row r="64">
          <cell r="AA64">
            <v>0</v>
          </cell>
        </row>
        <row r="65">
          <cell r="AA65">
            <v>151800</v>
          </cell>
        </row>
        <row r="66">
          <cell r="AA66">
            <v>151800</v>
          </cell>
        </row>
        <row r="67">
          <cell r="AA67">
            <v>-36067</v>
          </cell>
        </row>
        <row r="68">
          <cell r="AA68">
            <v>132600</v>
          </cell>
        </row>
        <row r="69">
          <cell r="AA69">
            <v>0</v>
          </cell>
        </row>
        <row r="70">
          <cell r="AA70">
            <v>0</v>
          </cell>
        </row>
        <row r="71">
          <cell r="AA71">
            <v>0</v>
          </cell>
        </row>
        <row r="72">
          <cell r="AA72">
            <v>214833</v>
          </cell>
        </row>
        <row r="73">
          <cell r="AA73">
            <v>257800</v>
          </cell>
        </row>
        <row r="74">
          <cell r="AA74">
            <v>171867</v>
          </cell>
        </row>
        <row r="75">
          <cell r="AA75">
            <v>57292</v>
          </cell>
        </row>
        <row r="76">
          <cell r="AA76">
            <v>85933</v>
          </cell>
        </row>
        <row r="77">
          <cell r="AA77">
            <v>859333</v>
          </cell>
        </row>
        <row r="78">
          <cell r="AA78">
            <v>86867</v>
          </cell>
        </row>
        <row r="79">
          <cell r="AA79">
            <v>171867</v>
          </cell>
        </row>
        <row r="80">
          <cell r="AA80">
            <v>42967</v>
          </cell>
        </row>
        <row r="81">
          <cell r="AA81">
            <v>390900</v>
          </cell>
        </row>
        <row r="82">
          <cell r="AA82">
            <v>75115</v>
          </cell>
        </row>
        <row r="83">
          <cell r="AA83">
            <v>0</v>
          </cell>
        </row>
        <row r="84">
          <cell r="AA84">
            <v>0</v>
          </cell>
        </row>
        <row r="85">
          <cell r="AA85">
            <v>0</v>
          </cell>
        </row>
        <row r="86">
          <cell r="AA86">
            <v>0</v>
          </cell>
        </row>
        <row r="87">
          <cell r="AA87">
            <v>92627</v>
          </cell>
        </row>
        <row r="88">
          <cell r="AA88">
            <v>0</v>
          </cell>
        </row>
        <row r="89">
          <cell r="AA89">
            <v>0</v>
          </cell>
        </row>
        <row r="90">
          <cell r="AA90">
            <v>0</v>
          </cell>
        </row>
        <row r="91">
          <cell r="AA91">
            <v>100272</v>
          </cell>
        </row>
        <row r="92">
          <cell r="AA92">
            <v>0</v>
          </cell>
        </row>
        <row r="93">
          <cell r="AA93">
            <v>231234</v>
          </cell>
        </row>
        <row r="94">
          <cell r="AA94">
            <v>0</v>
          </cell>
        </row>
        <row r="95">
          <cell r="AA95">
            <v>0</v>
          </cell>
        </row>
        <row r="96">
          <cell r="AA96">
            <v>0</v>
          </cell>
        </row>
        <row r="97">
          <cell r="AA97">
            <v>0</v>
          </cell>
        </row>
        <row r="98">
          <cell r="AA98">
            <v>243768</v>
          </cell>
        </row>
        <row r="99">
          <cell r="AA99">
            <v>0</v>
          </cell>
        </row>
        <row r="100">
          <cell r="AA100">
            <v>0</v>
          </cell>
        </row>
        <row r="101">
          <cell r="AA101">
            <v>0</v>
          </cell>
        </row>
        <row r="102">
          <cell r="AA102">
            <v>0</v>
          </cell>
        </row>
        <row r="103">
          <cell r="AA103">
            <v>0</v>
          </cell>
        </row>
        <row r="104">
          <cell r="AA104">
            <v>0</v>
          </cell>
        </row>
        <row r="105">
          <cell r="AA105">
            <v>0</v>
          </cell>
        </row>
        <row r="106">
          <cell r="AA106">
            <v>285348</v>
          </cell>
        </row>
        <row r="107">
          <cell r="AA107">
            <v>0</v>
          </cell>
        </row>
        <row r="108">
          <cell r="AA108">
            <v>126673</v>
          </cell>
        </row>
        <row r="109">
          <cell r="AA109">
            <v>84449</v>
          </cell>
        </row>
        <row r="110">
          <cell r="AA110">
            <v>0</v>
          </cell>
        </row>
        <row r="111">
          <cell r="AA111">
            <v>0</v>
          </cell>
        </row>
        <row r="112">
          <cell r="AA112">
            <v>0</v>
          </cell>
        </row>
        <row r="113">
          <cell r="AA113">
            <v>-8678</v>
          </cell>
        </row>
        <row r="114">
          <cell r="AA114">
            <v>121229</v>
          </cell>
        </row>
        <row r="115">
          <cell r="AA115">
            <v>48492</v>
          </cell>
        </row>
        <row r="116">
          <cell r="AA116">
            <v>0</v>
          </cell>
        </row>
        <row r="117">
          <cell r="AA117">
            <v>0</v>
          </cell>
        </row>
        <row r="118">
          <cell r="AA118">
            <v>0</v>
          </cell>
        </row>
        <row r="119">
          <cell r="AA119">
            <v>0</v>
          </cell>
        </row>
        <row r="120">
          <cell r="AA120">
            <v>0</v>
          </cell>
        </row>
        <row r="121">
          <cell r="AA121">
            <v>574933</v>
          </cell>
        </row>
        <row r="122">
          <cell r="AA122">
            <v>41066</v>
          </cell>
        </row>
        <row r="123">
          <cell r="AA123">
            <v>558480</v>
          </cell>
        </row>
        <row r="124">
          <cell r="AA124">
            <v>21480</v>
          </cell>
        </row>
        <row r="125">
          <cell r="AA125">
            <v>124451</v>
          </cell>
        </row>
        <row r="126">
          <cell r="AA126">
            <v>0</v>
          </cell>
        </row>
        <row r="127">
          <cell r="AA127">
            <v>0</v>
          </cell>
        </row>
        <row r="128">
          <cell r="AA128">
            <v>214800</v>
          </cell>
        </row>
        <row r="129">
          <cell r="AA129">
            <v>0</v>
          </cell>
        </row>
        <row r="130">
          <cell r="AA130">
            <v>0</v>
          </cell>
        </row>
        <row r="131">
          <cell r="AA131">
            <v>0</v>
          </cell>
        </row>
        <row r="132">
          <cell r="AA132">
            <v>0</v>
          </cell>
        </row>
        <row r="133">
          <cell r="AA133">
            <v>0</v>
          </cell>
        </row>
        <row r="134">
          <cell r="AA134">
            <v>0</v>
          </cell>
        </row>
        <row r="135">
          <cell r="AA135">
            <v>0</v>
          </cell>
        </row>
        <row r="136">
          <cell r="AA136">
            <v>0</v>
          </cell>
        </row>
        <row r="137">
          <cell r="AA137">
            <v>0</v>
          </cell>
        </row>
        <row r="138">
          <cell r="AA138">
            <v>42960</v>
          </cell>
        </row>
        <row r="139">
          <cell r="AA139">
            <v>50891</v>
          </cell>
        </row>
        <row r="140">
          <cell r="AA140">
            <v>140874</v>
          </cell>
        </row>
        <row r="141">
          <cell r="AA141">
            <v>0</v>
          </cell>
        </row>
        <row r="142">
          <cell r="AA142">
            <v>0</v>
          </cell>
        </row>
        <row r="143">
          <cell r="AA143">
            <v>0</v>
          </cell>
        </row>
        <row r="144">
          <cell r="AA144">
            <v>0</v>
          </cell>
        </row>
        <row r="145">
          <cell r="AA145">
            <v>0</v>
          </cell>
        </row>
        <row r="146">
          <cell r="AA146">
            <v>190676</v>
          </cell>
        </row>
        <row r="147">
          <cell r="AA147">
            <v>0</v>
          </cell>
        </row>
        <row r="148">
          <cell r="AA148">
            <v>0</v>
          </cell>
        </row>
        <row r="149">
          <cell r="AA149">
            <v>0</v>
          </cell>
        </row>
        <row r="150">
          <cell r="AA150">
            <v>0</v>
          </cell>
        </row>
        <row r="151">
          <cell r="AA151">
            <v>0</v>
          </cell>
        </row>
        <row r="152">
          <cell r="AA152">
            <v>0</v>
          </cell>
        </row>
        <row r="153">
          <cell r="AA153">
            <v>0</v>
          </cell>
        </row>
        <row r="154">
          <cell r="AA154">
            <v>0</v>
          </cell>
        </row>
        <row r="155">
          <cell r="AA155">
            <v>0</v>
          </cell>
        </row>
        <row r="156">
          <cell r="AA156">
            <v>0</v>
          </cell>
        </row>
        <row r="157">
          <cell r="AA157">
            <v>0</v>
          </cell>
        </row>
        <row r="158">
          <cell r="AA158">
            <v>0</v>
          </cell>
        </row>
        <row r="159">
          <cell r="AA159">
            <v>0</v>
          </cell>
        </row>
        <row r="160">
          <cell r="AA160">
            <v>470424</v>
          </cell>
        </row>
        <row r="161">
          <cell r="AA161">
            <v>78404</v>
          </cell>
        </row>
        <row r="162">
          <cell r="AA162">
            <v>156808</v>
          </cell>
        </row>
        <row r="163">
          <cell r="AA163">
            <v>0</v>
          </cell>
        </row>
        <row r="164">
          <cell r="AA164">
            <v>0</v>
          </cell>
        </row>
        <row r="165">
          <cell r="AA165">
            <v>0</v>
          </cell>
        </row>
        <row r="166">
          <cell r="AA166">
            <v>0</v>
          </cell>
        </row>
        <row r="167">
          <cell r="AA167">
            <v>118273</v>
          </cell>
        </row>
        <row r="168">
          <cell r="AA168">
            <v>236545</v>
          </cell>
        </row>
        <row r="169">
          <cell r="AA169">
            <v>275969</v>
          </cell>
        </row>
        <row r="170">
          <cell r="AA170">
            <v>0</v>
          </cell>
        </row>
        <row r="171">
          <cell r="AA171">
            <v>0</v>
          </cell>
        </row>
        <row r="172">
          <cell r="AA172">
            <v>87338</v>
          </cell>
        </row>
        <row r="173">
          <cell r="AA173">
            <v>0</v>
          </cell>
        </row>
        <row r="174">
          <cell r="AA174">
            <v>0</v>
          </cell>
        </row>
        <row r="175">
          <cell r="AA175">
            <v>0</v>
          </cell>
        </row>
        <row r="176">
          <cell r="AA176">
            <v>0</v>
          </cell>
        </row>
        <row r="177">
          <cell r="AA177">
            <v>0</v>
          </cell>
        </row>
        <row r="178">
          <cell r="AA178">
            <v>0</v>
          </cell>
        </row>
        <row r="179">
          <cell r="AA179">
            <v>0</v>
          </cell>
        </row>
        <row r="180">
          <cell r="AA180">
            <v>0</v>
          </cell>
        </row>
        <row r="181">
          <cell r="AA181">
            <v>0</v>
          </cell>
        </row>
        <row r="182">
          <cell r="AA182">
            <v>0</v>
          </cell>
        </row>
        <row r="183">
          <cell r="AA183">
            <v>0</v>
          </cell>
        </row>
        <row r="184">
          <cell r="AA184">
            <v>0</v>
          </cell>
        </row>
        <row r="185">
          <cell r="AA185">
            <v>0</v>
          </cell>
        </row>
        <row r="186">
          <cell r="AA186">
            <v>0</v>
          </cell>
        </row>
        <row r="187">
          <cell r="AA187">
            <v>0</v>
          </cell>
        </row>
        <row r="188">
          <cell r="AA188">
            <v>0</v>
          </cell>
        </row>
        <row r="189">
          <cell r="AA189">
            <v>80271</v>
          </cell>
        </row>
        <row r="190">
          <cell r="AA190">
            <v>0</v>
          </cell>
        </row>
        <row r="191">
          <cell r="AA191">
            <v>0</v>
          </cell>
        </row>
        <row r="192">
          <cell r="AA192">
            <v>0</v>
          </cell>
        </row>
        <row r="193">
          <cell r="AA193">
            <v>0</v>
          </cell>
        </row>
        <row r="194">
          <cell r="AA194">
            <v>0</v>
          </cell>
        </row>
        <row r="195">
          <cell r="AA195">
            <v>0</v>
          </cell>
        </row>
        <row r="196">
          <cell r="AA196">
            <v>0</v>
          </cell>
        </row>
        <row r="197">
          <cell r="AA197">
            <v>150052</v>
          </cell>
        </row>
        <row r="198">
          <cell r="AA198">
            <v>177342</v>
          </cell>
        </row>
        <row r="199">
          <cell r="AA199">
            <v>577667</v>
          </cell>
        </row>
        <row r="200">
          <cell r="AA200">
            <v>164008</v>
          </cell>
        </row>
        <row r="201">
          <cell r="AA201">
            <v>0</v>
          </cell>
        </row>
        <row r="202">
          <cell r="AA202">
            <v>946714</v>
          </cell>
        </row>
        <row r="203">
          <cell r="AA203">
            <v>0</v>
          </cell>
        </row>
        <row r="204">
          <cell r="AA204">
            <v>277852</v>
          </cell>
        </row>
        <row r="205">
          <cell r="AA205">
            <v>30224</v>
          </cell>
        </row>
        <row r="206">
          <cell r="AA206">
            <v>0</v>
          </cell>
        </row>
        <row r="207">
          <cell r="AA207">
            <v>726503</v>
          </cell>
        </row>
        <row r="208">
          <cell r="AA208">
            <v>0</v>
          </cell>
        </row>
        <row r="209">
          <cell r="AA209">
            <v>0</v>
          </cell>
        </row>
        <row r="210">
          <cell r="AA210">
            <v>0</v>
          </cell>
        </row>
        <row r="211">
          <cell r="AA211">
            <v>0</v>
          </cell>
        </row>
        <row r="212">
          <cell r="AA212">
            <v>58800</v>
          </cell>
        </row>
        <row r="213">
          <cell r="AA213">
            <v>0</v>
          </cell>
        </row>
        <row r="214">
          <cell r="AA214">
            <v>0</v>
          </cell>
        </row>
        <row r="215">
          <cell r="AA215">
            <v>0</v>
          </cell>
        </row>
        <row r="216">
          <cell r="AA216">
            <v>0</v>
          </cell>
        </row>
        <row r="217">
          <cell r="AA217">
            <v>301348</v>
          </cell>
        </row>
        <row r="218">
          <cell r="AA218">
            <v>0</v>
          </cell>
        </row>
        <row r="219">
          <cell r="AA219">
            <v>0</v>
          </cell>
        </row>
        <row r="220">
          <cell r="AA220">
            <v>967515</v>
          </cell>
        </row>
        <row r="221">
          <cell r="AA221">
            <v>0</v>
          </cell>
        </row>
        <row r="222">
          <cell r="AA222">
            <v>0</v>
          </cell>
        </row>
        <row r="223">
          <cell r="AA223">
            <v>0</v>
          </cell>
        </row>
        <row r="224">
          <cell r="AA224">
            <v>0</v>
          </cell>
        </row>
        <row r="225">
          <cell r="AA225">
            <v>0</v>
          </cell>
        </row>
        <row r="226">
          <cell r="AA226">
            <v>0</v>
          </cell>
        </row>
        <row r="227">
          <cell r="AA227">
            <v>0</v>
          </cell>
        </row>
        <row r="228">
          <cell r="AA228">
            <v>309200</v>
          </cell>
        </row>
        <row r="229">
          <cell r="AA229">
            <v>0</v>
          </cell>
        </row>
        <row r="230">
          <cell r="AA230">
            <v>569200</v>
          </cell>
        </row>
        <row r="231">
          <cell r="AA231">
            <v>0</v>
          </cell>
        </row>
        <row r="232">
          <cell r="AA232">
            <v>56069</v>
          </cell>
        </row>
        <row r="233">
          <cell r="AA233">
            <v>-61599</v>
          </cell>
        </row>
        <row r="234">
          <cell r="AA234">
            <v>-61599</v>
          </cell>
        </row>
        <row r="235">
          <cell r="AA235">
            <v>0</v>
          </cell>
        </row>
        <row r="236">
          <cell r="AA236">
            <v>0</v>
          </cell>
        </row>
        <row r="237">
          <cell r="AA237">
            <v>0</v>
          </cell>
        </row>
        <row r="238">
          <cell r="AA238">
            <v>0</v>
          </cell>
        </row>
        <row r="239">
          <cell r="AA239">
            <v>0</v>
          </cell>
        </row>
        <row r="240">
          <cell r="AA240">
            <v>0</v>
          </cell>
        </row>
        <row r="241">
          <cell r="AA241">
            <v>0</v>
          </cell>
        </row>
        <row r="242">
          <cell r="AA242">
            <v>0</v>
          </cell>
        </row>
        <row r="243">
          <cell r="AA243">
            <v>91000</v>
          </cell>
        </row>
        <row r="244">
          <cell r="AA244">
            <v>0</v>
          </cell>
        </row>
        <row r="245">
          <cell r="AA245">
            <v>0</v>
          </cell>
        </row>
        <row r="246">
          <cell r="AA246">
            <v>0</v>
          </cell>
        </row>
        <row r="247">
          <cell r="AA247">
            <v>0</v>
          </cell>
        </row>
        <row r="248">
          <cell r="AA248">
            <v>623809</v>
          </cell>
        </row>
        <row r="249">
          <cell r="AA249">
            <v>0</v>
          </cell>
        </row>
        <row r="250">
          <cell r="AA250">
            <v>0</v>
          </cell>
        </row>
        <row r="251">
          <cell r="AA251">
            <v>992094</v>
          </cell>
        </row>
        <row r="252">
          <cell r="AA252">
            <v>145963</v>
          </cell>
        </row>
        <row r="253">
          <cell r="AA253">
            <v>1240684</v>
          </cell>
        </row>
        <row r="254">
          <cell r="AA254">
            <v>708569</v>
          </cell>
        </row>
        <row r="255">
          <cell r="AA255">
            <v>236190</v>
          </cell>
        </row>
        <row r="256">
          <cell r="AA256">
            <v>177142</v>
          </cell>
        </row>
        <row r="257">
          <cell r="AA257">
            <v>1092677</v>
          </cell>
        </row>
        <row r="258">
          <cell r="AA258">
            <v>312193</v>
          </cell>
        </row>
        <row r="259">
          <cell r="AA259">
            <v>0</v>
          </cell>
        </row>
        <row r="260">
          <cell r="AA260">
            <v>0</v>
          </cell>
        </row>
        <row r="261">
          <cell r="AA261">
            <v>0</v>
          </cell>
        </row>
        <row r="262">
          <cell r="AA262">
            <v>0</v>
          </cell>
        </row>
        <row r="263">
          <cell r="AA263">
            <v>0</v>
          </cell>
        </row>
        <row r="264">
          <cell r="AA264">
            <v>0</v>
          </cell>
        </row>
        <row r="265">
          <cell r="AA265">
            <v>114233</v>
          </cell>
        </row>
        <row r="266">
          <cell r="AA266">
            <v>0</v>
          </cell>
        </row>
        <row r="267">
          <cell r="AA267">
            <v>0</v>
          </cell>
        </row>
        <row r="268">
          <cell r="AA268">
            <v>0</v>
          </cell>
        </row>
        <row r="269">
          <cell r="AA269">
            <v>0</v>
          </cell>
        </row>
        <row r="270">
          <cell r="AA270">
            <v>278814</v>
          </cell>
        </row>
        <row r="271">
          <cell r="AA271">
            <v>42180</v>
          </cell>
        </row>
        <row r="272">
          <cell r="AA272">
            <v>0</v>
          </cell>
        </row>
        <row r="273">
          <cell r="AA273">
            <v>0</v>
          </cell>
        </row>
        <row r="274">
          <cell r="AA274">
            <v>0</v>
          </cell>
        </row>
        <row r="275">
          <cell r="AA275">
            <v>325600</v>
          </cell>
        </row>
        <row r="276">
          <cell r="AA276">
            <v>0</v>
          </cell>
        </row>
        <row r="277">
          <cell r="AA277">
            <v>0</v>
          </cell>
        </row>
        <row r="278">
          <cell r="AA278">
            <v>0</v>
          </cell>
        </row>
        <row r="279">
          <cell r="AA279">
            <v>0</v>
          </cell>
        </row>
        <row r="280">
          <cell r="AA280">
            <v>0</v>
          </cell>
        </row>
        <row r="281">
          <cell r="AA281">
            <v>48965</v>
          </cell>
        </row>
        <row r="282">
          <cell r="AA282">
            <v>27200</v>
          </cell>
        </row>
        <row r="283">
          <cell r="AA283">
            <v>235745</v>
          </cell>
        </row>
        <row r="284">
          <cell r="AA284">
            <v>0</v>
          </cell>
        </row>
        <row r="285">
          <cell r="AA285">
            <v>0</v>
          </cell>
        </row>
        <row r="286">
          <cell r="AA286">
            <v>0</v>
          </cell>
        </row>
        <row r="287">
          <cell r="AA287">
            <v>0</v>
          </cell>
        </row>
        <row r="288">
          <cell r="AA288">
            <v>474133</v>
          </cell>
        </row>
        <row r="289">
          <cell r="AA289">
            <v>135467</v>
          </cell>
        </row>
        <row r="290">
          <cell r="AA290">
            <v>846667</v>
          </cell>
        </row>
        <row r="291">
          <cell r="AA291">
            <v>169333</v>
          </cell>
        </row>
        <row r="292">
          <cell r="AA292">
            <v>0</v>
          </cell>
        </row>
        <row r="293">
          <cell r="AA293">
            <v>0</v>
          </cell>
        </row>
        <row r="294">
          <cell r="AA294">
            <v>0</v>
          </cell>
        </row>
        <row r="295">
          <cell r="AA295">
            <v>0</v>
          </cell>
        </row>
        <row r="296">
          <cell r="AA296">
            <v>0</v>
          </cell>
        </row>
        <row r="297">
          <cell r="AA297">
            <v>0</v>
          </cell>
        </row>
        <row r="298">
          <cell r="AA298">
            <v>0</v>
          </cell>
        </row>
        <row r="299">
          <cell r="AA299">
            <v>0</v>
          </cell>
        </row>
        <row r="300">
          <cell r="AA300">
            <v>0</v>
          </cell>
        </row>
        <row r="301">
          <cell r="AA301">
            <v>0</v>
          </cell>
        </row>
        <row r="302">
          <cell r="AA302">
            <v>0</v>
          </cell>
        </row>
        <row r="303">
          <cell r="AA303">
            <v>0</v>
          </cell>
        </row>
        <row r="304">
          <cell r="AA304">
            <v>0</v>
          </cell>
        </row>
        <row r="305">
          <cell r="AA305">
            <v>0</v>
          </cell>
        </row>
        <row r="306">
          <cell r="AA306">
            <v>0</v>
          </cell>
        </row>
        <row r="307">
          <cell r="AA307">
            <v>0</v>
          </cell>
        </row>
        <row r="308">
          <cell r="AA308">
            <v>263000</v>
          </cell>
        </row>
        <row r="309">
          <cell r="AA309">
            <v>819200</v>
          </cell>
        </row>
        <row r="310">
          <cell r="AA310">
            <v>665600</v>
          </cell>
        </row>
        <row r="311">
          <cell r="AA311">
            <v>921600</v>
          </cell>
        </row>
        <row r="312">
          <cell r="AA312">
            <v>614400</v>
          </cell>
        </row>
        <row r="313">
          <cell r="AA313">
            <v>768000</v>
          </cell>
        </row>
        <row r="314">
          <cell r="AA314">
            <v>0</v>
          </cell>
        </row>
        <row r="315">
          <cell r="AA315">
            <v>502656</v>
          </cell>
        </row>
        <row r="316">
          <cell r="AA316">
            <v>0</v>
          </cell>
        </row>
        <row r="317">
          <cell r="AA317">
            <v>28357</v>
          </cell>
        </row>
        <row r="318">
          <cell r="AA318">
            <v>0</v>
          </cell>
        </row>
        <row r="319">
          <cell r="AA319">
            <v>0</v>
          </cell>
        </row>
        <row r="320">
          <cell r="AA320">
            <v>336933</v>
          </cell>
        </row>
        <row r="321">
          <cell r="AA321">
            <v>0</v>
          </cell>
        </row>
        <row r="322">
          <cell r="AA322">
            <v>832500</v>
          </cell>
        </row>
        <row r="323">
          <cell r="AA323">
            <v>222000</v>
          </cell>
        </row>
        <row r="324">
          <cell r="AA324">
            <v>655633</v>
          </cell>
        </row>
        <row r="325">
          <cell r="AA325">
            <v>116351</v>
          </cell>
        </row>
        <row r="326">
          <cell r="AA326">
            <v>62759</v>
          </cell>
        </row>
        <row r="327">
          <cell r="AA327">
            <v>0</v>
          </cell>
        </row>
        <row r="328">
          <cell r="AA328">
            <v>0</v>
          </cell>
        </row>
        <row r="329">
          <cell r="AA329">
            <v>137874</v>
          </cell>
        </row>
        <row r="330">
          <cell r="AA330">
            <v>0</v>
          </cell>
        </row>
        <row r="331">
          <cell r="AA331">
            <v>37157</v>
          </cell>
        </row>
        <row r="332">
          <cell r="AA332">
            <v>111472</v>
          </cell>
        </row>
        <row r="333">
          <cell r="AA333">
            <v>314833</v>
          </cell>
        </row>
        <row r="334">
          <cell r="AA334">
            <v>188900</v>
          </cell>
        </row>
        <row r="335">
          <cell r="AA335">
            <v>423767</v>
          </cell>
        </row>
        <row r="336">
          <cell r="AA336">
            <v>0</v>
          </cell>
        </row>
        <row r="337">
          <cell r="AA337">
            <v>0</v>
          </cell>
        </row>
        <row r="338">
          <cell r="AA338">
            <v>0</v>
          </cell>
        </row>
        <row r="339">
          <cell r="AA339">
            <v>0</v>
          </cell>
        </row>
        <row r="340">
          <cell r="AA340">
            <v>0</v>
          </cell>
        </row>
        <row r="341">
          <cell r="AA341">
            <v>0</v>
          </cell>
        </row>
        <row r="342">
          <cell r="AA342">
            <v>0</v>
          </cell>
        </row>
        <row r="343">
          <cell r="AA343">
            <v>0</v>
          </cell>
        </row>
        <row r="344">
          <cell r="AA344">
            <v>0</v>
          </cell>
        </row>
        <row r="345">
          <cell r="AA345">
            <v>0</v>
          </cell>
        </row>
        <row r="346">
          <cell r="AA346">
            <v>0</v>
          </cell>
        </row>
        <row r="347">
          <cell r="AA347">
            <v>44700</v>
          </cell>
        </row>
        <row r="348">
          <cell r="AA348">
            <v>491700</v>
          </cell>
        </row>
        <row r="349">
          <cell r="AA349">
            <v>0</v>
          </cell>
        </row>
        <row r="350">
          <cell r="AA350">
            <v>0</v>
          </cell>
        </row>
        <row r="351">
          <cell r="AA351">
            <v>82760</v>
          </cell>
        </row>
        <row r="352">
          <cell r="AA352">
            <v>0</v>
          </cell>
        </row>
        <row r="353">
          <cell r="AA353">
            <v>490400</v>
          </cell>
        </row>
        <row r="354">
          <cell r="AA354">
            <v>0</v>
          </cell>
        </row>
        <row r="355">
          <cell r="AA355">
            <v>0</v>
          </cell>
        </row>
        <row r="356">
          <cell r="AA356">
            <v>0</v>
          </cell>
        </row>
        <row r="357">
          <cell r="AA357">
            <v>0</v>
          </cell>
        </row>
        <row r="358">
          <cell r="AA358">
            <v>0</v>
          </cell>
        </row>
        <row r="359">
          <cell r="AA359">
            <v>75382</v>
          </cell>
        </row>
        <row r="360">
          <cell r="AA360">
            <v>0</v>
          </cell>
        </row>
        <row r="361">
          <cell r="AA361">
            <v>3834230</v>
          </cell>
        </row>
        <row r="362">
          <cell r="AA362">
            <v>0</v>
          </cell>
        </row>
        <row r="363">
          <cell r="AA363">
            <v>0</v>
          </cell>
        </row>
        <row r="364">
          <cell r="AA364">
            <v>0</v>
          </cell>
        </row>
        <row r="365">
          <cell r="AA365">
            <v>0</v>
          </cell>
        </row>
        <row r="366">
          <cell r="AA366">
            <v>0</v>
          </cell>
        </row>
        <row r="367">
          <cell r="AA367">
            <v>0</v>
          </cell>
        </row>
        <row r="368">
          <cell r="AA368">
            <v>0</v>
          </cell>
        </row>
        <row r="369">
          <cell r="AA369">
            <v>0</v>
          </cell>
        </row>
        <row r="370">
          <cell r="AA370">
            <v>0</v>
          </cell>
        </row>
        <row r="371">
          <cell r="AA371">
            <v>0</v>
          </cell>
        </row>
        <row r="372">
          <cell r="AA372">
            <v>0</v>
          </cell>
        </row>
        <row r="373">
          <cell r="AA373">
            <v>0</v>
          </cell>
        </row>
        <row r="374">
          <cell r="AA374">
            <v>0</v>
          </cell>
        </row>
        <row r="375">
          <cell r="AA375">
            <v>0</v>
          </cell>
        </row>
        <row r="376">
          <cell r="AA376">
            <v>0</v>
          </cell>
        </row>
        <row r="377">
          <cell r="AA377">
            <v>0</v>
          </cell>
        </row>
        <row r="378">
          <cell r="AA378">
            <v>0</v>
          </cell>
        </row>
        <row r="379">
          <cell r="AA379">
            <v>0</v>
          </cell>
        </row>
        <row r="380">
          <cell r="AA380">
            <v>0</v>
          </cell>
        </row>
        <row r="381">
          <cell r="AA381">
            <v>0</v>
          </cell>
        </row>
        <row r="382">
          <cell r="AA382">
            <v>0</v>
          </cell>
        </row>
        <row r="383">
          <cell r="AA383">
            <v>0</v>
          </cell>
        </row>
        <row r="384">
          <cell r="AA384">
            <v>472267</v>
          </cell>
        </row>
        <row r="385">
          <cell r="AA385">
            <v>0</v>
          </cell>
        </row>
        <row r="386">
          <cell r="AA386">
            <v>0</v>
          </cell>
        </row>
        <row r="387">
          <cell r="AA387">
            <v>0</v>
          </cell>
        </row>
        <row r="388">
          <cell r="AA388">
            <v>0</v>
          </cell>
        </row>
        <row r="389">
          <cell r="AA389">
            <v>0</v>
          </cell>
        </row>
        <row r="390">
          <cell r="AA390">
            <v>0</v>
          </cell>
        </row>
        <row r="391">
          <cell r="AA391">
            <v>0</v>
          </cell>
        </row>
        <row r="392">
          <cell r="AA392">
            <v>191676</v>
          </cell>
        </row>
        <row r="393">
          <cell r="AA393">
            <v>0</v>
          </cell>
        </row>
        <row r="394">
          <cell r="AA394">
            <v>0</v>
          </cell>
        </row>
        <row r="395">
          <cell r="AA395">
            <v>0</v>
          </cell>
        </row>
        <row r="396">
          <cell r="AA396">
            <v>0</v>
          </cell>
        </row>
        <row r="397">
          <cell r="AA397">
            <v>0</v>
          </cell>
        </row>
        <row r="398">
          <cell r="AA398">
            <v>0</v>
          </cell>
        </row>
        <row r="399">
          <cell r="AA399">
            <v>0</v>
          </cell>
        </row>
        <row r="400">
          <cell r="AA400">
            <v>0</v>
          </cell>
        </row>
        <row r="401">
          <cell r="AA401">
            <v>0</v>
          </cell>
        </row>
        <row r="402">
          <cell r="AA402">
            <v>0</v>
          </cell>
        </row>
        <row r="403">
          <cell r="AA403">
            <v>0</v>
          </cell>
        </row>
        <row r="404">
          <cell r="AA404">
            <v>273169</v>
          </cell>
        </row>
        <row r="405">
          <cell r="AA405">
            <v>0</v>
          </cell>
        </row>
        <row r="406">
          <cell r="AA406">
            <v>129028</v>
          </cell>
        </row>
        <row r="407">
          <cell r="AA407">
            <v>0</v>
          </cell>
        </row>
        <row r="408">
          <cell r="AA408">
            <v>0</v>
          </cell>
        </row>
        <row r="409">
          <cell r="AA409">
            <v>0</v>
          </cell>
        </row>
        <row r="410">
          <cell r="AA410">
            <v>0</v>
          </cell>
        </row>
        <row r="411">
          <cell r="AA411">
            <v>0</v>
          </cell>
        </row>
        <row r="412">
          <cell r="AA412">
            <v>0</v>
          </cell>
        </row>
        <row r="413">
          <cell r="AA413">
            <v>0</v>
          </cell>
        </row>
        <row r="414">
          <cell r="AA414">
            <v>0</v>
          </cell>
        </row>
        <row r="415">
          <cell r="AA415">
            <v>134673</v>
          </cell>
        </row>
        <row r="416">
          <cell r="AA416">
            <v>0</v>
          </cell>
        </row>
        <row r="417">
          <cell r="AA417">
            <v>0</v>
          </cell>
        </row>
        <row r="418">
          <cell r="AA418">
            <v>108028</v>
          </cell>
        </row>
        <row r="419">
          <cell r="AA419">
            <v>0</v>
          </cell>
        </row>
        <row r="420">
          <cell r="AA420">
            <v>375463</v>
          </cell>
        </row>
        <row r="421">
          <cell r="AA421">
            <v>0</v>
          </cell>
        </row>
        <row r="422">
          <cell r="AA422">
            <v>26702</v>
          </cell>
        </row>
        <row r="423">
          <cell r="AA423">
            <v>43069</v>
          </cell>
        </row>
        <row r="424">
          <cell r="AA424">
            <v>0</v>
          </cell>
        </row>
        <row r="425">
          <cell r="AA425">
            <v>0</v>
          </cell>
        </row>
        <row r="426">
          <cell r="AA426">
            <v>0</v>
          </cell>
        </row>
        <row r="427">
          <cell r="AA427">
            <v>0</v>
          </cell>
        </row>
        <row r="428">
          <cell r="AA428">
            <v>0</v>
          </cell>
        </row>
        <row r="429">
          <cell r="AA429">
            <v>0</v>
          </cell>
        </row>
        <row r="430">
          <cell r="AA430">
            <v>0</v>
          </cell>
        </row>
        <row r="431">
          <cell r="AA431">
            <v>0</v>
          </cell>
        </row>
        <row r="432">
          <cell r="AA432">
            <v>74600</v>
          </cell>
        </row>
        <row r="433">
          <cell r="AA433">
            <v>283500</v>
          </cell>
        </row>
        <row r="434">
          <cell r="AA434">
            <v>396900</v>
          </cell>
        </row>
        <row r="435">
          <cell r="AA435">
            <v>0</v>
          </cell>
        </row>
        <row r="436">
          <cell r="AA436">
            <v>0</v>
          </cell>
        </row>
        <row r="437">
          <cell r="AA437">
            <v>0</v>
          </cell>
        </row>
        <row r="438">
          <cell r="AA438">
            <v>0</v>
          </cell>
        </row>
        <row r="439">
          <cell r="AA439">
            <v>0</v>
          </cell>
        </row>
        <row r="440">
          <cell r="AA440">
            <v>0</v>
          </cell>
        </row>
        <row r="441">
          <cell r="AA441">
            <v>0</v>
          </cell>
        </row>
        <row r="442">
          <cell r="AA442">
            <v>0</v>
          </cell>
        </row>
        <row r="443">
          <cell r="AA443">
            <v>0</v>
          </cell>
        </row>
        <row r="444">
          <cell r="AA444">
            <v>0</v>
          </cell>
        </row>
        <row r="445">
          <cell r="AA445">
            <v>0</v>
          </cell>
        </row>
        <row r="446">
          <cell r="AA446">
            <v>0</v>
          </cell>
        </row>
        <row r="447">
          <cell r="AA447">
            <v>555533</v>
          </cell>
        </row>
        <row r="448">
          <cell r="AA448">
            <v>615209</v>
          </cell>
        </row>
        <row r="449">
          <cell r="AA449">
            <v>615209</v>
          </cell>
        </row>
        <row r="450">
          <cell r="AA450">
            <v>555670</v>
          </cell>
        </row>
        <row r="451">
          <cell r="AA451">
            <v>615209</v>
          </cell>
        </row>
        <row r="452">
          <cell r="AA452">
            <v>595363</v>
          </cell>
        </row>
        <row r="453">
          <cell r="AA453">
            <v>616000</v>
          </cell>
        </row>
        <row r="454">
          <cell r="AA454">
            <v>616000</v>
          </cell>
        </row>
        <row r="455">
          <cell r="AA455">
            <v>615209</v>
          </cell>
        </row>
        <row r="456">
          <cell r="AA456">
            <v>636533</v>
          </cell>
        </row>
        <row r="457">
          <cell r="AA457">
            <v>616000</v>
          </cell>
        </row>
        <row r="458">
          <cell r="AA458">
            <v>615209</v>
          </cell>
        </row>
        <row r="459">
          <cell r="AA459">
            <v>615687</v>
          </cell>
        </row>
        <row r="460">
          <cell r="AA460">
            <v>636534</v>
          </cell>
        </row>
        <row r="461">
          <cell r="AA461">
            <v>616000</v>
          </cell>
        </row>
        <row r="462">
          <cell r="AA462">
            <v>601395</v>
          </cell>
        </row>
        <row r="463">
          <cell r="AA463">
            <v>21480</v>
          </cell>
        </row>
        <row r="464">
          <cell r="AA464">
            <v>644400</v>
          </cell>
        </row>
        <row r="465">
          <cell r="AA465">
            <v>644400</v>
          </cell>
        </row>
        <row r="466">
          <cell r="AA466">
            <v>5372251</v>
          </cell>
        </row>
        <row r="467">
          <cell r="AA467">
            <v>50447</v>
          </cell>
        </row>
        <row r="468">
          <cell r="AA468">
            <v>0</v>
          </cell>
        </row>
        <row r="469">
          <cell r="AA469">
            <v>0</v>
          </cell>
        </row>
        <row r="470">
          <cell r="AA470">
            <v>0</v>
          </cell>
        </row>
        <row r="471">
          <cell r="AA471">
            <v>0</v>
          </cell>
        </row>
        <row r="472">
          <cell r="AA472">
            <v>0</v>
          </cell>
        </row>
        <row r="473">
          <cell r="AA473">
            <v>0</v>
          </cell>
        </row>
        <row r="474">
          <cell r="AA474">
            <v>417900</v>
          </cell>
        </row>
        <row r="475">
          <cell r="AA475">
            <v>4179000</v>
          </cell>
        </row>
        <row r="476">
          <cell r="AA476">
            <v>0</v>
          </cell>
        </row>
        <row r="477">
          <cell r="AA477">
            <v>0</v>
          </cell>
        </row>
        <row r="478">
          <cell r="AA478">
            <v>0</v>
          </cell>
        </row>
        <row r="479">
          <cell r="AA479">
            <v>0</v>
          </cell>
        </row>
        <row r="480">
          <cell r="AA480">
            <v>0</v>
          </cell>
        </row>
        <row r="481">
          <cell r="AA481">
            <v>0</v>
          </cell>
        </row>
        <row r="482">
          <cell r="AA482">
            <v>0</v>
          </cell>
        </row>
        <row r="483">
          <cell r="AA483">
            <v>0</v>
          </cell>
        </row>
        <row r="484">
          <cell r="AA484">
            <v>0</v>
          </cell>
        </row>
        <row r="485">
          <cell r="AA485">
            <v>0</v>
          </cell>
        </row>
        <row r="486">
          <cell r="AA486">
            <v>0</v>
          </cell>
        </row>
        <row r="487">
          <cell r="AA487">
            <v>0</v>
          </cell>
        </row>
        <row r="488">
          <cell r="AA488">
            <v>2198580</v>
          </cell>
        </row>
        <row r="489">
          <cell r="AA489">
            <v>0</v>
          </cell>
        </row>
        <row r="490">
          <cell r="AA490">
            <v>0</v>
          </cell>
        </row>
        <row r="491">
          <cell r="AA491">
            <v>0</v>
          </cell>
        </row>
        <row r="492">
          <cell r="AA492">
            <v>0</v>
          </cell>
        </row>
        <row r="493">
          <cell r="AA493">
            <v>0</v>
          </cell>
        </row>
        <row r="494">
          <cell r="AA494">
            <v>0</v>
          </cell>
        </row>
        <row r="495">
          <cell r="AA495">
            <v>0</v>
          </cell>
        </row>
        <row r="496">
          <cell r="AA496">
            <v>49630</v>
          </cell>
        </row>
        <row r="497">
          <cell r="AA497">
            <v>0</v>
          </cell>
        </row>
        <row r="498">
          <cell r="AA498">
            <v>0</v>
          </cell>
        </row>
        <row r="499">
          <cell r="AA499">
            <v>239723</v>
          </cell>
        </row>
        <row r="500">
          <cell r="AA500">
            <v>0</v>
          </cell>
        </row>
        <row r="501">
          <cell r="AA501">
            <v>0</v>
          </cell>
        </row>
        <row r="502">
          <cell r="AA502">
            <v>230000</v>
          </cell>
        </row>
        <row r="503">
          <cell r="AA503">
            <v>1495000</v>
          </cell>
        </row>
        <row r="504">
          <cell r="AA504">
            <v>230000</v>
          </cell>
        </row>
        <row r="505">
          <cell r="AA505">
            <v>0</v>
          </cell>
        </row>
        <row r="506">
          <cell r="AA506">
            <v>0</v>
          </cell>
        </row>
        <row r="507">
          <cell r="AA507">
            <v>0</v>
          </cell>
        </row>
        <row r="508">
          <cell r="AA508">
            <v>46345</v>
          </cell>
        </row>
        <row r="509">
          <cell r="AA509">
            <v>17134</v>
          </cell>
        </row>
        <row r="510">
          <cell r="AA510">
            <v>0</v>
          </cell>
        </row>
        <row r="511">
          <cell r="AA511">
            <v>0</v>
          </cell>
        </row>
        <row r="512">
          <cell r="AA512">
            <v>0</v>
          </cell>
        </row>
        <row r="513">
          <cell r="AA513">
            <v>0</v>
          </cell>
        </row>
        <row r="514">
          <cell r="AA514">
            <v>0</v>
          </cell>
        </row>
        <row r="515">
          <cell r="AA515">
            <v>0</v>
          </cell>
        </row>
        <row r="516">
          <cell r="AA516">
            <v>0</v>
          </cell>
        </row>
        <row r="517">
          <cell r="AA517">
            <v>50714</v>
          </cell>
        </row>
        <row r="518">
          <cell r="AA518">
            <v>0</v>
          </cell>
        </row>
        <row r="519">
          <cell r="AA519">
            <v>0</v>
          </cell>
        </row>
        <row r="520">
          <cell r="AA520">
            <v>44269</v>
          </cell>
        </row>
        <row r="521">
          <cell r="AA521">
            <v>0</v>
          </cell>
        </row>
        <row r="522">
          <cell r="AA522">
            <v>0</v>
          </cell>
        </row>
        <row r="523">
          <cell r="AA523">
            <v>0</v>
          </cell>
        </row>
        <row r="524">
          <cell r="AA524">
            <v>0</v>
          </cell>
        </row>
        <row r="525">
          <cell r="AA525">
            <v>0</v>
          </cell>
        </row>
        <row r="526">
          <cell r="AA526">
            <v>435888</v>
          </cell>
        </row>
        <row r="527">
          <cell r="AA527">
            <v>72648</v>
          </cell>
        </row>
        <row r="528">
          <cell r="AA528">
            <v>72670</v>
          </cell>
        </row>
        <row r="529">
          <cell r="AA529">
            <v>1889428</v>
          </cell>
        </row>
        <row r="530">
          <cell r="AA530">
            <v>149296</v>
          </cell>
        </row>
        <row r="531">
          <cell r="AA531">
            <v>1866204</v>
          </cell>
        </row>
        <row r="532">
          <cell r="AA532">
            <v>0</v>
          </cell>
        </row>
        <row r="533">
          <cell r="AA533">
            <v>0</v>
          </cell>
        </row>
        <row r="534">
          <cell r="AA534">
            <v>1836633</v>
          </cell>
        </row>
        <row r="535">
          <cell r="AA535">
            <v>1001800</v>
          </cell>
        </row>
        <row r="536">
          <cell r="AA536">
            <v>0</v>
          </cell>
        </row>
        <row r="537">
          <cell r="AA537">
            <v>0</v>
          </cell>
        </row>
        <row r="538">
          <cell r="AA538">
            <v>0</v>
          </cell>
        </row>
        <row r="539">
          <cell r="AA539">
            <v>0</v>
          </cell>
        </row>
        <row r="540">
          <cell r="AA540">
            <v>0</v>
          </cell>
        </row>
        <row r="541">
          <cell r="AA541">
            <v>0</v>
          </cell>
        </row>
        <row r="542">
          <cell r="AA542">
            <v>0</v>
          </cell>
        </row>
        <row r="543">
          <cell r="AA543">
            <v>0</v>
          </cell>
        </row>
        <row r="544">
          <cell r="AA544">
            <v>0</v>
          </cell>
        </row>
        <row r="545">
          <cell r="AA545">
            <v>335350</v>
          </cell>
        </row>
        <row r="546">
          <cell r="AA546">
            <v>67070</v>
          </cell>
        </row>
        <row r="547">
          <cell r="AA547">
            <v>0</v>
          </cell>
        </row>
        <row r="548">
          <cell r="AA548">
            <v>0</v>
          </cell>
        </row>
        <row r="549">
          <cell r="AA549">
            <v>0</v>
          </cell>
        </row>
        <row r="550">
          <cell r="AA550">
            <v>0</v>
          </cell>
        </row>
        <row r="551">
          <cell r="AA551">
            <v>0</v>
          </cell>
        </row>
        <row r="552">
          <cell r="AA552">
            <v>144674</v>
          </cell>
        </row>
        <row r="553">
          <cell r="AA553">
            <v>0</v>
          </cell>
        </row>
        <row r="554">
          <cell r="AA554">
            <v>0</v>
          </cell>
        </row>
        <row r="555">
          <cell r="AA555">
            <v>0</v>
          </cell>
        </row>
        <row r="556">
          <cell r="AA556">
            <v>0</v>
          </cell>
        </row>
        <row r="557">
          <cell r="AA557">
            <v>0</v>
          </cell>
        </row>
        <row r="558">
          <cell r="AA558">
            <v>0</v>
          </cell>
        </row>
        <row r="559">
          <cell r="AA559">
            <v>-33283</v>
          </cell>
        </row>
        <row r="560">
          <cell r="AA560">
            <v>-1093</v>
          </cell>
        </row>
        <row r="561">
          <cell r="AA561">
            <v>-1093</v>
          </cell>
        </row>
        <row r="562">
          <cell r="AA562">
            <v>-1297</v>
          </cell>
        </row>
        <row r="563">
          <cell r="AA563">
            <v>-1297</v>
          </cell>
        </row>
        <row r="564">
          <cell r="AA564">
            <v>164230</v>
          </cell>
        </row>
        <row r="565">
          <cell r="AA565">
            <v>0</v>
          </cell>
        </row>
        <row r="566">
          <cell r="AA566">
            <v>0</v>
          </cell>
        </row>
        <row r="567">
          <cell r="AA567">
            <v>0</v>
          </cell>
        </row>
        <row r="568">
          <cell r="AA568">
            <v>0</v>
          </cell>
        </row>
        <row r="569">
          <cell r="AA569">
            <v>0</v>
          </cell>
        </row>
        <row r="570">
          <cell r="AA570">
            <v>0</v>
          </cell>
        </row>
        <row r="571">
          <cell r="AA571">
            <v>0</v>
          </cell>
        </row>
        <row r="572">
          <cell r="AA572">
            <v>0</v>
          </cell>
        </row>
        <row r="573">
          <cell r="AA573">
            <v>0</v>
          </cell>
        </row>
        <row r="574">
          <cell r="AA574">
            <v>0</v>
          </cell>
        </row>
        <row r="575">
          <cell r="AA575">
            <v>59203</v>
          </cell>
        </row>
        <row r="576">
          <cell r="AA576">
            <v>0</v>
          </cell>
        </row>
        <row r="577">
          <cell r="AA577">
            <v>92271</v>
          </cell>
        </row>
        <row r="578">
          <cell r="AA578">
            <v>0</v>
          </cell>
        </row>
        <row r="579">
          <cell r="AA579">
            <v>0</v>
          </cell>
        </row>
        <row r="580">
          <cell r="AA580">
            <v>0</v>
          </cell>
        </row>
        <row r="581">
          <cell r="AA581">
            <v>0</v>
          </cell>
        </row>
        <row r="582">
          <cell r="AA582">
            <v>0</v>
          </cell>
        </row>
        <row r="583">
          <cell r="AA583">
            <v>0</v>
          </cell>
        </row>
        <row r="584">
          <cell r="AA584">
            <v>0</v>
          </cell>
        </row>
        <row r="585">
          <cell r="AA585">
            <v>0</v>
          </cell>
        </row>
        <row r="586">
          <cell r="AA586">
            <v>0</v>
          </cell>
        </row>
        <row r="587">
          <cell r="AA587">
            <v>0</v>
          </cell>
        </row>
        <row r="588">
          <cell r="AA588">
            <v>0</v>
          </cell>
        </row>
        <row r="589">
          <cell r="AA589">
            <v>0</v>
          </cell>
        </row>
        <row r="590">
          <cell r="AA590">
            <v>43291</v>
          </cell>
        </row>
        <row r="591">
          <cell r="AA591">
            <v>435133</v>
          </cell>
        </row>
        <row r="592">
          <cell r="AA592">
            <v>696213</v>
          </cell>
        </row>
        <row r="593">
          <cell r="AA593">
            <v>1218372</v>
          </cell>
        </row>
        <row r="594">
          <cell r="AA594">
            <v>957292</v>
          </cell>
        </row>
        <row r="595">
          <cell r="AA595">
            <v>1305399</v>
          </cell>
        </row>
        <row r="596">
          <cell r="AA596">
            <v>213573</v>
          </cell>
        </row>
        <row r="597">
          <cell r="AA597">
            <v>854292</v>
          </cell>
        </row>
        <row r="598">
          <cell r="AA598">
            <v>3626100</v>
          </cell>
        </row>
        <row r="599">
          <cell r="AA599">
            <v>4029000</v>
          </cell>
        </row>
        <row r="600">
          <cell r="AA600">
            <v>4163300</v>
          </cell>
        </row>
        <row r="601">
          <cell r="AA601">
            <v>1343000</v>
          </cell>
        </row>
        <row r="602">
          <cell r="AA602">
            <v>154319</v>
          </cell>
        </row>
        <row r="603">
          <cell r="AA603">
            <v>115739</v>
          </cell>
        </row>
        <row r="604">
          <cell r="AA604">
            <v>0</v>
          </cell>
        </row>
        <row r="605">
          <cell r="AA605">
            <v>0</v>
          </cell>
        </row>
        <row r="606">
          <cell r="AA606">
            <v>0</v>
          </cell>
        </row>
        <row r="607">
          <cell r="AA607">
            <v>0</v>
          </cell>
        </row>
        <row r="608">
          <cell r="AA608">
            <v>0</v>
          </cell>
        </row>
        <row r="609">
          <cell r="AA609">
            <v>0</v>
          </cell>
        </row>
        <row r="610">
          <cell r="AA610">
            <v>0</v>
          </cell>
        </row>
        <row r="611">
          <cell r="AA611">
            <v>207677</v>
          </cell>
        </row>
        <row r="612">
          <cell r="AA612">
            <v>0</v>
          </cell>
        </row>
        <row r="613">
          <cell r="AA613">
            <v>0</v>
          </cell>
        </row>
        <row r="614">
          <cell r="AA614">
            <v>84471</v>
          </cell>
        </row>
        <row r="615">
          <cell r="AA615">
            <v>0</v>
          </cell>
        </row>
        <row r="616">
          <cell r="AA616">
            <v>0</v>
          </cell>
        </row>
        <row r="617">
          <cell r="AA617">
            <v>0</v>
          </cell>
        </row>
        <row r="618">
          <cell r="AA618">
            <v>49580</v>
          </cell>
        </row>
        <row r="619">
          <cell r="AA619">
            <v>1425049</v>
          </cell>
        </row>
        <row r="620">
          <cell r="AA620">
            <v>0</v>
          </cell>
        </row>
        <row r="621">
          <cell r="AA621">
            <v>0</v>
          </cell>
        </row>
        <row r="622">
          <cell r="AA622">
            <v>0</v>
          </cell>
        </row>
        <row r="623">
          <cell r="AA623">
            <v>0</v>
          </cell>
        </row>
        <row r="624">
          <cell r="AA624">
            <v>0</v>
          </cell>
        </row>
        <row r="625">
          <cell r="AA625">
            <v>0</v>
          </cell>
        </row>
        <row r="626">
          <cell r="AA626">
            <v>0</v>
          </cell>
        </row>
        <row r="627">
          <cell r="AA627">
            <v>0</v>
          </cell>
        </row>
        <row r="628">
          <cell r="AA628">
            <v>0</v>
          </cell>
        </row>
        <row r="629">
          <cell r="AA629">
            <v>41067</v>
          </cell>
        </row>
        <row r="630">
          <cell r="AA630">
            <v>0</v>
          </cell>
        </row>
        <row r="631">
          <cell r="AA631">
            <v>0</v>
          </cell>
        </row>
        <row r="632">
          <cell r="AA632">
            <v>0</v>
          </cell>
        </row>
        <row r="633">
          <cell r="AA633">
            <v>0</v>
          </cell>
        </row>
        <row r="634">
          <cell r="AA634">
            <v>0</v>
          </cell>
        </row>
        <row r="635">
          <cell r="AA635">
            <v>0</v>
          </cell>
        </row>
        <row r="636">
          <cell r="AA636">
            <v>0</v>
          </cell>
        </row>
        <row r="637">
          <cell r="AA637">
            <v>56448</v>
          </cell>
        </row>
        <row r="638">
          <cell r="AA638">
            <v>56448</v>
          </cell>
        </row>
        <row r="639">
          <cell r="AA639">
            <v>0</v>
          </cell>
        </row>
        <row r="640">
          <cell r="AA640">
            <v>0</v>
          </cell>
        </row>
        <row r="641">
          <cell r="AA641">
            <v>0</v>
          </cell>
        </row>
        <row r="642">
          <cell r="AA642">
            <v>0</v>
          </cell>
        </row>
        <row r="643">
          <cell r="AA643">
            <v>0</v>
          </cell>
        </row>
        <row r="644">
          <cell r="AA644">
            <v>0</v>
          </cell>
        </row>
        <row r="645">
          <cell r="AA645">
            <v>0</v>
          </cell>
        </row>
        <row r="646">
          <cell r="AA646">
            <v>0</v>
          </cell>
        </row>
        <row r="647">
          <cell r="AA647">
            <v>64440</v>
          </cell>
        </row>
        <row r="648">
          <cell r="AA648">
            <v>150360</v>
          </cell>
        </row>
        <row r="649">
          <cell r="AA649">
            <v>42960</v>
          </cell>
        </row>
        <row r="650">
          <cell r="AA650">
            <v>68626</v>
          </cell>
        </row>
        <row r="651">
          <cell r="AA651">
            <v>34313</v>
          </cell>
        </row>
        <row r="652">
          <cell r="AA652">
            <v>0</v>
          </cell>
        </row>
        <row r="653">
          <cell r="AA653">
            <v>0</v>
          </cell>
        </row>
        <row r="654">
          <cell r="AA654">
            <v>52033</v>
          </cell>
        </row>
        <row r="655">
          <cell r="AA655">
            <v>208133</v>
          </cell>
        </row>
        <row r="656">
          <cell r="AA656">
            <v>312200</v>
          </cell>
        </row>
        <row r="657">
          <cell r="AA657">
            <v>-38333</v>
          </cell>
        </row>
        <row r="658">
          <cell r="AA658">
            <v>52033</v>
          </cell>
        </row>
        <row r="659">
          <cell r="AA659">
            <v>468300</v>
          </cell>
        </row>
        <row r="660">
          <cell r="AA660">
            <v>665867</v>
          </cell>
        </row>
        <row r="661">
          <cell r="AA661">
            <v>544800</v>
          </cell>
        </row>
        <row r="662">
          <cell r="AA662">
            <v>605333</v>
          </cell>
        </row>
        <row r="663">
          <cell r="AA663">
            <v>40100</v>
          </cell>
        </row>
        <row r="664">
          <cell r="AA664">
            <v>463467</v>
          </cell>
        </row>
        <row r="665">
          <cell r="AA665">
            <v>0</v>
          </cell>
        </row>
        <row r="666">
          <cell r="AA666">
            <v>0</v>
          </cell>
        </row>
        <row r="667">
          <cell r="AA667">
            <v>599563</v>
          </cell>
        </row>
        <row r="668">
          <cell r="AA668">
            <v>0</v>
          </cell>
        </row>
        <row r="669">
          <cell r="AA669">
            <v>0</v>
          </cell>
        </row>
        <row r="670">
          <cell r="AA670">
            <v>0</v>
          </cell>
        </row>
        <row r="671">
          <cell r="AA671">
            <v>0</v>
          </cell>
        </row>
        <row r="672">
          <cell r="AA672">
            <v>0</v>
          </cell>
        </row>
        <row r="673">
          <cell r="AA673">
            <v>144118</v>
          </cell>
        </row>
        <row r="674">
          <cell r="AA674">
            <v>115295</v>
          </cell>
        </row>
        <row r="675">
          <cell r="AA675">
            <v>0</v>
          </cell>
        </row>
        <row r="676">
          <cell r="AA676">
            <v>0</v>
          </cell>
        </row>
        <row r="677">
          <cell r="AA677">
            <v>0</v>
          </cell>
        </row>
        <row r="678">
          <cell r="AA678">
            <v>711035</v>
          </cell>
        </row>
        <row r="679">
          <cell r="AA679">
            <v>0</v>
          </cell>
        </row>
        <row r="680">
          <cell r="AA680">
            <v>1161058</v>
          </cell>
        </row>
        <row r="681">
          <cell r="AA681">
            <v>430022</v>
          </cell>
        </row>
        <row r="682">
          <cell r="AA682">
            <v>645032</v>
          </cell>
        </row>
        <row r="683">
          <cell r="AA683">
            <v>172009</v>
          </cell>
        </row>
        <row r="684">
          <cell r="AA684">
            <v>688034</v>
          </cell>
        </row>
        <row r="685">
          <cell r="AA685">
            <v>86004</v>
          </cell>
        </row>
        <row r="686">
          <cell r="AA686">
            <v>-42117</v>
          </cell>
        </row>
        <row r="687">
          <cell r="AA687">
            <v>0</v>
          </cell>
        </row>
        <row r="688">
          <cell r="AA688">
            <v>0</v>
          </cell>
        </row>
        <row r="689">
          <cell r="AA689">
            <v>0</v>
          </cell>
        </row>
        <row r="690">
          <cell r="AA690">
            <v>64003</v>
          </cell>
        </row>
        <row r="691">
          <cell r="AA691">
            <v>800040</v>
          </cell>
        </row>
        <row r="692">
          <cell r="AA692">
            <v>160008</v>
          </cell>
        </row>
        <row r="693">
          <cell r="AA693">
            <v>0</v>
          </cell>
        </row>
        <row r="694">
          <cell r="AA694">
            <v>0</v>
          </cell>
        </row>
        <row r="695">
          <cell r="AA695">
            <v>0</v>
          </cell>
        </row>
        <row r="696">
          <cell r="AA696">
            <v>0</v>
          </cell>
        </row>
        <row r="697">
          <cell r="AA697">
            <v>0</v>
          </cell>
        </row>
        <row r="698">
          <cell r="AA698">
            <v>208010</v>
          </cell>
        </row>
        <row r="699">
          <cell r="AA699">
            <v>41602</v>
          </cell>
        </row>
        <row r="700">
          <cell r="AA700">
            <v>41602</v>
          </cell>
        </row>
        <row r="701">
          <cell r="AA701">
            <v>0</v>
          </cell>
        </row>
        <row r="702">
          <cell r="AA702">
            <v>0</v>
          </cell>
        </row>
        <row r="703">
          <cell r="AA703">
            <v>78093</v>
          </cell>
        </row>
        <row r="704">
          <cell r="AA704">
            <v>195232</v>
          </cell>
        </row>
        <row r="705">
          <cell r="AA705">
            <v>78093</v>
          </cell>
        </row>
        <row r="706">
          <cell r="AA706">
            <v>78093</v>
          </cell>
        </row>
        <row r="707">
          <cell r="AA707">
            <v>67984</v>
          </cell>
        </row>
        <row r="708">
          <cell r="AA708">
            <v>0</v>
          </cell>
        </row>
        <row r="709">
          <cell r="AA709">
            <v>66003</v>
          </cell>
        </row>
        <row r="710">
          <cell r="AA710">
            <v>0</v>
          </cell>
        </row>
        <row r="711">
          <cell r="AA711">
            <v>0</v>
          </cell>
        </row>
        <row r="712">
          <cell r="AA712">
            <v>0</v>
          </cell>
        </row>
        <row r="713">
          <cell r="AA713">
            <v>0</v>
          </cell>
        </row>
        <row r="714">
          <cell r="AA714">
            <v>0</v>
          </cell>
        </row>
        <row r="715">
          <cell r="AA715">
            <v>0</v>
          </cell>
        </row>
        <row r="716">
          <cell r="AA716">
            <v>0</v>
          </cell>
        </row>
        <row r="717">
          <cell r="AA717">
            <v>0</v>
          </cell>
        </row>
        <row r="718">
          <cell r="AA718">
            <v>0</v>
          </cell>
        </row>
        <row r="719">
          <cell r="AA719">
            <v>0</v>
          </cell>
        </row>
        <row r="720">
          <cell r="AA720">
            <v>0</v>
          </cell>
        </row>
        <row r="721">
          <cell r="AA721">
            <v>0</v>
          </cell>
        </row>
        <row r="722">
          <cell r="AA722">
            <v>73515</v>
          </cell>
        </row>
        <row r="723">
          <cell r="AA723">
            <v>147030</v>
          </cell>
        </row>
        <row r="724">
          <cell r="AA724">
            <v>73515</v>
          </cell>
        </row>
        <row r="725">
          <cell r="AA725">
            <v>0</v>
          </cell>
        </row>
        <row r="726">
          <cell r="AA726">
            <v>0</v>
          </cell>
        </row>
        <row r="727">
          <cell r="AA727">
            <v>0</v>
          </cell>
        </row>
        <row r="728">
          <cell r="AA728">
            <v>0</v>
          </cell>
        </row>
        <row r="729">
          <cell r="AA729">
            <v>0</v>
          </cell>
        </row>
        <row r="730">
          <cell r="AA730">
            <v>0</v>
          </cell>
        </row>
        <row r="731">
          <cell r="AA731">
            <v>0</v>
          </cell>
        </row>
        <row r="732">
          <cell r="AA732">
            <v>0</v>
          </cell>
        </row>
        <row r="733">
          <cell r="AA733">
            <v>0</v>
          </cell>
        </row>
        <row r="734">
          <cell r="AA734">
            <v>0</v>
          </cell>
        </row>
        <row r="735">
          <cell r="AA735">
            <v>374833</v>
          </cell>
        </row>
        <row r="736">
          <cell r="AA736">
            <v>0</v>
          </cell>
        </row>
        <row r="737">
          <cell r="AA737">
            <v>0</v>
          </cell>
        </row>
        <row r="738">
          <cell r="AA738">
            <v>0</v>
          </cell>
        </row>
        <row r="739">
          <cell r="AA739">
            <v>0</v>
          </cell>
        </row>
        <row r="740">
          <cell r="AA740">
            <v>0</v>
          </cell>
        </row>
        <row r="741">
          <cell r="AA741">
            <v>0</v>
          </cell>
        </row>
        <row r="742">
          <cell r="AA742">
            <v>0</v>
          </cell>
        </row>
        <row r="743">
          <cell r="AA743">
            <v>0</v>
          </cell>
        </row>
        <row r="744">
          <cell r="AA744">
            <v>0</v>
          </cell>
        </row>
        <row r="745">
          <cell r="AA745">
            <v>0</v>
          </cell>
        </row>
        <row r="746">
          <cell r="AA746">
            <v>0</v>
          </cell>
        </row>
        <row r="747">
          <cell r="AA747">
            <v>0</v>
          </cell>
        </row>
        <row r="748">
          <cell r="AA748">
            <v>0</v>
          </cell>
        </row>
        <row r="749">
          <cell r="AA749">
            <v>95894</v>
          </cell>
        </row>
        <row r="750">
          <cell r="AA750">
            <v>0</v>
          </cell>
        </row>
        <row r="751">
          <cell r="AA751">
            <v>0</v>
          </cell>
        </row>
        <row r="752">
          <cell r="AA752">
            <v>0</v>
          </cell>
        </row>
        <row r="753">
          <cell r="AA753">
            <v>183333</v>
          </cell>
        </row>
        <row r="754">
          <cell r="AA754">
            <v>70448</v>
          </cell>
        </row>
        <row r="755">
          <cell r="AA755">
            <v>0</v>
          </cell>
        </row>
        <row r="756">
          <cell r="AA756">
            <v>0</v>
          </cell>
        </row>
        <row r="757">
          <cell r="AA757">
            <v>0</v>
          </cell>
        </row>
        <row r="758">
          <cell r="AA758">
            <v>0</v>
          </cell>
        </row>
        <row r="759">
          <cell r="AA759">
            <v>0</v>
          </cell>
        </row>
        <row r="760">
          <cell r="AA760">
            <v>0</v>
          </cell>
        </row>
        <row r="761">
          <cell r="AA761">
            <v>0</v>
          </cell>
        </row>
        <row r="762">
          <cell r="AA762">
            <v>684479</v>
          </cell>
        </row>
        <row r="763">
          <cell r="AA763">
            <v>5133590</v>
          </cell>
        </row>
        <row r="764">
          <cell r="AA764">
            <v>0</v>
          </cell>
        </row>
        <row r="765">
          <cell r="AA765">
            <v>0</v>
          </cell>
        </row>
        <row r="766">
          <cell r="AA766">
            <v>0</v>
          </cell>
        </row>
        <row r="767">
          <cell r="AA767">
            <v>0</v>
          </cell>
        </row>
        <row r="768">
          <cell r="AA768">
            <v>1237929</v>
          </cell>
        </row>
        <row r="769">
          <cell r="AA769">
            <v>1237929</v>
          </cell>
        </row>
        <row r="770">
          <cell r="AA770">
            <v>1392670</v>
          </cell>
        </row>
        <row r="771">
          <cell r="AA771">
            <v>309482</v>
          </cell>
        </row>
        <row r="772">
          <cell r="AA772">
            <v>0</v>
          </cell>
        </row>
        <row r="773">
          <cell r="AA773">
            <v>773705</v>
          </cell>
        </row>
        <row r="774">
          <cell r="AA774">
            <v>309482</v>
          </cell>
        </row>
        <row r="775">
          <cell r="AA775">
            <v>0</v>
          </cell>
        </row>
        <row r="776">
          <cell r="AA776">
            <v>241600</v>
          </cell>
        </row>
        <row r="777">
          <cell r="AA777">
            <v>0</v>
          </cell>
        </row>
        <row r="778">
          <cell r="AA778">
            <v>395464</v>
          </cell>
        </row>
        <row r="779">
          <cell r="AA779">
            <v>600900</v>
          </cell>
        </row>
        <row r="780">
          <cell r="AA780">
            <v>400600</v>
          </cell>
        </row>
        <row r="781">
          <cell r="AA781">
            <v>0</v>
          </cell>
        </row>
        <row r="782">
          <cell r="AA782">
            <v>302933</v>
          </cell>
        </row>
        <row r="783">
          <cell r="AA783">
            <v>227200</v>
          </cell>
        </row>
        <row r="784">
          <cell r="AA784">
            <v>0</v>
          </cell>
        </row>
        <row r="785">
          <cell r="AA785">
            <v>0</v>
          </cell>
        </row>
        <row r="786">
          <cell r="AA786">
            <v>0</v>
          </cell>
        </row>
        <row r="787">
          <cell r="AA787">
            <v>174092</v>
          </cell>
        </row>
        <row r="788">
          <cell r="AA788">
            <v>0</v>
          </cell>
        </row>
        <row r="789">
          <cell r="AA789">
            <v>0</v>
          </cell>
        </row>
        <row r="790">
          <cell r="AA790">
            <v>553623</v>
          </cell>
        </row>
        <row r="791">
          <cell r="AA791">
            <v>97872</v>
          </cell>
        </row>
        <row r="792">
          <cell r="AA792">
            <v>880844</v>
          </cell>
        </row>
        <row r="793">
          <cell r="AA793">
            <v>97872</v>
          </cell>
        </row>
        <row r="794">
          <cell r="AA794">
            <v>391486</v>
          </cell>
        </row>
        <row r="795">
          <cell r="AA795">
            <v>489358</v>
          </cell>
        </row>
        <row r="796">
          <cell r="AA796">
            <v>232878</v>
          </cell>
        </row>
        <row r="797">
          <cell r="AA797">
            <v>0</v>
          </cell>
        </row>
        <row r="798">
          <cell r="AA798">
            <v>0</v>
          </cell>
        </row>
        <row r="799">
          <cell r="AA799">
            <v>0</v>
          </cell>
        </row>
        <row r="800">
          <cell r="AA800">
            <v>112006</v>
          </cell>
        </row>
        <row r="801">
          <cell r="AA801">
            <v>0</v>
          </cell>
        </row>
        <row r="802">
          <cell r="AA802">
            <v>0</v>
          </cell>
        </row>
        <row r="803">
          <cell r="AA803">
            <v>0</v>
          </cell>
        </row>
        <row r="804">
          <cell r="AA804">
            <v>0</v>
          </cell>
        </row>
        <row r="805">
          <cell r="AA805">
            <v>4207142</v>
          </cell>
        </row>
        <row r="806">
          <cell r="AA806">
            <v>450100</v>
          </cell>
        </row>
        <row r="807">
          <cell r="AA807">
            <v>139400</v>
          </cell>
        </row>
        <row r="808">
          <cell r="AA808">
            <v>650533</v>
          </cell>
        </row>
        <row r="809">
          <cell r="AA809">
            <v>580833</v>
          </cell>
        </row>
        <row r="810">
          <cell r="AA810">
            <v>139400</v>
          </cell>
        </row>
        <row r="811">
          <cell r="AA811">
            <v>697000</v>
          </cell>
        </row>
        <row r="812">
          <cell r="AA812">
            <v>720233</v>
          </cell>
        </row>
        <row r="813">
          <cell r="AA813">
            <v>697000</v>
          </cell>
        </row>
        <row r="814">
          <cell r="AA814">
            <v>185867</v>
          </cell>
        </row>
        <row r="815">
          <cell r="AA815">
            <v>534367</v>
          </cell>
        </row>
        <row r="816">
          <cell r="AA816">
            <v>162633</v>
          </cell>
        </row>
        <row r="817">
          <cell r="AA817">
            <v>302033</v>
          </cell>
        </row>
        <row r="818">
          <cell r="AA818">
            <v>255567</v>
          </cell>
        </row>
        <row r="819">
          <cell r="AA819">
            <v>697000</v>
          </cell>
        </row>
        <row r="820">
          <cell r="AA820">
            <v>720233</v>
          </cell>
        </row>
        <row r="821">
          <cell r="AA821">
            <v>697000</v>
          </cell>
        </row>
        <row r="822">
          <cell r="AA822">
            <v>720233</v>
          </cell>
        </row>
        <row r="823">
          <cell r="AA823">
            <v>1044684</v>
          </cell>
        </row>
        <row r="824">
          <cell r="AA824">
            <v>278800</v>
          </cell>
        </row>
        <row r="825">
          <cell r="AA825">
            <v>69700</v>
          </cell>
        </row>
        <row r="826">
          <cell r="AA826">
            <v>46467</v>
          </cell>
        </row>
        <row r="827">
          <cell r="AA827">
            <v>1115200</v>
          </cell>
        </row>
        <row r="828">
          <cell r="AA828">
            <v>1161667</v>
          </cell>
        </row>
        <row r="829">
          <cell r="AA829">
            <v>139400</v>
          </cell>
        </row>
        <row r="830">
          <cell r="AA830">
            <v>1394000</v>
          </cell>
        </row>
        <row r="831">
          <cell r="AA831">
            <v>0</v>
          </cell>
        </row>
        <row r="832">
          <cell r="AA832">
            <v>0</v>
          </cell>
        </row>
        <row r="833">
          <cell r="AA833">
            <v>0</v>
          </cell>
        </row>
        <row r="834">
          <cell r="AA834">
            <v>0</v>
          </cell>
        </row>
        <row r="835">
          <cell r="AA835">
            <v>0</v>
          </cell>
        </row>
        <row r="836">
          <cell r="AA836">
            <v>0</v>
          </cell>
        </row>
        <row r="837">
          <cell r="AA837">
            <v>0</v>
          </cell>
        </row>
        <row r="838">
          <cell r="AA838">
            <v>0</v>
          </cell>
        </row>
        <row r="839">
          <cell r="AA839">
            <v>235212</v>
          </cell>
        </row>
        <row r="840">
          <cell r="AA840">
            <v>235212</v>
          </cell>
        </row>
        <row r="841">
          <cell r="AA841">
            <v>436822</v>
          </cell>
        </row>
        <row r="842">
          <cell r="AA842">
            <v>64981</v>
          </cell>
        </row>
        <row r="843">
          <cell r="AA843">
            <v>324905</v>
          </cell>
        </row>
        <row r="844">
          <cell r="AA844">
            <v>285267</v>
          </cell>
        </row>
        <row r="845">
          <cell r="AA845">
            <v>0</v>
          </cell>
        </row>
        <row r="846">
          <cell r="AA846">
            <v>0</v>
          </cell>
        </row>
        <row r="847">
          <cell r="AA847">
            <v>48000</v>
          </cell>
        </row>
        <row r="848">
          <cell r="AA848">
            <v>0</v>
          </cell>
        </row>
        <row r="849">
          <cell r="AA849">
            <v>0</v>
          </cell>
        </row>
        <row r="850">
          <cell r="AA850">
            <v>658000</v>
          </cell>
        </row>
        <row r="851">
          <cell r="AA851">
            <v>188000</v>
          </cell>
        </row>
        <row r="852">
          <cell r="AA852">
            <v>0</v>
          </cell>
        </row>
        <row r="853">
          <cell r="AA853">
            <v>0</v>
          </cell>
        </row>
        <row r="854">
          <cell r="AA854">
            <v>0</v>
          </cell>
        </row>
        <row r="855">
          <cell r="AA855">
            <v>85920</v>
          </cell>
        </row>
        <row r="856">
          <cell r="AA856">
            <v>42960</v>
          </cell>
        </row>
        <row r="857">
          <cell r="AA857">
            <v>585433</v>
          </cell>
        </row>
        <row r="858">
          <cell r="AA858">
            <v>0</v>
          </cell>
        </row>
        <row r="859">
          <cell r="AA859">
            <v>0</v>
          </cell>
        </row>
        <row r="860">
          <cell r="AA860">
            <v>0</v>
          </cell>
        </row>
        <row r="861">
          <cell r="AA861">
            <v>0</v>
          </cell>
        </row>
        <row r="862">
          <cell r="AA862">
            <v>0</v>
          </cell>
        </row>
        <row r="863">
          <cell r="AA863">
            <v>0</v>
          </cell>
        </row>
        <row r="864">
          <cell r="AA864">
            <v>0</v>
          </cell>
        </row>
        <row r="865">
          <cell r="AA865">
            <v>0</v>
          </cell>
        </row>
        <row r="866">
          <cell r="AA866">
            <v>0</v>
          </cell>
        </row>
        <row r="867">
          <cell r="AA867">
            <v>66003</v>
          </cell>
        </row>
        <row r="868">
          <cell r="AA868">
            <v>44002</v>
          </cell>
        </row>
        <row r="869">
          <cell r="AA869">
            <v>0</v>
          </cell>
        </row>
        <row r="870">
          <cell r="AA870">
            <v>36924</v>
          </cell>
        </row>
        <row r="871">
          <cell r="AA871">
            <v>79671</v>
          </cell>
        </row>
        <row r="872">
          <cell r="AA872">
            <v>0</v>
          </cell>
        </row>
        <row r="873">
          <cell r="AA873">
            <v>0</v>
          </cell>
        </row>
        <row r="874">
          <cell r="AA874">
            <v>143548490</v>
          </cell>
        </row>
        <row r="1048570">
          <cell r="AA1048570">
            <v>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1"/>
      <sheetName val="R2"/>
      <sheetName val="Bal"/>
      <sheetName val="PyG"/>
      <sheetName val="base"/>
      <sheetName val="VarTrm"/>
      <sheetName val="DevAñoComCR"/>
      <sheetName val="Ctr-vt"/>
      <sheetName val="PryUS$"/>
      <sheetName val="trm"/>
      <sheetName val="Gráfico4"/>
      <sheetName val="Gráfico5"/>
      <sheetName val="RtCr"/>
      <sheetName val="RtCrNl"/>
      <sheetName val="RtCrEx"/>
      <sheetName val="GrCarNal"/>
      <sheetName val="GrCrEx"/>
      <sheetName val="Pronto Pago"/>
      <sheetName val="Vts con Dto"/>
      <sheetName val="Ventas"/>
      <sheetName val="Part Vts"/>
      <sheetName val="Utl Anual"/>
      <sheetName val="mgn anual"/>
      <sheetName val="Mgn"/>
      <sheetName val="Utilidad"/>
      <sheetName val="BlUS"/>
      <sheetName val="ExpUS"/>
      <sheetName val="Port"/>
      <sheetName val="ActyPas"/>
      <sheetName val="End"/>
      <sheetName val="RotIn"/>
      <sheetName val="Port-PF"/>
      <sheetName val="Kw"/>
      <sheetName val="PrtVts"/>
      <sheetName val="GrVts"/>
      <sheetName val="PFn"/>
      <sheetName val="RnCt"/>
      <sheetName val="CtFn"/>
      <sheetName val="DfCm"/>
      <sheetName val="RotPro"/>
      <sheetName val="BlU$"/>
      <sheetName val="CobNat"/>
      <sheetName val="CmEx"/>
      <sheetName val="Bal USD"/>
      <sheetName val="PyG USD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"/>
      <sheetName val="P&amp;L - U$ ACUM CRC"/>
      <sheetName val="consumos"/>
    </sheetNames>
    <sheetDataSet>
      <sheetData sheetId="0"/>
      <sheetData sheetId="1" refreshError="1"/>
      <sheetData sheetId="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"/>
      <sheetName val="Patente"/>
      <sheetName val="Formula"/>
      <sheetName val="Ventas del mes"/>
      <sheetName val="Ventas-ACUMULADAS"/>
      <sheetName val="Compras-mes"/>
      <sheetName val="Compras-año"/>
      <sheetName val="Tránsito-Proceso"/>
      <sheetName val="base"/>
    </sheetNames>
    <sheetDataSet>
      <sheetData sheetId="0"/>
      <sheetData sheetId="1" refreshError="1"/>
      <sheetData sheetId="2" refreshError="1">
        <row r="1">
          <cell r="B1" t="str">
            <v>SPRADLING VENEZUELA, C.A.</v>
          </cell>
        </row>
        <row r="2">
          <cell r="B2">
            <v>39386</v>
          </cell>
        </row>
        <row r="4">
          <cell r="B4">
            <v>1</v>
          </cell>
          <cell r="C4">
            <v>2</v>
          </cell>
          <cell r="D4">
            <v>3</v>
          </cell>
          <cell r="E4">
            <v>4</v>
          </cell>
          <cell r="F4">
            <v>5</v>
          </cell>
        </row>
        <row r="6">
          <cell r="B6" t="str">
            <v>Código</v>
          </cell>
          <cell r="C6" t="str">
            <v>Tipo</v>
          </cell>
          <cell r="D6" t="str">
            <v>Sub-tipo</v>
          </cell>
          <cell r="E6" t="str">
            <v>Pres.</v>
          </cell>
          <cell r="F6" t="str">
            <v>Descripción</v>
          </cell>
        </row>
        <row r="7">
          <cell r="B7">
            <v>32491</v>
          </cell>
          <cell r="C7" t="str">
            <v>PT</v>
          </cell>
          <cell r="E7" t="str">
            <v>M</v>
          </cell>
          <cell r="F7" t="str">
            <v>LONA TOYOTA-RF  1741</v>
          </cell>
        </row>
        <row r="8">
          <cell r="B8">
            <v>42032</v>
          </cell>
          <cell r="C8" t="str">
            <v>PT</v>
          </cell>
          <cell r="E8" t="str">
            <v>M</v>
          </cell>
          <cell r="F8" t="str">
            <v>LONA TOYOTA-RF  NEGRO</v>
          </cell>
        </row>
        <row r="9">
          <cell r="B9">
            <v>45156</v>
          </cell>
          <cell r="C9" t="str">
            <v>PT</v>
          </cell>
          <cell r="E9" t="str">
            <v>M</v>
          </cell>
          <cell r="F9" t="str">
            <v>D30 P JUMBO N0.2 MICROPERF RF EXP  4312</v>
          </cell>
        </row>
        <row r="10">
          <cell r="B10">
            <v>53266</v>
          </cell>
          <cell r="C10" t="str">
            <v>PT</v>
          </cell>
          <cell r="E10" t="str">
            <v>M</v>
          </cell>
          <cell r="F10" t="str">
            <v>FANTASTICO-RF  6312</v>
          </cell>
        </row>
        <row r="11">
          <cell r="B11">
            <v>58850</v>
          </cell>
          <cell r="C11" t="str">
            <v>PT</v>
          </cell>
          <cell r="E11" t="str">
            <v>M</v>
          </cell>
          <cell r="F11" t="str">
            <v>HEIDI MARINE  BRILLIANT WHITE</v>
          </cell>
        </row>
        <row r="12">
          <cell r="B12">
            <v>59357</v>
          </cell>
          <cell r="C12" t="str">
            <v>PT</v>
          </cell>
          <cell r="E12" t="str">
            <v>M</v>
          </cell>
          <cell r="F12" t="str">
            <v>PISO CONSUL-RF  NEGRO</v>
          </cell>
        </row>
        <row r="13">
          <cell r="B13">
            <v>59358</v>
          </cell>
          <cell r="C13" t="str">
            <v>PT</v>
          </cell>
          <cell r="E13" t="str">
            <v>M</v>
          </cell>
          <cell r="F13" t="str">
            <v>PISO CONSUL-RF  2093</v>
          </cell>
        </row>
        <row r="14">
          <cell r="B14">
            <v>60062</v>
          </cell>
          <cell r="C14" t="str">
            <v>PT</v>
          </cell>
          <cell r="E14" t="str">
            <v>M</v>
          </cell>
          <cell r="F14" t="str">
            <v>FERRINI  NEGRO</v>
          </cell>
        </row>
        <row r="15">
          <cell r="B15">
            <v>60121</v>
          </cell>
          <cell r="C15" t="str">
            <v>PT</v>
          </cell>
          <cell r="E15" t="str">
            <v>M</v>
          </cell>
          <cell r="F15" t="str">
            <v>FERRINI  2</v>
          </cell>
        </row>
        <row r="16">
          <cell r="B16">
            <v>60122</v>
          </cell>
          <cell r="C16" t="str">
            <v>PT</v>
          </cell>
          <cell r="E16" t="str">
            <v>M</v>
          </cell>
          <cell r="F16" t="str">
            <v>FERRINI  GRIS PLATA</v>
          </cell>
        </row>
        <row r="17">
          <cell r="B17">
            <v>60380</v>
          </cell>
          <cell r="C17" t="str">
            <v>PT</v>
          </cell>
          <cell r="E17" t="str">
            <v>M</v>
          </cell>
          <cell r="F17" t="str">
            <v>TRIMER  4073</v>
          </cell>
        </row>
        <row r="18">
          <cell r="B18">
            <v>60902</v>
          </cell>
          <cell r="C18" t="str">
            <v>PT</v>
          </cell>
          <cell r="E18" t="str">
            <v>M</v>
          </cell>
          <cell r="F18" t="str">
            <v>FERRINI  2155</v>
          </cell>
        </row>
        <row r="19">
          <cell r="B19">
            <v>60903</v>
          </cell>
          <cell r="C19" t="str">
            <v>PT</v>
          </cell>
          <cell r="E19" t="str">
            <v>M</v>
          </cell>
          <cell r="F19" t="str">
            <v>FERRINI  3346</v>
          </cell>
        </row>
        <row r="20">
          <cell r="B20">
            <v>60904</v>
          </cell>
          <cell r="C20" t="str">
            <v>PT</v>
          </cell>
          <cell r="E20" t="str">
            <v>M</v>
          </cell>
          <cell r="F20" t="str">
            <v>FERRINI  640</v>
          </cell>
        </row>
        <row r="21">
          <cell r="B21">
            <v>61213</v>
          </cell>
          <cell r="C21" t="str">
            <v>PT</v>
          </cell>
          <cell r="E21" t="str">
            <v>M</v>
          </cell>
          <cell r="F21" t="str">
            <v>D30 P IMPALA-RF #1  4046</v>
          </cell>
        </row>
        <row r="22">
          <cell r="B22">
            <v>61280</v>
          </cell>
          <cell r="C22" t="str">
            <v>PT</v>
          </cell>
          <cell r="E22" t="str">
            <v>M</v>
          </cell>
          <cell r="F22" t="str">
            <v>D30 P GYPSI-RF #1  5094</v>
          </cell>
        </row>
        <row r="23">
          <cell r="B23">
            <v>63673</v>
          </cell>
          <cell r="C23" t="str">
            <v>PT</v>
          </cell>
          <cell r="E23" t="str">
            <v>M</v>
          </cell>
          <cell r="F23" t="str">
            <v>PRELUDIO S MATE FR/UV EXP  TAUPE</v>
          </cell>
        </row>
        <row r="24">
          <cell r="B24">
            <v>64418</v>
          </cell>
          <cell r="C24" t="str">
            <v>PT</v>
          </cell>
          <cell r="E24" t="str">
            <v>M</v>
          </cell>
          <cell r="F24" t="str">
            <v>ASSIA SUPRA  2</v>
          </cell>
        </row>
        <row r="25">
          <cell r="B25">
            <v>64590</v>
          </cell>
          <cell r="C25" t="str">
            <v>PT</v>
          </cell>
          <cell r="E25" t="str">
            <v>M</v>
          </cell>
          <cell r="F25" t="str">
            <v>KORAM-RF  VERDE</v>
          </cell>
        </row>
        <row r="26">
          <cell r="B26">
            <v>64591</v>
          </cell>
          <cell r="C26" t="str">
            <v>PT</v>
          </cell>
          <cell r="E26" t="str">
            <v>M</v>
          </cell>
          <cell r="F26" t="str">
            <v>KORAM-RF  AZUL</v>
          </cell>
        </row>
        <row r="27">
          <cell r="B27">
            <v>64592</v>
          </cell>
          <cell r="C27" t="str">
            <v>PT</v>
          </cell>
          <cell r="E27" t="str">
            <v>M</v>
          </cell>
          <cell r="F27" t="str">
            <v>KORAM-RF  GRIS</v>
          </cell>
        </row>
        <row r="28">
          <cell r="B28">
            <v>64593</v>
          </cell>
          <cell r="C28" t="str">
            <v>PT</v>
          </cell>
          <cell r="E28" t="str">
            <v>M</v>
          </cell>
          <cell r="F28" t="str">
            <v>KORAM-RF  AZUL #2</v>
          </cell>
        </row>
        <row r="29">
          <cell r="B29">
            <v>65457</v>
          </cell>
          <cell r="C29" t="str">
            <v>PT</v>
          </cell>
          <cell r="E29" t="str">
            <v>M</v>
          </cell>
          <cell r="F29" t="str">
            <v>ASSIA SUPRA  GRIS OSCURO</v>
          </cell>
        </row>
        <row r="30">
          <cell r="B30">
            <v>65458</v>
          </cell>
          <cell r="C30" t="str">
            <v>PT</v>
          </cell>
          <cell r="E30" t="str">
            <v>M</v>
          </cell>
          <cell r="F30" t="str">
            <v>ASSIA SUPRA  GRIS AZUL</v>
          </cell>
        </row>
        <row r="31">
          <cell r="B31">
            <v>65459</v>
          </cell>
          <cell r="C31" t="str">
            <v>PT</v>
          </cell>
          <cell r="E31" t="str">
            <v>M</v>
          </cell>
          <cell r="F31" t="str">
            <v>ASSIA SUPRA  GRIS CLARO</v>
          </cell>
        </row>
        <row r="32">
          <cell r="B32">
            <v>65461</v>
          </cell>
          <cell r="C32" t="str">
            <v>PT</v>
          </cell>
          <cell r="E32" t="str">
            <v>M</v>
          </cell>
          <cell r="F32" t="str">
            <v>ASSIA SUPRA  GRIS INTENSO</v>
          </cell>
        </row>
        <row r="33">
          <cell r="B33">
            <v>65462</v>
          </cell>
          <cell r="C33" t="str">
            <v>PT</v>
          </cell>
          <cell r="E33" t="str">
            <v>M</v>
          </cell>
          <cell r="F33" t="str">
            <v>ASSIA SUPRA  CAMEL</v>
          </cell>
        </row>
        <row r="34">
          <cell r="B34">
            <v>65463</v>
          </cell>
          <cell r="C34" t="str">
            <v>PT</v>
          </cell>
          <cell r="E34" t="str">
            <v>M</v>
          </cell>
          <cell r="F34" t="str">
            <v>ASSIA SUPRA  TABACO</v>
          </cell>
        </row>
        <row r="35">
          <cell r="B35">
            <v>65466</v>
          </cell>
          <cell r="C35" t="str">
            <v>PT</v>
          </cell>
          <cell r="E35" t="str">
            <v>M</v>
          </cell>
          <cell r="F35" t="str">
            <v>ASSIA SUPRA  NEGRO</v>
          </cell>
        </row>
        <row r="36">
          <cell r="B36">
            <v>65467</v>
          </cell>
          <cell r="C36" t="str">
            <v>PT</v>
          </cell>
          <cell r="E36" t="str">
            <v>M</v>
          </cell>
          <cell r="F36" t="str">
            <v>ASSIA SUPRA  GRIS HUMO</v>
          </cell>
        </row>
        <row r="37">
          <cell r="B37">
            <v>66609</v>
          </cell>
          <cell r="C37" t="str">
            <v>PT</v>
          </cell>
          <cell r="E37" t="str">
            <v>M</v>
          </cell>
          <cell r="F37" t="str">
            <v>ASSIA SUPRA  253</v>
          </cell>
        </row>
        <row r="38">
          <cell r="B38">
            <v>66610</v>
          </cell>
          <cell r="C38" t="str">
            <v>PT</v>
          </cell>
          <cell r="E38" t="str">
            <v>M</v>
          </cell>
          <cell r="F38" t="str">
            <v>ASSIA SUPRA BIC  18</v>
          </cell>
        </row>
        <row r="39">
          <cell r="B39">
            <v>66611</v>
          </cell>
          <cell r="C39" t="str">
            <v>PT</v>
          </cell>
          <cell r="E39" t="str">
            <v>M</v>
          </cell>
          <cell r="F39" t="str">
            <v>ASSIA SUPRA BIC  615</v>
          </cell>
        </row>
        <row r="40">
          <cell r="B40">
            <v>66819</v>
          </cell>
          <cell r="C40" t="str">
            <v>PT</v>
          </cell>
          <cell r="E40" t="str">
            <v>M</v>
          </cell>
          <cell r="F40" t="str">
            <v>ASSIA SUPRA  1359</v>
          </cell>
        </row>
        <row r="41">
          <cell r="B41">
            <v>66984</v>
          </cell>
          <cell r="C41" t="str">
            <v>PT</v>
          </cell>
          <cell r="E41" t="str">
            <v>M</v>
          </cell>
          <cell r="F41" t="str">
            <v>PRANNA.  VERDE OSCURO</v>
          </cell>
        </row>
        <row r="42">
          <cell r="B42">
            <v>67015</v>
          </cell>
          <cell r="C42" t="str">
            <v>PT</v>
          </cell>
          <cell r="E42" t="str">
            <v>M</v>
          </cell>
          <cell r="F42" t="str">
            <v>PRANNA.  5575</v>
          </cell>
        </row>
        <row r="43">
          <cell r="B43">
            <v>67017</v>
          </cell>
          <cell r="C43" t="str">
            <v>PT</v>
          </cell>
          <cell r="E43" t="str">
            <v>M</v>
          </cell>
          <cell r="F43" t="str">
            <v>PRANNA.  5541 BIC.</v>
          </cell>
        </row>
        <row r="44">
          <cell r="B44">
            <v>67022</v>
          </cell>
          <cell r="C44" t="str">
            <v>PT</v>
          </cell>
          <cell r="E44" t="str">
            <v>M</v>
          </cell>
          <cell r="F44" t="str">
            <v>PRANNA.  5535 BIC.</v>
          </cell>
        </row>
        <row r="45">
          <cell r="B45">
            <v>67158</v>
          </cell>
          <cell r="C45" t="str">
            <v>PT</v>
          </cell>
          <cell r="E45" t="str">
            <v>M</v>
          </cell>
          <cell r="F45" t="str">
            <v>PRANNA.  AZUL.</v>
          </cell>
        </row>
        <row r="46">
          <cell r="B46">
            <v>67159</v>
          </cell>
          <cell r="C46" t="str">
            <v>PT</v>
          </cell>
          <cell r="E46" t="str">
            <v>M</v>
          </cell>
          <cell r="F46" t="str">
            <v>PRANNA.  CAMEL</v>
          </cell>
        </row>
        <row r="47">
          <cell r="B47">
            <v>67160</v>
          </cell>
          <cell r="C47" t="str">
            <v>PT</v>
          </cell>
          <cell r="E47" t="str">
            <v>M</v>
          </cell>
          <cell r="F47" t="str">
            <v>PRANNA.  8390</v>
          </cell>
        </row>
        <row r="48">
          <cell r="B48">
            <v>67203</v>
          </cell>
          <cell r="C48" t="str">
            <v>PT</v>
          </cell>
          <cell r="E48" t="str">
            <v>M</v>
          </cell>
          <cell r="F48" t="str">
            <v>PRANNA.  20253</v>
          </cell>
        </row>
        <row r="49">
          <cell r="B49">
            <v>67218</v>
          </cell>
          <cell r="C49" t="str">
            <v>PT</v>
          </cell>
          <cell r="E49" t="str">
            <v>M</v>
          </cell>
          <cell r="F49" t="str">
            <v>PRANNA.  NEGRO</v>
          </cell>
        </row>
        <row r="50">
          <cell r="B50">
            <v>67851</v>
          </cell>
          <cell r="C50" t="str">
            <v>PT</v>
          </cell>
          <cell r="E50" t="str">
            <v>M</v>
          </cell>
          <cell r="F50" t="str">
            <v>ASSIA SUPRA  CAFE</v>
          </cell>
        </row>
        <row r="51">
          <cell r="B51">
            <v>67862</v>
          </cell>
          <cell r="C51" t="str">
            <v>PT</v>
          </cell>
          <cell r="E51" t="str">
            <v>M</v>
          </cell>
          <cell r="F51" t="str">
            <v>ASSIA SUPRA  BEIGE CLARO</v>
          </cell>
        </row>
        <row r="52">
          <cell r="B52">
            <v>68165</v>
          </cell>
          <cell r="C52" t="str">
            <v>PT</v>
          </cell>
          <cell r="E52" t="str">
            <v>M</v>
          </cell>
          <cell r="F52" t="str">
            <v>GAMUZA VINCI XS  GRIS</v>
          </cell>
        </row>
        <row r="53">
          <cell r="B53">
            <v>68811</v>
          </cell>
          <cell r="C53" t="str">
            <v>PT</v>
          </cell>
          <cell r="E53" t="str">
            <v>M</v>
          </cell>
          <cell r="F53" t="str">
            <v>ASSIA JAVA  NEGRO</v>
          </cell>
        </row>
        <row r="54">
          <cell r="B54">
            <v>68833</v>
          </cell>
          <cell r="C54" t="str">
            <v>PT</v>
          </cell>
          <cell r="E54" t="str">
            <v>M</v>
          </cell>
          <cell r="F54" t="str">
            <v>GAMUZA VINCI XS  HUMO</v>
          </cell>
        </row>
        <row r="55">
          <cell r="B55">
            <v>68904</v>
          </cell>
          <cell r="C55" t="str">
            <v>PT</v>
          </cell>
          <cell r="E55" t="str">
            <v>M</v>
          </cell>
          <cell r="F55" t="str">
            <v>LEXHUS COW BIC  10022</v>
          </cell>
        </row>
        <row r="56">
          <cell r="B56">
            <v>68910</v>
          </cell>
          <cell r="C56" t="str">
            <v>PT</v>
          </cell>
          <cell r="E56" t="str">
            <v>M</v>
          </cell>
          <cell r="F56" t="str">
            <v>LEXHUS COW  NEGRO #1</v>
          </cell>
        </row>
        <row r="57">
          <cell r="B57">
            <v>69125</v>
          </cell>
          <cell r="C57" t="str">
            <v>PT</v>
          </cell>
          <cell r="E57" t="str">
            <v>M</v>
          </cell>
          <cell r="F57" t="str">
            <v>ASSIA SUPRA  AMARILLO</v>
          </cell>
        </row>
        <row r="58">
          <cell r="B58">
            <v>69204</v>
          </cell>
          <cell r="C58" t="str">
            <v>PT</v>
          </cell>
          <cell r="E58" t="str">
            <v>M</v>
          </cell>
          <cell r="F58" t="str">
            <v>ASSIA SUPRA  AZUL SPORT</v>
          </cell>
        </row>
        <row r="59">
          <cell r="B59">
            <v>69221</v>
          </cell>
          <cell r="C59" t="str">
            <v>PT</v>
          </cell>
          <cell r="E59" t="str">
            <v>M</v>
          </cell>
          <cell r="F59" t="str">
            <v>ASSIA SUPRA  10074</v>
          </cell>
        </row>
        <row r="60">
          <cell r="B60">
            <v>69366</v>
          </cell>
          <cell r="C60" t="str">
            <v>PT</v>
          </cell>
          <cell r="E60" t="str">
            <v>M</v>
          </cell>
          <cell r="F60" t="str">
            <v>PISO CONFORT-RF  GRIS</v>
          </cell>
        </row>
        <row r="61">
          <cell r="B61">
            <v>69367</v>
          </cell>
          <cell r="C61" t="str">
            <v>PT</v>
          </cell>
          <cell r="E61" t="str">
            <v>M</v>
          </cell>
          <cell r="F61" t="str">
            <v>PISO CONFORT-RF  AZUL</v>
          </cell>
        </row>
        <row r="62">
          <cell r="B62">
            <v>69369</v>
          </cell>
          <cell r="C62" t="str">
            <v>PT</v>
          </cell>
          <cell r="E62" t="str">
            <v>M</v>
          </cell>
          <cell r="F62" t="str">
            <v>PISO CONFORT-RF  VERDE OSCURO/2487</v>
          </cell>
        </row>
        <row r="63">
          <cell r="B63">
            <v>69370</v>
          </cell>
          <cell r="C63" t="str">
            <v>PT</v>
          </cell>
          <cell r="E63" t="str">
            <v>M</v>
          </cell>
          <cell r="F63" t="str">
            <v>PISO CONFORT-RF  NEGRO</v>
          </cell>
        </row>
        <row r="64">
          <cell r="B64">
            <v>69371</v>
          </cell>
          <cell r="C64" t="str">
            <v>PT</v>
          </cell>
          <cell r="E64" t="str">
            <v>M</v>
          </cell>
          <cell r="F64" t="str">
            <v>PISO CONFORT-RF  GRIS OSCURO/2093</v>
          </cell>
        </row>
        <row r="65">
          <cell r="B65">
            <v>70344</v>
          </cell>
          <cell r="C65" t="str">
            <v>PT</v>
          </cell>
          <cell r="E65" t="str">
            <v>M</v>
          </cell>
          <cell r="F65" t="str">
            <v>ASSIA SUPRA BIC  2658</v>
          </cell>
        </row>
        <row r="66">
          <cell r="B66">
            <v>70878</v>
          </cell>
          <cell r="C66" t="str">
            <v>PT</v>
          </cell>
          <cell r="E66" t="str">
            <v>M</v>
          </cell>
          <cell r="F66" t="str">
            <v>ASSIA SUPRA MATE  NEGRO</v>
          </cell>
        </row>
        <row r="67">
          <cell r="B67">
            <v>71165</v>
          </cell>
          <cell r="C67" t="str">
            <v>PT</v>
          </cell>
          <cell r="E67" t="str">
            <v>M</v>
          </cell>
          <cell r="F67" t="str">
            <v>ASSIA JAVA BIC.  468</v>
          </cell>
        </row>
        <row r="68">
          <cell r="B68">
            <v>71270</v>
          </cell>
          <cell r="C68" t="str">
            <v>PT</v>
          </cell>
          <cell r="E68" t="str">
            <v>M</v>
          </cell>
          <cell r="F68" t="str">
            <v>FERRINI  BEIGE</v>
          </cell>
        </row>
        <row r="69">
          <cell r="B69">
            <v>71760</v>
          </cell>
          <cell r="C69" t="str">
            <v>PT</v>
          </cell>
          <cell r="E69" t="str">
            <v>M</v>
          </cell>
          <cell r="F69" t="str">
            <v>ASSIA SUPRA  4298</v>
          </cell>
        </row>
        <row r="70">
          <cell r="B70">
            <v>72574</v>
          </cell>
          <cell r="C70" t="str">
            <v>PT</v>
          </cell>
          <cell r="E70" t="str">
            <v>M</v>
          </cell>
          <cell r="F70" t="str">
            <v>PRELUDIO MAYA EXP  MD. PEWTER</v>
          </cell>
        </row>
        <row r="71">
          <cell r="B71">
            <v>72660</v>
          </cell>
          <cell r="C71" t="str">
            <v>PT</v>
          </cell>
          <cell r="E71" t="str">
            <v>M</v>
          </cell>
          <cell r="F71" t="str">
            <v>ASSIA SUPRA  511</v>
          </cell>
        </row>
        <row r="72">
          <cell r="B72">
            <v>72661</v>
          </cell>
          <cell r="C72" t="str">
            <v>PT</v>
          </cell>
          <cell r="E72" t="str">
            <v>M</v>
          </cell>
          <cell r="F72" t="str">
            <v>ASSIA SUPRA BIC  ROJO</v>
          </cell>
        </row>
        <row r="73">
          <cell r="B73">
            <v>72971</v>
          </cell>
          <cell r="C73" t="str">
            <v>PT</v>
          </cell>
          <cell r="E73" t="str">
            <v>M</v>
          </cell>
          <cell r="F73" t="str">
            <v>PRELUDIO VENADO EXP  DARK SLATE</v>
          </cell>
        </row>
        <row r="74">
          <cell r="B74">
            <v>73146</v>
          </cell>
          <cell r="C74" t="str">
            <v>PT</v>
          </cell>
          <cell r="E74" t="str">
            <v>M</v>
          </cell>
          <cell r="F74" t="str">
            <v>ASSIA SUPRA  ROJO IMPERIO</v>
          </cell>
        </row>
        <row r="75">
          <cell r="B75">
            <v>73260</v>
          </cell>
          <cell r="C75" t="str">
            <v>PT</v>
          </cell>
          <cell r="E75" t="str">
            <v>M</v>
          </cell>
          <cell r="F75" t="str">
            <v>BRONCO XS  NEGRO</v>
          </cell>
        </row>
        <row r="76">
          <cell r="B76">
            <v>73564</v>
          </cell>
          <cell r="C76" t="str">
            <v>PT</v>
          </cell>
          <cell r="E76" t="str">
            <v>M</v>
          </cell>
          <cell r="F76" t="str">
            <v>ASSIA SUPRA  AZUL OSCURO</v>
          </cell>
        </row>
        <row r="77">
          <cell r="B77">
            <v>73566</v>
          </cell>
          <cell r="C77" t="str">
            <v>PT</v>
          </cell>
          <cell r="E77" t="str">
            <v>M</v>
          </cell>
          <cell r="F77" t="str">
            <v>ASSIA SUPRA  VERDE ESMERALDA</v>
          </cell>
        </row>
        <row r="78">
          <cell r="B78">
            <v>73611</v>
          </cell>
          <cell r="C78" t="str">
            <v>PT</v>
          </cell>
          <cell r="E78" t="str">
            <v>M</v>
          </cell>
          <cell r="F78" t="str">
            <v>BRONCO XS  3796</v>
          </cell>
        </row>
        <row r="79">
          <cell r="B79">
            <v>73904</v>
          </cell>
          <cell r="C79" t="str">
            <v>PT</v>
          </cell>
          <cell r="E79" t="str">
            <v>M</v>
          </cell>
          <cell r="F79" t="str">
            <v>ASSIA SUPRA  640</v>
          </cell>
        </row>
        <row r="80">
          <cell r="B80">
            <v>73917</v>
          </cell>
          <cell r="C80" t="str">
            <v>PT</v>
          </cell>
          <cell r="E80" t="str">
            <v>M</v>
          </cell>
          <cell r="F80" t="str">
            <v>PISO ADVANTAGE-RF  GRIS</v>
          </cell>
        </row>
        <row r="81">
          <cell r="B81">
            <v>74013</v>
          </cell>
          <cell r="C81" t="str">
            <v>PT</v>
          </cell>
          <cell r="E81" t="str">
            <v>M</v>
          </cell>
          <cell r="F81" t="str">
            <v>PISO ADVANTAGE-RF  VERDE</v>
          </cell>
        </row>
        <row r="82">
          <cell r="B82">
            <v>74014</v>
          </cell>
          <cell r="C82" t="str">
            <v>PT</v>
          </cell>
          <cell r="E82" t="str">
            <v>M</v>
          </cell>
          <cell r="F82" t="str">
            <v>PISO ADVANTAGE-RF  AZUL</v>
          </cell>
        </row>
        <row r="83">
          <cell r="B83">
            <v>74096</v>
          </cell>
          <cell r="C83" t="str">
            <v>PT</v>
          </cell>
          <cell r="E83" t="str">
            <v>M</v>
          </cell>
          <cell r="F83" t="str">
            <v>GAMUZA VINCI XS  612</v>
          </cell>
        </row>
        <row r="84">
          <cell r="B84">
            <v>74099</v>
          </cell>
          <cell r="C84" t="str">
            <v>PT</v>
          </cell>
          <cell r="E84" t="str">
            <v>M</v>
          </cell>
          <cell r="F84" t="str">
            <v>PISO ADVANTAGE-RF  NEGRO</v>
          </cell>
        </row>
        <row r="85">
          <cell r="B85">
            <v>74140</v>
          </cell>
          <cell r="C85" t="str">
            <v>PT</v>
          </cell>
          <cell r="E85" t="str">
            <v>M</v>
          </cell>
          <cell r="F85" t="str">
            <v>ASSIA SUPRA  AZUL ACERO</v>
          </cell>
        </row>
        <row r="86">
          <cell r="B86">
            <v>74141</v>
          </cell>
          <cell r="C86" t="str">
            <v>PT</v>
          </cell>
          <cell r="E86" t="str">
            <v>M</v>
          </cell>
          <cell r="F86" t="str">
            <v>ASSIA SUPRA  541</v>
          </cell>
        </row>
        <row r="87">
          <cell r="B87">
            <v>74519</v>
          </cell>
          <cell r="C87" t="str">
            <v>PT</v>
          </cell>
          <cell r="E87" t="str">
            <v>M</v>
          </cell>
          <cell r="F87" t="str">
            <v>CAPELLADA FENIX  ROJO</v>
          </cell>
        </row>
        <row r="88">
          <cell r="B88">
            <v>74523</v>
          </cell>
          <cell r="C88" t="str">
            <v>PT</v>
          </cell>
          <cell r="E88" t="str">
            <v>M</v>
          </cell>
          <cell r="F88" t="str">
            <v>CAPELLADA FENIX  CAMEL</v>
          </cell>
        </row>
        <row r="89">
          <cell r="B89">
            <v>74828</v>
          </cell>
          <cell r="C89" t="str">
            <v>PT</v>
          </cell>
          <cell r="E89" t="str">
            <v>M</v>
          </cell>
          <cell r="F89" t="str">
            <v>COMBITEX  ROJO</v>
          </cell>
        </row>
        <row r="90">
          <cell r="B90">
            <v>74949</v>
          </cell>
          <cell r="C90" t="str">
            <v>PT</v>
          </cell>
          <cell r="E90" t="str">
            <v>M</v>
          </cell>
          <cell r="F90" t="str">
            <v>EXPRES ESPIRAL  VERDE</v>
          </cell>
        </row>
        <row r="91">
          <cell r="B91">
            <v>74950</v>
          </cell>
          <cell r="C91" t="str">
            <v>PT</v>
          </cell>
          <cell r="E91" t="str">
            <v>M</v>
          </cell>
          <cell r="F91" t="str">
            <v>EXPRES ESPIRAL  AZUL</v>
          </cell>
        </row>
        <row r="92">
          <cell r="B92">
            <v>74952</v>
          </cell>
          <cell r="C92" t="str">
            <v>PT</v>
          </cell>
          <cell r="E92" t="str">
            <v>M</v>
          </cell>
          <cell r="F92" t="str">
            <v>EXPRES ESPIRAL  GRIS</v>
          </cell>
        </row>
        <row r="93">
          <cell r="B93">
            <v>74953</v>
          </cell>
          <cell r="C93" t="str">
            <v>PT</v>
          </cell>
          <cell r="E93" t="str">
            <v>M</v>
          </cell>
          <cell r="F93" t="str">
            <v>EXPRES FANTASTICO SUTIL  VERDE</v>
          </cell>
        </row>
        <row r="94">
          <cell r="B94">
            <v>74954</v>
          </cell>
          <cell r="C94" t="str">
            <v>PT</v>
          </cell>
          <cell r="E94" t="str">
            <v>M</v>
          </cell>
          <cell r="F94" t="str">
            <v>EXPRES FANTASTICO SUTIL  AZUL</v>
          </cell>
        </row>
        <row r="95">
          <cell r="B95">
            <v>74955</v>
          </cell>
          <cell r="C95" t="str">
            <v>PT</v>
          </cell>
          <cell r="E95" t="str">
            <v>M</v>
          </cell>
          <cell r="F95" t="str">
            <v>EXPRES FANTASTICO SUTIL  ROJO</v>
          </cell>
        </row>
        <row r="96">
          <cell r="B96">
            <v>74956</v>
          </cell>
          <cell r="C96" t="str">
            <v>PT</v>
          </cell>
          <cell r="E96" t="str">
            <v>M</v>
          </cell>
          <cell r="F96" t="str">
            <v>EXPRES FANTASTICO SUTIL  GRIS</v>
          </cell>
        </row>
        <row r="97">
          <cell r="B97">
            <v>74957</v>
          </cell>
          <cell r="C97" t="str">
            <v>PT</v>
          </cell>
          <cell r="E97" t="str">
            <v>M</v>
          </cell>
          <cell r="F97" t="str">
            <v>TRAVEL  VERDE</v>
          </cell>
        </row>
        <row r="98">
          <cell r="B98">
            <v>74958</v>
          </cell>
          <cell r="C98" t="str">
            <v>PT</v>
          </cell>
          <cell r="E98" t="str">
            <v>M</v>
          </cell>
          <cell r="F98" t="str">
            <v>TRAVEL  AZUL</v>
          </cell>
        </row>
        <row r="99">
          <cell r="B99">
            <v>74960</v>
          </cell>
          <cell r="C99" t="str">
            <v>PT</v>
          </cell>
          <cell r="E99" t="str">
            <v>M</v>
          </cell>
          <cell r="F99" t="str">
            <v>TRAVEL  GRIS</v>
          </cell>
        </row>
        <row r="100">
          <cell r="B100">
            <v>74962</v>
          </cell>
          <cell r="C100" t="str">
            <v>PT</v>
          </cell>
          <cell r="E100" t="str">
            <v>M</v>
          </cell>
          <cell r="F100" t="str">
            <v>EXPRES COSMOS  AZUL</v>
          </cell>
        </row>
        <row r="101">
          <cell r="B101">
            <v>74965</v>
          </cell>
          <cell r="C101" t="str">
            <v>PT</v>
          </cell>
          <cell r="E101" t="str">
            <v>M</v>
          </cell>
          <cell r="F101" t="str">
            <v>EXPRES PASSENGER  VERDE</v>
          </cell>
        </row>
        <row r="102">
          <cell r="B102">
            <v>74966</v>
          </cell>
          <cell r="C102" t="str">
            <v>PT</v>
          </cell>
          <cell r="E102" t="str">
            <v>M</v>
          </cell>
          <cell r="F102" t="str">
            <v>EXPRES PASSENGER  AZUL</v>
          </cell>
        </row>
        <row r="103">
          <cell r="B103">
            <v>74967</v>
          </cell>
          <cell r="C103" t="str">
            <v>PT</v>
          </cell>
          <cell r="E103" t="str">
            <v>M</v>
          </cell>
          <cell r="F103" t="str">
            <v>EXPRES PASSENGER  ROJO</v>
          </cell>
        </row>
        <row r="104">
          <cell r="B104">
            <v>74968</v>
          </cell>
          <cell r="C104" t="str">
            <v>PT</v>
          </cell>
          <cell r="E104" t="str">
            <v>M</v>
          </cell>
          <cell r="F104" t="str">
            <v>EXPRES PASSENGER  GRIS</v>
          </cell>
        </row>
        <row r="105">
          <cell r="B105">
            <v>74970</v>
          </cell>
          <cell r="C105" t="str">
            <v>PT</v>
          </cell>
          <cell r="E105" t="str">
            <v>M</v>
          </cell>
          <cell r="F105" t="str">
            <v>EXPRES FANTASTICO  AZUL</v>
          </cell>
        </row>
        <row r="106">
          <cell r="B106">
            <v>74972</v>
          </cell>
          <cell r="C106" t="str">
            <v>PT</v>
          </cell>
          <cell r="E106" t="str">
            <v>M</v>
          </cell>
          <cell r="F106" t="str">
            <v>EXPRES FANTASTICO  GRIS</v>
          </cell>
        </row>
        <row r="107">
          <cell r="B107">
            <v>75549</v>
          </cell>
          <cell r="C107" t="str">
            <v>PT</v>
          </cell>
          <cell r="E107" t="str">
            <v>M</v>
          </cell>
          <cell r="F107" t="str">
            <v>TAPIZ  BEIGE</v>
          </cell>
        </row>
        <row r="108">
          <cell r="B108">
            <v>75550</v>
          </cell>
          <cell r="C108" t="str">
            <v>PT</v>
          </cell>
          <cell r="E108" t="str">
            <v>M</v>
          </cell>
          <cell r="F108" t="str">
            <v>TAPIZ  VERDE ACEITUNA</v>
          </cell>
        </row>
        <row r="109">
          <cell r="B109">
            <v>75551</v>
          </cell>
          <cell r="C109" t="str">
            <v>PT</v>
          </cell>
          <cell r="E109" t="str">
            <v>M</v>
          </cell>
          <cell r="F109" t="str">
            <v>TAPIZ  NARANJA</v>
          </cell>
        </row>
        <row r="110">
          <cell r="B110">
            <v>75552</v>
          </cell>
          <cell r="C110" t="str">
            <v>PT</v>
          </cell>
          <cell r="E110" t="str">
            <v>M</v>
          </cell>
          <cell r="F110" t="str">
            <v>TAPIZ  ROJO</v>
          </cell>
        </row>
        <row r="111">
          <cell r="B111">
            <v>75553</v>
          </cell>
          <cell r="C111" t="str">
            <v>PT</v>
          </cell>
          <cell r="E111" t="str">
            <v>M</v>
          </cell>
          <cell r="F111" t="str">
            <v>TAPIZ  VERDE VINA</v>
          </cell>
        </row>
        <row r="112">
          <cell r="B112">
            <v>75554</v>
          </cell>
          <cell r="C112" t="str">
            <v>PT</v>
          </cell>
          <cell r="E112" t="str">
            <v>M</v>
          </cell>
          <cell r="F112" t="str">
            <v>TAPIZ  AZUL</v>
          </cell>
        </row>
        <row r="113">
          <cell r="B113">
            <v>75555</v>
          </cell>
          <cell r="C113" t="str">
            <v>PT</v>
          </cell>
          <cell r="E113" t="str">
            <v>M</v>
          </cell>
          <cell r="F113" t="str">
            <v>TAPIZ  AZUL REY</v>
          </cell>
        </row>
        <row r="114">
          <cell r="B114">
            <v>75556</v>
          </cell>
          <cell r="C114" t="str">
            <v>PT</v>
          </cell>
          <cell r="E114" t="str">
            <v>M</v>
          </cell>
          <cell r="F114" t="str">
            <v>TAPIZ  GRIS RATON</v>
          </cell>
        </row>
        <row r="115">
          <cell r="B115">
            <v>75557</v>
          </cell>
          <cell r="C115" t="str">
            <v>PT</v>
          </cell>
          <cell r="E115" t="str">
            <v>M</v>
          </cell>
          <cell r="F115" t="str">
            <v>TAPIZ  VERDE ESMERALDA</v>
          </cell>
        </row>
        <row r="116">
          <cell r="B116">
            <v>75558</v>
          </cell>
          <cell r="C116" t="str">
            <v>PT</v>
          </cell>
          <cell r="E116" t="str">
            <v>M</v>
          </cell>
          <cell r="F116" t="str">
            <v>TAPIZ  MANGO</v>
          </cell>
        </row>
        <row r="117">
          <cell r="B117">
            <v>75675</v>
          </cell>
          <cell r="C117" t="str">
            <v>PT</v>
          </cell>
          <cell r="E117" t="str">
            <v>M</v>
          </cell>
          <cell r="F117" t="str">
            <v>EXPRES COMBITEX  AZUL OSCURO</v>
          </cell>
        </row>
        <row r="118">
          <cell r="B118">
            <v>75895</v>
          </cell>
          <cell r="C118" t="str">
            <v>PT</v>
          </cell>
          <cell r="E118" t="str">
            <v>M</v>
          </cell>
          <cell r="F118" t="str">
            <v>PISO CUADROS  AMARILLO</v>
          </cell>
        </row>
        <row r="119">
          <cell r="B119">
            <v>75929</v>
          </cell>
          <cell r="C119" t="str">
            <v>PT</v>
          </cell>
          <cell r="E119" t="str">
            <v>M</v>
          </cell>
          <cell r="F119" t="str">
            <v>PISO CUADROS  NEGRO</v>
          </cell>
        </row>
        <row r="120">
          <cell r="B120">
            <v>75930</v>
          </cell>
          <cell r="C120" t="str">
            <v>PT</v>
          </cell>
          <cell r="E120" t="str">
            <v>M</v>
          </cell>
          <cell r="F120" t="str">
            <v>PISO CUADROS  AZUL</v>
          </cell>
        </row>
        <row r="121">
          <cell r="B121">
            <v>75931</v>
          </cell>
          <cell r="C121" t="str">
            <v>PT</v>
          </cell>
          <cell r="E121" t="str">
            <v>M</v>
          </cell>
          <cell r="F121" t="str">
            <v>PISO CUADROS  CAMEL</v>
          </cell>
        </row>
        <row r="122">
          <cell r="B122">
            <v>75932</v>
          </cell>
          <cell r="C122" t="str">
            <v>PT</v>
          </cell>
          <cell r="E122" t="str">
            <v>M</v>
          </cell>
          <cell r="F122" t="str">
            <v>PISO CUADROS  GRIS PLATA</v>
          </cell>
        </row>
        <row r="123">
          <cell r="B123">
            <v>75933</v>
          </cell>
          <cell r="C123" t="str">
            <v>PT</v>
          </cell>
          <cell r="E123" t="str">
            <v>M</v>
          </cell>
          <cell r="F123" t="str">
            <v>PISO CUADROS  ROJO</v>
          </cell>
        </row>
        <row r="124">
          <cell r="B124">
            <v>75934</v>
          </cell>
          <cell r="C124" t="str">
            <v>PT</v>
          </cell>
          <cell r="E124" t="str">
            <v>M</v>
          </cell>
          <cell r="F124" t="str">
            <v>PISO CUADROS  VERDE</v>
          </cell>
        </row>
        <row r="125">
          <cell r="B125">
            <v>75935</v>
          </cell>
          <cell r="C125" t="str">
            <v>PT</v>
          </cell>
          <cell r="E125" t="str">
            <v>M</v>
          </cell>
          <cell r="F125" t="str">
            <v>PISO CUADROS  3218</v>
          </cell>
        </row>
        <row r="126">
          <cell r="B126">
            <v>76140</v>
          </cell>
          <cell r="C126" t="str">
            <v>PT</v>
          </cell>
          <cell r="E126" t="str">
            <v>M</v>
          </cell>
          <cell r="F126" t="str">
            <v>VINILCUERO FOCUS MATE-RF  MIDNIGHT BLACK</v>
          </cell>
        </row>
        <row r="127">
          <cell r="B127">
            <v>76203</v>
          </cell>
          <cell r="C127" t="str">
            <v>PT</v>
          </cell>
          <cell r="E127" t="str">
            <v>M</v>
          </cell>
          <cell r="F127" t="str">
            <v>CLASIC  TABACO</v>
          </cell>
        </row>
        <row r="128">
          <cell r="B128">
            <v>76204</v>
          </cell>
          <cell r="C128" t="str">
            <v>PT</v>
          </cell>
          <cell r="E128" t="str">
            <v>M</v>
          </cell>
          <cell r="F128" t="str">
            <v>CLASIC  MIEL</v>
          </cell>
        </row>
        <row r="129">
          <cell r="B129">
            <v>76205</v>
          </cell>
          <cell r="C129" t="str">
            <v>PT</v>
          </cell>
          <cell r="E129" t="str">
            <v>M</v>
          </cell>
          <cell r="F129" t="str">
            <v>CLASIC  CAFE</v>
          </cell>
        </row>
        <row r="130">
          <cell r="B130">
            <v>76206</v>
          </cell>
          <cell r="C130" t="str">
            <v>PT</v>
          </cell>
          <cell r="E130" t="str">
            <v>M</v>
          </cell>
          <cell r="F130" t="str">
            <v>CLASIC  NEGRO</v>
          </cell>
        </row>
        <row r="131">
          <cell r="B131">
            <v>76207</v>
          </cell>
          <cell r="C131" t="str">
            <v>PT</v>
          </cell>
          <cell r="E131" t="str">
            <v>M</v>
          </cell>
          <cell r="F131" t="str">
            <v>CLASIC  PISTACHO</v>
          </cell>
        </row>
        <row r="132">
          <cell r="B132">
            <v>76208</v>
          </cell>
          <cell r="C132" t="str">
            <v>PT</v>
          </cell>
          <cell r="E132" t="str">
            <v>M</v>
          </cell>
          <cell r="F132" t="str">
            <v>CLASIC  BEIGE</v>
          </cell>
        </row>
        <row r="133">
          <cell r="B133">
            <v>76462</v>
          </cell>
          <cell r="C133" t="str">
            <v>PT</v>
          </cell>
          <cell r="E133" t="str">
            <v>M</v>
          </cell>
          <cell r="F133" t="str">
            <v>PUNTERA FORTE XS  NEGRO</v>
          </cell>
        </row>
        <row r="134">
          <cell r="B134">
            <v>76463</v>
          </cell>
          <cell r="C134" t="str">
            <v>PT</v>
          </cell>
          <cell r="E134" t="str">
            <v>M</v>
          </cell>
          <cell r="F134" t="str">
            <v>LONA DILUSSO  BEIGE</v>
          </cell>
        </row>
        <row r="135">
          <cell r="B135">
            <v>76503</v>
          </cell>
          <cell r="C135" t="str">
            <v>PT</v>
          </cell>
          <cell r="E135" t="str">
            <v>M</v>
          </cell>
          <cell r="F135" t="str">
            <v>EXPRES NILO  AZUL</v>
          </cell>
        </row>
        <row r="136">
          <cell r="B136">
            <v>76504</v>
          </cell>
          <cell r="C136" t="str">
            <v>PT</v>
          </cell>
          <cell r="E136" t="str">
            <v>M</v>
          </cell>
          <cell r="F136" t="str">
            <v>EXPRES NILO  GRIS</v>
          </cell>
        </row>
        <row r="137">
          <cell r="B137">
            <v>76506</v>
          </cell>
          <cell r="C137" t="str">
            <v>PT</v>
          </cell>
          <cell r="E137" t="str">
            <v>M</v>
          </cell>
          <cell r="F137" t="str">
            <v>EXPRES NILO  AZUL OSCURO</v>
          </cell>
        </row>
        <row r="138">
          <cell r="B138">
            <v>76526</v>
          </cell>
          <cell r="C138" t="str">
            <v>PT</v>
          </cell>
          <cell r="E138" t="str">
            <v>M</v>
          </cell>
          <cell r="F138" t="str">
            <v>VINILCUERO ASTRA  DOLPHIN GRAY</v>
          </cell>
        </row>
        <row r="139">
          <cell r="B139">
            <v>76583</v>
          </cell>
          <cell r="C139" t="str">
            <v>PT</v>
          </cell>
          <cell r="E139" t="str">
            <v>M</v>
          </cell>
          <cell r="F139" t="str">
            <v>LONA CARIBE  BLANCO</v>
          </cell>
        </row>
        <row r="140">
          <cell r="B140">
            <v>76605</v>
          </cell>
          <cell r="C140" t="str">
            <v>PT</v>
          </cell>
          <cell r="E140" t="str">
            <v>M</v>
          </cell>
          <cell r="F140" t="str">
            <v>ALFAJOR  GRIS PLATA</v>
          </cell>
        </row>
        <row r="141">
          <cell r="B141">
            <v>76629</v>
          </cell>
          <cell r="C141" t="str">
            <v>PT</v>
          </cell>
          <cell r="E141" t="str">
            <v>M</v>
          </cell>
          <cell r="F141" t="str">
            <v>ASSIA SUPRA  ROJO PARAMO</v>
          </cell>
        </row>
        <row r="142">
          <cell r="B142">
            <v>76680</v>
          </cell>
          <cell r="C142" t="str">
            <v>PT</v>
          </cell>
          <cell r="E142" t="str">
            <v>M</v>
          </cell>
          <cell r="F142" t="str">
            <v>PISO CORSARIO  NEGRO</v>
          </cell>
        </row>
        <row r="143">
          <cell r="B143">
            <v>76682</v>
          </cell>
          <cell r="C143" t="str">
            <v>PT</v>
          </cell>
          <cell r="E143" t="str">
            <v>M</v>
          </cell>
          <cell r="F143" t="str">
            <v>PISO CORSARIO  2093</v>
          </cell>
        </row>
        <row r="144">
          <cell r="B144">
            <v>76683</v>
          </cell>
          <cell r="C144" t="str">
            <v>PT</v>
          </cell>
          <cell r="E144" t="str">
            <v>M</v>
          </cell>
          <cell r="F144" t="str">
            <v>PISO CORSARIO  GRIS PLATA</v>
          </cell>
        </row>
        <row r="145">
          <cell r="B145">
            <v>76822</v>
          </cell>
          <cell r="C145" t="str">
            <v>PT</v>
          </cell>
          <cell r="E145" t="str">
            <v>M</v>
          </cell>
          <cell r="F145" t="str">
            <v>CAPELLADA BOSTON  CHOCOLATE</v>
          </cell>
        </row>
        <row r="146">
          <cell r="B146">
            <v>76823</v>
          </cell>
          <cell r="C146" t="str">
            <v>PT</v>
          </cell>
          <cell r="E146" t="str">
            <v>M</v>
          </cell>
          <cell r="F146" t="str">
            <v>CAPELLADA BOSTON  MIEL</v>
          </cell>
        </row>
        <row r="147">
          <cell r="B147">
            <v>76826</v>
          </cell>
          <cell r="C147" t="str">
            <v>PT</v>
          </cell>
          <cell r="E147" t="str">
            <v>M</v>
          </cell>
          <cell r="F147" t="str">
            <v>CAPELLADA BOSTON  NEGRO</v>
          </cell>
        </row>
        <row r="148">
          <cell r="B148">
            <v>76951</v>
          </cell>
          <cell r="C148" t="str">
            <v>PT</v>
          </cell>
          <cell r="E148" t="str">
            <v>M</v>
          </cell>
          <cell r="F148" t="str">
            <v>VINILCUERO 890 EXPLORER EB-RF  MEDIUM DARK PARCHME</v>
          </cell>
        </row>
        <row r="149">
          <cell r="B149">
            <v>76997</v>
          </cell>
          <cell r="C149" t="str">
            <v>PT</v>
          </cell>
          <cell r="E149" t="str">
            <v>M</v>
          </cell>
          <cell r="F149" t="str">
            <v>ASSIA SUPRA MATE  GRIS</v>
          </cell>
        </row>
        <row r="150">
          <cell r="B150">
            <v>77021</v>
          </cell>
          <cell r="C150" t="str">
            <v>PT</v>
          </cell>
          <cell r="E150" t="str">
            <v>M</v>
          </cell>
          <cell r="F150" t="str">
            <v>CORALINO PLUS P  AZUL CLARO</v>
          </cell>
        </row>
        <row r="151">
          <cell r="B151">
            <v>77042</v>
          </cell>
          <cell r="C151" t="str">
            <v>PT</v>
          </cell>
          <cell r="E151" t="str">
            <v>M</v>
          </cell>
          <cell r="F151" t="str">
            <v>SPORT GLOVE C1.6  MOSTAZA</v>
          </cell>
        </row>
        <row r="152">
          <cell r="B152">
            <v>77043</v>
          </cell>
          <cell r="C152" t="str">
            <v>PT</v>
          </cell>
          <cell r="E152" t="str">
            <v>M</v>
          </cell>
          <cell r="F152" t="str">
            <v>SPORT GLOVE C1.2  MOSTAZA</v>
          </cell>
        </row>
        <row r="153">
          <cell r="B153">
            <v>77044</v>
          </cell>
          <cell r="C153" t="str">
            <v>PT</v>
          </cell>
          <cell r="E153" t="str">
            <v>M</v>
          </cell>
          <cell r="F153" t="str">
            <v>SPORT GLOVE C0.9  MOSTAZA</v>
          </cell>
        </row>
        <row r="154">
          <cell r="B154">
            <v>77050</v>
          </cell>
          <cell r="C154" t="str">
            <v>PT</v>
          </cell>
          <cell r="E154" t="str">
            <v>M</v>
          </cell>
          <cell r="F154" t="str">
            <v>PISO MARS-RF  AZUL</v>
          </cell>
        </row>
        <row r="155">
          <cell r="B155">
            <v>77051</v>
          </cell>
          <cell r="C155" t="str">
            <v>PT</v>
          </cell>
          <cell r="E155" t="str">
            <v>M</v>
          </cell>
          <cell r="F155" t="str">
            <v>PISO MARS BIG-REF GRIS TITAN</v>
          </cell>
        </row>
        <row r="156">
          <cell r="B156">
            <v>77112</v>
          </cell>
          <cell r="C156" t="str">
            <v>PT</v>
          </cell>
          <cell r="E156" t="str">
            <v>M</v>
          </cell>
          <cell r="F156" t="str">
            <v>ANDINO  8351</v>
          </cell>
        </row>
        <row r="157">
          <cell r="B157">
            <v>77113</v>
          </cell>
          <cell r="C157" t="str">
            <v>PT</v>
          </cell>
          <cell r="E157" t="str">
            <v>M</v>
          </cell>
          <cell r="F157" t="str">
            <v>ANDINO  AZUL CLARO</v>
          </cell>
        </row>
        <row r="158">
          <cell r="B158">
            <v>77114</v>
          </cell>
          <cell r="C158" t="str">
            <v>PT</v>
          </cell>
          <cell r="E158" t="str">
            <v>M</v>
          </cell>
          <cell r="F158" t="str">
            <v>ANDINO  GRIS PLATA</v>
          </cell>
        </row>
        <row r="159">
          <cell r="B159">
            <v>77115</v>
          </cell>
          <cell r="C159" t="str">
            <v>PT</v>
          </cell>
          <cell r="E159" t="str">
            <v>M</v>
          </cell>
          <cell r="F159" t="str">
            <v>ANDINO  NEGRO</v>
          </cell>
        </row>
        <row r="160">
          <cell r="B160">
            <v>77116</v>
          </cell>
          <cell r="C160" t="str">
            <v>PT</v>
          </cell>
          <cell r="E160" t="str">
            <v>M</v>
          </cell>
          <cell r="F160" t="str">
            <v>ANDINO  2</v>
          </cell>
        </row>
        <row r="161">
          <cell r="B161">
            <v>77117</v>
          </cell>
          <cell r="C161" t="str">
            <v>PT</v>
          </cell>
          <cell r="E161" t="str">
            <v>M</v>
          </cell>
          <cell r="F161" t="str">
            <v>ANDINO  21241</v>
          </cell>
        </row>
        <row r="162">
          <cell r="B162">
            <v>77118</v>
          </cell>
          <cell r="C162" t="str">
            <v>PT</v>
          </cell>
          <cell r="E162" t="str">
            <v>M</v>
          </cell>
          <cell r="F162" t="str">
            <v>ANDINO  2155</v>
          </cell>
        </row>
        <row r="163">
          <cell r="B163">
            <v>77119</v>
          </cell>
          <cell r="C163" t="str">
            <v>PT</v>
          </cell>
          <cell r="E163" t="str">
            <v>M</v>
          </cell>
          <cell r="F163" t="str">
            <v>ANDINO  392</v>
          </cell>
        </row>
        <row r="164">
          <cell r="B164">
            <v>77120</v>
          </cell>
          <cell r="C164" t="str">
            <v>PT</v>
          </cell>
          <cell r="E164" t="str">
            <v>M</v>
          </cell>
          <cell r="F164" t="str">
            <v>ANDINO  444</v>
          </cell>
        </row>
        <row r="165">
          <cell r="B165">
            <v>77121</v>
          </cell>
          <cell r="C165" t="str">
            <v>PT</v>
          </cell>
          <cell r="E165" t="str">
            <v>M</v>
          </cell>
          <cell r="F165" t="str">
            <v>ANDINO  6043</v>
          </cell>
        </row>
        <row r="166">
          <cell r="B166">
            <v>77122</v>
          </cell>
          <cell r="C166" t="str">
            <v>PT</v>
          </cell>
          <cell r="E166" t="str">
            <v>M</v>
          </cell>
          <cell r="F166" t="str">
            <v>VINILCUERO TRAIL BLAZER-RF  CASHMERE</v>
          </cell>
        </row>
        <row r="167">
          <cell r="B167">
            <v>77193</v>
          </cell>
          <cell r="C167" t="str">
            <v>PT</v>
          </cell>
          <cell r="E167" t="str">
            <v>M</v>
          </cell>
          <cell r="F167" t="str">
            <v>VINILCUERO EVOLUTION PU-RF  NEGRO</v>
          </cell>
        </row>
        <row r="168">
          <cell r="B168">
            <v>77214</v>
          </cell>
          <cell r="C168" t="str">
            <v>PT</v>
          </cell>
          <cell r="E168" t="str">
            <v>M</v>
          </cell>
          <cell r="F168" t="str">
            <v>ANDINO  3346</v>
          </cell>
        </row>
        <row r="169">
          <cell r="B169">
            <v>77219</v>
          </cell>
          <cell r="C169" t="str">
            <v>PT</v>
          </cell>
          <cell r="E169" t="str">
            <v>M</v>
          </cell>
          <cell r="F169" t="str">
            <v>LONA CARIBE  NEGRO</v>
          </cell>
        </row>
        <row r="170">
          <cell r="B170">
            <v>77220</v>
          </cell>
          <cell r="C170" t="str">
            <v>PT</v>
          </cell>
          <cell r="E170" t="str">
            <v>M</v>
          </cell>
          <cell r="F170" t="str">
            <v>LONA CARIBE  AZUL CLARO</v>
          </cell>
        </row>
        <row r="171">
          <cell r="B171">
            <v>77221</v>
          </cell>
          <cell r="C171" t="str">
            <v>PT</v>
          </cell>
          <cell r="E171" t="str">
            <v>M</v>
          </cell>
          <cell r="F171" t="str">
            <v>LONA CARIBE  7243</v>
          </cell>
        </row>
        <row r="172">
          <cell r="B172">
            <v>77222</v>
          </cell>
          <cell r="C172" t="str">
            <v>PT</v>
          </cell>
          <cell r="E172" t="str">
            <v>M</v>
          </cell>
          <cell r="F172" t="str">
            <v>LONA CARIBE  1430</v>
          </cell>
        </row>
        <row r="173">
          <cell r="B173">
            <v>77223</v>
          </cell>
          <cell r="C173" t="str">
            <v>PT</v>
          </cell>
          <cell r="E173" t="str">
            <v>M</v>
          </cell>
          <cell r="F173" t="str">
            <v>LONA CARIBE  AMARILLO</v>
          </cell>
        </row>
        <row r="174">
          <cell r="B174">
            <v>77224</v>
          </cell>
          <cell r="C174" t="str">
            <v>PT</v>
          </cell>
          <cell r="E174" t="str">
            <v>M</v>
          </cell>
          <cell r="F174" t="str">
            <v>LONA CARIBE  3218</v>
          </cell>
        </row>
        <row r="175">
          <cell r="B175">
            <v>77225</v>
          </cell>
          <cell r="C175" t="str">
            <v>PT</v>
          </cell>
          <cell r="E175" t="str">
            <v>M</v>
          </cell>
          <cell r="F175" t="str">
            <v>LONA CARIBE  AZUL OSCURO</v>
          </cell>
        </row>
        <row r="176">
          <cell r="B176">
            <v>77315</v>
          </cell>
          <cell r="C176" t="str">
            <v>PT</v>
          </cell>
          <cell r="E176" t="str">
            <v>M</v>
          </cell>
          <cell r="F176" t="str">
            <v>RAVE  BLACK INK</v>
          </cell>
        </row>
        <row r="177">
          <cell r="B177">
            <v>77340</v>
          </cell>
          <cell r="C177" t="str">
            <v>PT</v>
          </cell>
          <cell r="E177" t="str">
            <v>M</v>
          </cell>
          <cell r="F177" t="str">
            <v>HIGHLANDS.  4063</v>
          </cell>
        </row>
        <row r="178">
          <cell r="B178">
            <v>77405</v>
          </cell>
          <cell r="C178" t="str">
            <v>PT</v>
          </cell>
          <cell r="E178" t="str">
            <v>M</v>
          </cell>
          <cell r="F178" t="str">
            <v>PISO TOYOTA LEVANT-RF#1  GRIS</v>
          </cell>
        </row>
        <row r="179">
          <cell r="B179">
            <v>77466</v>
          </cell>
          <cell r="C179" t="str">
            <v>PT</v>
          </cell>
          <cell r="E179" t="str">
            <v>M</v>
          </cell>
          <cell r="F179" t="str">
            <v>CORALINO PLUS P  NEGRO</v>
          </cell>
        </row>
        <row r="180">
          <cell r="B180">
            <v>77470</v>
          </cell>
          <cell r="C180" t="str">
            <v>PT</v>
          </cell>
          <cell r="E180" t="str">
            <v>M</v>
          </cell>
          <cell r="F180" t="str">
            <v>VINILCUERO GMT 800-RF  VERY DARK</v>
          </cell>
        </row>
        <row r="181">
          <cell r="B181">
            <v>77516</v>
          </cell>
          <cell r="C181" t="str">
            <v>PT</v>
          </cell>
          <cell r="E181" t="str">
            <v>M</v>
          </cell>
          <cell r="F181" t="str">
            <v>CRESTI  ROSADO</v>
          </cell>
        </row>
        <row r="182">
          <cell r="B182">
            <v>77519</v>
          </cell>
          <cell r="C182" t="str">
            <v>PT</v>
          </cell>
          <cell r="E182" t="str">
            <v>M</v>
          </cell>
          <cell r="F182" t="str">
            <v>CRESTI  AZUL CELESTE</v>
          </cell>
        </row>
        <row r="183">
          <cell r="B183">
            <v>77625</v>
          </cell>
          <cell r="C183" t="str">
            <v>PT</v>
          </cell>
          <cell r="E183" t="str">
            <v>M</v>
          </cell>
          <cell r="F183" t="str">
            <v>BD PARASOLES DIAMANTE-RF  BEIGE</v>
          </cell>
        </row>
        <row r="184">
          <cell r="B184">
            <v>77642</v>
          </cell>
          <cell r="C184" t="str">
            <v>PT</v>
          </cell>
          <cell r="E184" t="str">
            <v>M</v>
          </cell>
          <cell r="F184" t="str">
            <v>CORALINO PLUS P  ARENA</v>
          </cell>
        </row>
        <row r="185">
          <cell r="B185">
            <v>77647</v>
          </cell>
          <cell r="C185" t="str">
            <v>PT</v>
          </cell>
          <cell r="E185" t="str">
            <v>M</v>
          </cell>
          <cell r="F185" t="str">
            <v>CORALINO PLUS P  ROSADO</v>
          </cell>
        </row>
        <row r="186">
          <cell r="B186">
            <v>77649</v>
          </cell>
          <cell r="C186" t="str">
            <v>PT</v>
          </cell>
          <cell r="E186" t="str">
            <v>M</v>
          </cell>
          <cell r="F186" t="str">
            <v>CORALINO PLUS P  BLANCO</v>
          </cell>
        </row>
        <row r="187">
          <cell r="B187">
            <v>77651</v>
          </cell>
          <cell r="C187" t="str">
            <v>PT</v>
          </cell>
          <cell r="E187" t="str">
            <v>M</v>
          </cell>
          <cell r="F187" t="str">
            <v>CORALINO PLUS P  AZUL PROFUNDO</v>
          </cell>
        </row>
        <row r="188">
          <cell r="B188">
            <v>77688</v>
          </cell>
          <cell r="C188" t="str">
            <v>PT</v>
          </cell>
          <cell r="E188" t="str">
            <v>M</v>
          </cell>
          <cell r="F188" t="str">
            <v>TRANSLIGHT 500  BLANCO</v>
          </cell>
        </row>
        <row r="189">
          <cell r="B189">
            <v>77863</v>
          </cell>
          <cell r="C189" t="str">
            <v>PT</v>
          </cell>
          <cell r="E189" t="str">
            <v>M</v>
          </cell>
          <cell r="F189" t="str">
            <v>GLACIAR MET-RF  AZUL CLARO</v>
          </cell>
        </row>
        <row r="190">
          <cell r="B190">
            <v>77931</v>
          </cell>
          <cell r="C190" t="str">
            <v>PT</v>
          </cell>
          <cell r="E190" t="str">
            <v>M</v>
          </cell>
          <cell r="F190" t="str">
            <v>VINILCUERO GMT 360-RF  EBONY</v>
          </cell>
        </row>
        <row r="191">
          <cell r="B191">
            <v>78089</v>
          </cell>
          <cell r="C191" t="str">
            <v>PT</v>
          </cell>
          <cell r="E191" t="str">
            <v>M</v>
          </cell>
          <cell r="F191" t="str">
            <v>EXPRES NIAGARA  GRIS</v>
          </cell>
        </row>
        <row r="192">
          <cell r="B192">
            <v>78090</v>
          </cell>
          <cell r="C192" t="str">
            <v>PT</v>
          </cell>
          <cell r="E192" t="str">
            <v>M</v>
          </cell>
          <cell r="F192" t="str">
            <v>EXPRES NIAGARA  AZUL</v>
          </cell>
        </row>
        <row r="193">
          <cell r="B193">
            <v>78092</v>
          </cell>
          <cell r="C193" t="str">
            <v>PT</v>
          </cell>
          <cell r="E193" t="str">
            <v>M</v>
          </cell>
          <cell r="F193" t="str">
            <v>EXPRES TAMESIS  AZUL</v>
          </cell>
        </row>
        <row r="194">
          <cell r="B194">
            <v>78093</v>
          </cell>
          <cell r="C194" t="str">
            <v>PT</v>
          </cell>
          <cell r="E194" t="str">
            <v>M</v>
          </cell>
          <cell r="F194" t="str">
            <v>EXPRES TAMESIS  GRIS</v>
          </cell>
        </row>
        <row r="195">
          <cell r="B195">
            <v>78100</v>
          </cell>
          <cell r="C195" t="str">
            <v>PT</v>
          </cell>
          <cell r="E195" t="str">
            <v>M</v>
          </cell>
          <cell r="F195" t="str">
            <v>CUERO VINIL  BEIGE</v>
          </cell>
        </row>
        <row r="196">
          <cell r="B196">
            <v>78101</v>
          </cell>
          <cell r="C196" t="str">
            <v>PT</v>
          </cell>
          <cell r="E196" t="str">
            <v>M</v>
          </cell>
          <cell r="F196" t="str">
            <v>CUERO VINIL  MOSTAZA</v>
          </cell>
        </row>
        <row r="197">
          <cell r="B197">
            <v>78102</v>
          </cell>
          <cell r="C197" t="str">
            <v>PT</v>
          </cell>
          <cell r="E197" t="str">
            <v>M</v>
          </cell>
          <cell r="F197" t="str">
            <v>CUERO VINIL  CREMA</v>
          </cell>
        </row>
        <row r="198">
          <cell r="B198">
            <v>78103</v>
          </cell>
          <cell r="C198" t="str">
            <v>PT</v>
          </cell>
          <cell r="E198" t="str">
            <v>M</v>
          </cell>
          <cell r="F198" t="str">
            <v>CUERO VINIL  MARRON</v>
          </cell>
        </row>
        <row r="199">
          <cell r="B199">
            <v>78104</v>
          </cell>
          <cell r="C199" t="str">
            <v>PT</v>
          </cell>
          <cell r="E199" t="str">
            <v>M</v>
          </cell>
          <cell r="F199" t="str">
            <v>CUERO VINIL  NEGRO</v>
          </cell>
        </row>
        <row r="200">
          <cell r="B200">
            <v>78121</v>
          </cell>
          <cell r="C200" t="str">
            <v>PT</v>
          </cell>
          <cell r="E200" t="str">
            <v>M</v>
          </cell>
          <cell r="F200" t="str">
            <v>BOSTON SPORT  AZUL</v>
          </cell>
        </row>
        <row r="201">
          <cell r="B201">
            <v>78123</v>
          </cell>
          <cell r="C201" t="str">
            <v>PT</v>
          </cell>
          <cell r="E201" t="str">
            <v>M</v>
          </cell>
          <cell r="F201" t="str">
            <v>BOSTON SPORT  GRIS</v>
          </cell>
        </row>
        <row r="202">
          <cell r="B202">
            <v>78228</v>
          </cell>
          <cell r="C202" t="str">
            <v>PT</v>
          </cell>
          <cell r="E202" t="str">
            <v>M</v>
          </cell>
          <cell r="F202" t="str">
            <v>ALPIV SPORT  GRIS</v>
          </cell>
        </row>
        <row r="203">
          <cell r="B203">
            <v>78229</v>
          </cell>
          <cell r="C203" t="str">
            <v>PT</v>
          </cell>
          <cell r="E203" t="str">
            <v>M</v>
          </cell>
          <cell r="F203" t="str">
            <v>ALPIV SPORT  NEGRO</v>
          </cell>
        </row>
        <row r="204">
          <cell r="B204">
            <v>78230</v>
          </cell>
          <cell r="C204" t="str">
            <v>PT</v>
          </cell>
          <cell r="E204" t="str">
            <v>M</v>
          </cell>
          <cell r="F204" t="str">
            <v>ALPIV SPORT  AZUL</v>
          </cell>
        </row>
        <row r="205">
          <cell r="B205">
            <v>78251</v>
          </cell>
          <cell r="C205" t="str">
            <v>PT</v>
          </cell>
          <cell r="E205" t="str">
            <v>M</v>
          </cell>
          <cell r="F205" t="str">
            <v>PISO RAGAZZO   AZUL</v>
          </cell>
        </row>
        <row r="206">
          <cell r="B206">
            <v>78262</v>
          </cell>
          <cell r="C206" t="str">
            <v>PT</v>
          </cell>
          <cell r="E206" t="str">
            <v>M</v>
          </cell>
          <cell r="F206" t="str">
            <v>FORRO SPORT  MOSTAZA</v>
          </cell>
        </row>
        <row r="207">
          <cell r="B207">
            <v>78263</v>
          </cell>
          <cell r="C207" t="str">
            <v>PT</v>
          </cell>
          <cell r="E207" t="str">
            <v>M</v>
          </cell>
          <cell r="F207" t="str">
            <v>FORRO SPORT  NEGRO</v>
          </cell>
        </row>
        <row r="208">
          <cell r="B208">
            <v>78264</v>
          </cell>
          <cell r="C208" t="str">
            <v>PT</v>
          </cell>
          <cell r="E208" t="str">
            <v>M</v>
          </cell>
          <cell r="F208" t="str">
            <v>FORRO SPORT  GRIS</v>
          </cell>
        </row>
        <row r="209">
          <cell r="B209">
            <v>78265</v>
          </cell>
          <cell r="C209" t="str">
            <v>PT</v>
          </cell>
          <cell r="E209" t="str">
            <v>M</v>
          </cell>
          <cell r="F209" t="str">
            <v>FORRO SPORT  AZUL</v>
          </cell>
        </row>
        <row r="210">
          <cell r="B210">
            <v>78515</v>
          </cell>
          <cell r="C210" t="str">
            <v>PT</v>
          </cell>
          <cell r="E210" t="str">
            <v>Pza</v>
          </cell>
          <cell r="F210" t="str">
            <v>SOLDADURA PISO DE SEGURIDAD  GRIS CLARO</v>
          </cell>
        </row>
        <row r="211">
          <cell r="B211">
            <v>78516</v>
          </cell>
          <cell r="C211" t="str">
            <v>PT</v>
          </cell>
          <cell r="E211" t="str">
            <v>Pza</v>
          </cell>
          <cell r="F211" t="str">
            <v xml:space="preserve">SOLDADURA PISO DE SEGURIDAD  </v>
          </cell>
        </row>
        <row r="212">
          <cell r="B212">
            <v>78517</v>
          </cell>
          <cell r="C212" t="str">
            <v>PT</v>
          </cell>
          <cell r="E212" t="str">
            <v>Pza</v>
          </cell>
          <cell r="F212" t="str">
            <v>SOLDADURA PISO DE SEGURIDAD  AZUL</v>
          </cell>
        </row>
        <row r="213">
          <cell r="B213">
            <v>78606</v>
          </cell>
          <cell r="C213" t="str">
            <v>PT</v>
          </cell>
          <cell r="E213" t="str">
            <v>M</v>
          </cell>
          <cell r="F213" t="str">
            <v>MEDIUM FLINT KODIAK-RF  GRIS</v>
          </cell>
        </row>
        <row r="214">
          <cell r="B214">
            <v>78648</v>
          </cell>
          <cell r="C214" t="str">
            <v>PT</v>
          </cell>
          <cell r="E214" t="str">
            <v>M</v>
          </cell>
          <cell r="F214" t="str">
            <v>TOYOTA PRADO INY VE-RF  8081</v>
          </cell>
        </row>
        <row r="215">
          <cell r="B215">
            <v>78781</v>
          </cell>
          <cell r="C215" t="str">
            <v>PT</v>
          </cell>
          <cell r="E215" t="str">
            <v>Pza</v>
          </cell>
          <cell r="F215" t="str">
            <v>CAJA DE HERRAMIENTA KIT</v>
          </cell>
        </row>
        <row r="216">
          <cell r="B216">
            <v>78795</v>
          </cell>
          <cell r="C216" t="str">
            <v>PT</v>
          </cell>
          <cell r="E216" t="str">
            <v>M</v>
          </cell>
          <cell r="F216" t="str">
            <v>MEDIUM FLINT LW-RF  GRIS</v>
          </cell>
        </row>
        <row r="217">
          <cell r="B217">
            <v>78849</v>
          </cell>
          <cell r="C217" t="str">
            <v>PT</v>
          </cell>
          <cell r="E217" t="str">
            <v>M</v>
          </cell>
          <cell r="F217" t="str">
            <v>VENECIA  NARANJA</v>
          </cell>
        </row>
        <row r="218">
          <cell r="B218">
            <v>78850</v>
          </cell>
          <cell r="C218" t="str">
            <v>PT</v>
          </cell>
          <cell r="E218" t="str">
            <v>M</v>
          </cell>
          <cell r="F218" t="str">
            <v>VENECIA  VERDE</v>
          </cell>
        </row>
        <row r="219">
          <cell r="B219">
            <v>78857</v>
          </cell>
          <cell r="C219" t="str">
            <v>PT</v>
          </cell>
          <cell r="E219" t="str">
            <v>M</v>
          </cell>
          <cell r="F219" t="str">
            <v>TRASANDINO EXP-RF   GRIS</v>
          </cell>
        </row>
        <row r="220">
          <cell r="B220">
            <v>78858</v>
          </cell>
          <cell r="C220" t="str">
            <v>PT</v>
          </cell>
          <cell r="E220" t="str">
            <v>M</v>
          </cell>
          <cell r="F220" t="str">
            <v>VINILEXPORT EXP-RF  GRIS</v>
          </cell>
        </row>
        <row r="221">
          <cell r="B221">
            <v>78923</v>
          </cell>
          <cell r="C221" t="str">
            <v>PT</v>
          </cell>
          <cell r="E221" t="str">
            <v>M</v>
          </cell>
          <cell r="F221" t="str">
            <v>BOSTON SPORT II  AZUL</v>
          </cell>
        </row>
        <row r="222">
          <cell r="B222">
            <v>78924</v>
          </cell>
          <cell r="C222" t="str">
            <v>PT</v>
          </cell>
          <cell r="E222" t="str">
            <v>M</v>
          </cell>
          <cell r="F222" t="str">
            <v>BOSTON SPORT II  GRIS</v>
          </cell>
        </row>
        <row r="223">
          <cell r="B223">
            <v>78925</v>
          </cell>
          <cell r="C223" t="str">
            <v>PT</v>
          </cell>
          <cell r="E223" t="str">
            <v>M</v>
          </cell>
          <cell r="F223" t="str">
            <v>BOSTON SPORT II  MOSTAZA</v>
          </cell>
        </row>
        <row r="224">
          <cell r="B224">
            <v>78972</v>
          </cell>
          <cell r="C224" t="str">
            <v>PT</v>
          </cell>
          <cell r="E224" t="str">
            <v>M</v>
          </cell>
          <cell r="F224" t="str">
            <v>VINILO TIUNA MILITAR  NEGRO</v>
          </cell>
        </row>
        <row r="225">
          <cell r="B225">
            <v>78973</v>
          </cell>
          <cell r="C225" t="str">
            <v>PT</v>
          </cell>
          <cell r="E225" t="str">
            <v>M</v>
          </cell>
          <cell r="F225" t="str">
            <v>VINILO TIUNA MILITAR  BEIGE</v>
          </cell>
        </row>
        <row r="226">
          <cell r="B226">
            <v>79052</v>
          </cell>
          <cell r="C226" t="str">
            <v>PT</v>
          </cell>
          <cell r="E226" t="str">
            <v>M</v>
          </cell>
          <cell r="F226" t="str">
            <v>PISO GALAXIA  GRIS HUMO</v>
          </cell>
        </row>
        <row r="227">
          <cell r="B227">
            <v>79061</v>
          </cell>
          <cell r="C227" t="str">
            <v>PT</v>
          </cell>
          <cell r="E227" t="str">
            <v>M</v>
          </cell>
          <cell r="F227" t="str">
            <v>VENUS BIC  MOSTAZA</v>
          </cell>
        </row>
        <row r="228">
          <cell r="B228">
            <v>79062</v>
          </cell>
          <cell r="C228" t="str">
            <v>PT</v>
          </cell>
          <cell r="E228" t="str">
            <v>M</v>
          </cell>
          <cell r="F228" t="str">
            <v>VENUS BIC  CAFE</v>
          </cell>
        </row>
        <row r="229">
          <cell r="B229">
            <v>79069</v>
          </cell>
          <cell r="C229" t="str">
            <v>PT</v>
          </cell>
          <cell r="E229" t="str">
            <v>M</v>
          </cell>
          <cell r="F229" t="str">
            <v>FORRO SPORT  COGÑAC</v>
          </cell>
        </row>
        <row r="230">
          <cell r="B230">
            <v>79070</v>
          </cell>
          <cell r="C230" t="str">
            <v>PT</v>
          </cell>
          <cell r="E230" t="str">
            <v>M</v>
          </cell>
          <cell r="F230" t="str">
            <v>FORRO SPORT  ROJO</v>
          </cell>
        </row>
        <row r="231">
          <cell r="B231">
            <v>79071</v>
          </cell>
          <cell r="C231" t="str">
            <v>PT</v>
          </cell>
          <cell r="E231" t="str">
            <v>M</v>
          </cell>
          <cell r="F231" t="str">
            <v>BOSTON SPORT II  ROJO</v>
          </cell>
        </row>
        <row r="232">
          <cell r="B232">
            <v>79116</v>
          </cell>
          <cell r="C232" t="str">
            <v>PT</v>
          </cell>
          <cell r="E232" t="str">
            <v>M</v>
          </cell>
          <cell r="F232" t="str">
            <v>MINELLI  CAFE</v>
          </cell>
        </row>
        <row r="233">
          <cell r="B233">
            <v>79178</v>
          </cell>
          <cell r="C233" t="str">
            <v>PT</v>
          </cell>
          <cell r="E233" t="str">
            <v>M</v>
          </cell>
          <cell r="F233" t="str">
            <v>CUERO VINIL  AZUL OSCURO</v>
          </cell>
        </row>
        <row r="234">
          <cell r="B234">
            <v>79179</v>
          </cell>
          <cell r="C234" t="str">
            <v>PT</v>
          </cell>
          <cell r="E234" t="str">
            <v>M</v>
          </cell>
          <cell r="F234" t="str">
            <v>CUERO VINIL  VINO TINTO</v>
          </cell>
        </row>
        <row r="235">
          <cell r="B235">
            <v>79180</v>
          </cell>
          <cell r="C235" t="str">
            <v>PT</v>
          </cell>
          <cell r="E235" t="str">
            <v>M</v>
          </cell>
          <cell r="F235" t="str">
            <v>CUERO VINIL  ARENA</v>
          </cell>
        </row>
        <row r="236">
          <cell r="B236">
            <v>79181</v>
          </cell>
          <cell r="C236" t="str">
            <v>PT</v>
          </cell>
          <cell r="E236" t="str">
            <v>M</v>
          </cell>
          <cell r="F236" t="str">
            <v>CUERO VINIL  VERDE</v>
          </cell>
        </row>
        <row r="237">
          <cell r="B237">
            <v>79182</v>
          </cell>
          <cell r="C237" t="str">
            <v>PT</v>
          </cell>
          <cell r="E237" t="str">
            <v>M</v>
          </cell>
          <cell r="F237" t="str">
            <v>CUERO VINIL  BLANCO</v>
          </cell>
        </row>
        <row r="238">
          <cell r="B238">
            <v>79183</v>
          </cell>
          <cell r="C238" t="str">
            <v>PT</v>
          </cell>
          <cell r="E238" t="str">
            <v>M</v>
          </cell>
          <cell r="F238" t="str">
            <v>CUERO VINIL  GRIS</v>
          </cell>
        </row>
        <row r="239">
          <cell r="B239">
            <v>79205</v>
          </cell>
          <cell r="C239" t="str">
            <v>PT</v>
          </cell>
          <cell r="E239" t="str">
            <v>M</v>
          </cell>
          <cell r="F239" t="str">
            <v>BOSTON SPORT II  COGNAC</v>
          </cell>
        </row>
        <row r="240">
          <cell r="B240">
            <v>79255</v>
          </cell>
          <cell r="C240" t="str">
            <v>PT</v>
          </cell>
          <cell r="E240" t="str">
            <v>M</v>
          </cell>
          <cell r="F240" t="str">
            <v>GEM UV EXP  ROJO</v>
          </cell>
        </row>
        <row r="241">
          <cell r="B241">
            <v>79256</v>
          </cell>
          <cell r="C241" t="str">
            <v>PT</v>
          </cell>
          <cell r="E241" t="str">
            <v>M</v>
          </cell>
          <cell r="F241" t="str">
            <v>BOWLING PERFECTION MET TT  AZUL OSCURO</v>
          </cell>
        </row>
        <row r="242">
          <cell r="B242">
            <v>79257</v>
          </cell>
          <cell r="C242" t="str">
            <v>PT</v>
          </cell>
          <cell r="E242" t="str">
            <v>M</v>
          </cell>
          <cell r="F242" t="str">
            <v>BOWLING PERFECTION MET TT  GRIS PLATA</v>
          </cell>
        </row>
        <row r="243">
          <cell r="B243">
            <v>79258</v>
          </cell>
          <cell r="C243" t="str">
            <v>PT</v>
          </cell>
          <cell r="E243" t="str">
            <v>M</v>
          </cell>
          <cell r="F243" t="str">
            <v>BOWLING PERFECTION TT  ROJO</v>
          </cell>
        </row>
        <row r="244">
          <cell r="B244">
            <v>79373</v>
          </cell>
          <cell r="C244" t="str">
            <v>PT</v>
          </cell>
          <cell r="E244" t="str">
            <v>M</v>
          </cell>
          <cell r="F244" t="str">
            <v>VINILCUERO CHEROKEE-RF GRIS CLARO</v>
          </cell>
        </row>
        <row r="245">
          <cell r="B245">
            <v>79392</v>
          </cell>
          <cell r="C245" t="str">
            <v>PT</v>
          </cell>
          <cell r="E245" t="str">
            <v>M</v>
          </cell>
          <cell r="F245" t="str">
            <v>EXPRES ANDINO-RF  VERDE</v>
          </cell>
        </row>
        <row r="246">
          <cell r="B246">
            <v>79393</v>
          </cell>
          <cell r="C246" t="str">
            <v>PT</v>
          </cell>
          <cell r="E246" t="str">
            <v>M</v>
          </cell>
          <cell r="F246" t="str">
            <v>EXPRES ANDINO-RF  NARANJA</v>
          </cell>
        </row>
        <row r="247">
          <cell r="B247">
            <v>79402</v>
          </cell>
          <cell r="C247" t="str">
            <v>PT</v>
          </cell>
          <cell r="E247" t="str">
            <v>M</v>
          </cell>
          <cell r="F247" t="str">
            <v>MINELLI  BLANCO</v>
          </cell>
        </row>
        <row r="248">
          <cell r="B248">
            <v>79407</v>
          </cell>
          <cell r="C248" t="str">
            <v>PT</v>
          </cell>
          <cell r="E248" t="str">
            <v>M</v>
          </cell>
          <cell r="F248" t="str">
            <v>CROCO  CAFE</v>
          </cell>
        </row>
        <row r="249">
          <cell r="B249">
            <v>79408</v>
          </cell>
          <cell r="C249" t="str">
            <v>PT</v>
          </cell>
          <cell r="E249" t="str">
            <v>M</v>
          </cell>
          <cell r="F249" t="str">
            <v>CROCO  BEIGE</v>
          </cell>
        </row>
        <row r="250">
          <cell r="B250">
            <v>79409</v>
          </cell>
          <cell r="C250" t="str">
            <v>PT</v>
          </cell>
          <cell r="E250" t="str">
            <v>M</v>
          </cell>
          <cell r="F250" t="str">
            <v>CROCO  COCOA</v>
          </cell>
        </row>
        <row r="251">
          <cell r="B251">
            <v>79434</v>
          </cell>
          <cell r="C251" t="str">
            <v>PT</v>
          </cell>
          <cell r="E251" t="str">
            <v>M</v>
          </cell>
          <cell r="F251" t="str">
            <v>EXPRES SILVERTEX  NARANJA</v>
          </cell>
        </row>
        <row r="252">
          <cell r="B252">
            <v>79435</v>
          </cell>
          <cell r="C252" t="str">
            <v>PT</v>
          </cell>
          <cell r="E252" t="str">
            <v>M</v>
          </cell>
          <cell r="F252" t="str">
            <v>EXPRES SILVERTEX   VERDE</v>
          </cell>
        </row>
        <row r="253">
          <cell r="B253">
            <v>79453</v>
          </cell>
          <cell r="C253" t="str">
            <v>PT</v>
          </cell>
          <cell r="E253" t="str">
            <v>M</v>
          </cell>
          <cell r="F253" t="str">
            <v>OTONO  ARCE</v>
          </cell>
        </row>
        <row r="254">
          <cell r="B254">
            <v>79454</v>
          </cell>
          <cell r="C254" t="str">
            <v>PT</v>
          </cell>
          <cell r="E254" t="str">
            <v>M</v>
          </cell>
          <cell r="F254" t="str">
            <v>OTONO  GRANADINO</v>
          </cell>
        </row>
        <row r="255">
          <cell r="B255">
            <v>79455</v>
          </cell>
          <cell r="C255" t="str">
            <v>PT</v>
          </cell>
          <cell r="E255" t="str">
            <v>M</v>
          </cell>
          <cell r="F255" t="str">
            <v>OTONO  HAYA</v>
          </cell>
        </row>
        <row r="256">
          <cell r="B256">
            <v>79458</v>
          </cell>
          <cell r="C256" t="str">
            <v>PT</v>
          </cell>
          <cell r="E256" t="str">
            <v>M</v>
          </cell>
          <cell r="F256" t="str">
            <v>TAPIZ.  AZUL REY</v>
          </cell>
        </row>
        <row r="257">
          <cell r="B257">
            <v>79464</v>
          </cell>
          <cell r="C257" t="str">
            <v>PT</v>
          </cell>
          <cell r="E257" t="str">
            <v>M</v>
          </cell>
          <cell r="F257" t="str">
            <v>TAPIZ  VERDE VINA</v>
          </cell>
        </row>
        <row r="258">
          <cell r="B258">
            <v>79465</v>
          </cell>
          <cell r="C258" t="str">
            <v>PT</v>
          </cell>
          <cell r="E258" t="str">
            <v>M</v>
          </cell>
          <cell r="F258" t="str">
            <v>HIGHLANDS.  AMARILLO</v>
          </cell>
        </row>
        <row r="259">
          <cell r="B259">
            <v>79466</v>
          </cell>
          <cell r="C259" t="str">
            <v>PT</v>
          </cell>
          <cell r="E259" t="str">
            <v>M</v>
          </cell>
          <cell r="F259" t="str">
            <v>HIGHLANDS.  AZUL OSCURO</v>
          </cell>
        </row>
        <row r="260">
          <cell r="B260">
            <v>79467</v>
          </cell>
          <cell r="C260" t="str">
            <v>PT</v>
          </cell>
          <cell r="E260" t="str">
            <v>M</v>
          </cell>
          <cell r="F260" t="str">
            <v>HIGHLANDS.  CREMA</v>
          </cell>
        </row>
        <row r="261">
          <cell r="B261">
            <v>79468</v>
          </cell>
          <cell r="C261" t="str">
            <v>PT</v>
          </cell>
          <cell r="E261" t="str">
            <v>M</v>
          </cell>
          <cell r="F261" t="str">
            <v>HIGHLANDS.  GRIS CLARO</v>
          </cell>
        </row>
        <row r="262">
          <cell r="B262">
            <v>79469</v>
          </cell>
          <cell r="C262" t="str">
            <v>PT</v>
          </cell>
          <cell r="E262" t="str">
            <v>M</v>
          </cell>
          <cell r="F262" t="str">
            <v>HIGHLANDS.  GRIS OSCURO</v>
          </cell>
        </row>
        <row r="263">
          <cell r="B263">
            <v>79470</v>
          </cell>
          <cell r="C263" t="str">
            <v>PT</v>
          </cell>
          <cell r="E263" t="str">
            <v>M</v>
          </cell>
          <cell r="F263" t="str">
            <v>HIGHLANDS.  ROJO</v>
          </cell>
        </row>
        <row r="264">
          <cell r="B264">
            <v>79471</v>
          </cell>
          <cell r="C264" t="str">
            <v>PT</v>
          </cell>
          <cell r="E264" t="str">
            <v>M</v>
          </cell>
          <cell r="F264" t="str">
            <v>HIGHLANDS.  VERDE</v>
          </cell>
        </row>
        <row r="265">
          <cell r="B265">
            <v>79504</v>
          </cell>
          <cell r="C265" t="str">
            <v>PT</v>
          </cell>
          <cell r="E265" t="str">
            <v>M</v>
          </cell>
          <cell r="F265" t="str">
            <v>PRANNA.  AZUL OSCURO</v>
          </cell>
        </row>
        <row r="266">
          <cell r="B266">
            <v>79505</v>
          </cell>
          <cell r="C266" t="str">
            <v>PT</v>
          </cell>
          <cell r="E266" t="str">
            <v>M</v>
          </cell>
          <cell r="F266" t="str">
            <v>PRANNA.  ROJO</v>
          </cell>
        </row>
        <row r="267">
          <cell r="B267">
            <v>79524</v>
          </cell>
          <cell r="C267" t="str">
            <v>PT</v>
          </cell>
          <cell r="E267" t="str">
            <v>M</v>
          </cell>
          <cell r="F267" t="str">
            <v>LONA DILUSSO PANORAMA  BEIGE</v>
          </cell>
        </row>
        <row r="268">
          <cell r="B268">
            <v>79569</v>
          </cell>
          <cell r="C268" t="str">
            <v>PT</v>
          </cell>
          <cell r="E268" t="str">
            <v>M</v>
          </cell>
          <cell r="F268" t="str">
            <v>LONA GEO  NEGRO</v>
          </cell>
        </row>
        <row r="269">
          <cell r="B269">
            <v>79601</v>
          </cell>
          <cell r="C269" t="str">
            <v>PT</v>
          </cell>
          <cell r="E269" t="str">
            <v>M</v>
          </cell>
          <cell r="F269" t="str">
            <v>VINILCUERO ESDRAS RF  BEIGE</v>
          </cell>
        </row>
        <row r="270">
          <cell r="B270">
            <v>79602</v>
          </cell>
          <cell r="C270" t="str">
            <v>PT</v>
          </cell>
          <cell r="E270" t="str">
            <v>M</v>
          </cell>
          <cell r="F270" t="str">
            <v>VINILCUERO ESDRAS RF  GRIS</v>
          </cell>
        </row>
        <row r="271">
          <cell r="B271">
            <v>79603</v>
          </cell>
          <cell r="C271" t="str">
            <v>PT</v>
          </cell>
          <cell r="E271" t="str">
            <v>M</v>
          </cell>
          <cell r="F271" t="str">
            <v>VINILCUERO ESDRAS RF  GRIS ACERO</v>
          </cell>
        </row>
        <row r="272">
          <cell r="B272">
            <v>79604</v>
          </cell>
          <cell r="C272" t="str">
            <v>PT</v>
          </cell>
          <cell r="E272" t="str">
            <v>M</v>
          </cell>
          <cell r="F272" t="str">
            <v>VINILCUERO ESDRAS RF  GRIS GRAPHITO</v>
          </cell>
        </row>
        <row r="273">
          <cell r="B273">
            <v>79605</v>
          </cell>
          <cell r="C273" t="str">
            <v>PT</v>
          </cell>
          <cell r="E273" t="str">
            <v>M</v>
          </cell>
          <cell r="F273" t="str">
            <v>VINILCUERO ESDRAS RF   GRIS CLARO</v>
          </cell>
        </row>
        <row r="274">
          <cell r="B274">
            <v>79606</v>
          </cell>
          <cell r="C274" t="str">
            <v>PT</v>
          </cell>
          <cell r="E274" t="str">
            <v>M</v>
          </cell>
          <cell r="F274" t="str">
            <v>VINILCUERO ESDRAS RF  MARRON</v>
          </cell>
        </row>
        <row r="275">
          <cell r="B275">
            <v>79615</v>
          </cell>
          <cell r="C275" t="str">
            <v>PT</v>
          </cell>
          <cell r="E275" t="str">
            <v>M</v>
          </cell>
          <cell r="F275" t="str">
            <v>TECHO BELL-RF  AZUL ACERO</v>
          </cell>
        </row>
        <row r="276">
          <cell r="B276">
            <v>79616</v>
          </cell>
          <cell r="C276" t="str">
            <v>PT</v>
          </cell>
          <cell r="E276" t="str">
            <v>M</v>
          </cell>
          <cell r="F276" t="str">
            <v>TECHO BELL-RF  NEGRO</v>
          </cell>
        </row>
        <row r="277">
          <cell r="B277">
            <v>79617</v>
          </cell>
          <cell r="C277" t="str">
            <v>PT</v>
          </cell>
          <cell r="E277" t="str">
            <v>M</v>
          </cell>
          <cell r="F277" t="str">
            <v>TECHO BELL-RF  BEIGE</v>
          </cell>
        </row>
        <row r="278">
          <cell r="B278">
            <v>79618</v>
          </cell>
          <cell r="C278" t="str">
            <v>PT</v>
          </cell>
          <cell r="E278" t="str">
            <v>M</v>
          </cell>
          <cell r="F278" t="str">
            <v>TECHO BELL-RF  GRIS</v>
          </cell>
        </row>
        <row r="279">
          <cell r="B279">
            <v>79619</v>
          </cell>
          <cell r="C279" t="str">
            <v>PT</v>
          </cell>
          <cell r="E279" t="str">
            <v>M</v>
          </cell>
          <cell r="F279" t="str">
            <v>TECHO BELL-RF  VINOTINTO</v>
          </cell>
        </row>
        <row r="280">
          <cell r="B280">
            <v>79620</v>
          </cell>
          <cell r="C280" t="str">
            <v>PT</v>
          </cell>
          <cell r="E280" t="str">
            <v>M</v>
          </cell>
          <cell r="F280" t="str">
            <v>TECHO BELL-RF  CAFE</v>
          </cell>
        </row>
        <row r="281">
          <cell r="B281">
            <v>79692</v>
          </cell>
          <cell r="C281" t="str">
            <v>PT</v>
          </cell>
          <cell r="E281" t="str">
            <v>M</v>
          </cell>
          <cell r="F281" t="str">
            <v>LONA DILUSSO PANORAMA  BEIGE TT</v>
          </cell>
        </row>
        <row r="282">
          <cell r="B282">
            <v>79840</v>
          </cell>
          <cell r="C282" t="str">
            <v>PT</v>
          </cell>
          <cell r="E282" t="str">
            <v>M</v>
          </cell>
          <cell r="F282" t="str">
            <v>CUERO VINIL  GRIS CLARO</v>
          </cell>
        </row>
        <row r="283">
          <cell r="B283">
            <v>80085</v>
          </cell>
          <cell r="C283" t="str">
            <v>PT</v>
          </cell>
          <cell r="E283" t="str">
            <v>M</v>
          </cell>
          <cell r="F283" t="str">
            <v>BALON VOLLEYBALL II  BLANCO</v>
          </cell>
        </row>
        <row r="284">
          <cell r="B284">
            <v>80086</v>
          </cell>
          <cell r="C284" t="str">
            <v>PT</v>
          </cell>
          <cell r="E284" t="str">
            <v>M</v>
          </cell>
          <cell r="F284" t="str">
            <v>BALON VOLLEYBALL II  AZUL</v>
          </cell>
        </row>
        <row r="285">
          <cell r="B285">
            <v>80087</v>
          </cell>
          <cell r="C285" t="str">
            <v>PT</v>
          </cell>
          <cell r="E285" t="str">
            <v>M</v>
          </cell>
          <cell r="F285" t="str">
            <v>BALON VOLLEYBALL II  AMARILLO</v>
          </cell>
        </row>
        <row r="286">
          <cell r="B286">
            <v>80140</v>
          </cell>
          <cell r="C286" t="str">
            <v>PT</v>
          </cell>
          <cell r="E286" t="str">
            <v>M</v>
          </cell>
          <cell r="F286" t="str">
            <v>GEM UV EXP  NEGRO</v>
          </cell>
        </row>
        <row r="287">
          <cell r="B287">
            <v>80190</v>
          </cell>
          <cell r="C287" t="str">
            <v>PT</v>
          </cell>
          <cell r="E287" t="str">
            <v>M</v>
          </cell>
          <cell r="F287" t="str">
            <v>ASSIA SUPRA RF  GRIS AZUL</v>
          </cell>
        </row>
        <row r="288">
          <cell r="B288">
            <v>80257</v>
          </cell>
          <cell r="C288" t="str">
            <v>PT</v>
          </cell>
          <cell r="E288" t="str">
            <v>M</v>
          </cell>
          <cell r="F288" t="str">
            <v>VENECIA  ROJO CEREZA</v>
          </cell>
        </row>
        <row r="289">
          <cell r="B289">
            <v>80439</v>
          </cell>
          <cell r="C289" t="str">
            <v>PT</v>
          </cell>
          <cell r="E289" t="str">
            <v>M</v>
          </cell>
          <cell r="F289" t="str">
            <v>EXPRES TANGRAN  AZUL</v>
          </cell>
        </row>
        <row r="290">
          <cell r="B290">
            <v>80441</v>
          </cell>
          <cell r="C290" t="str">
            <v>PT</v>
          </cell>
          <cell r="E290" t="str">
            <v>M</v>
          </cell>
          <cell r="F290" t="str">
            <v>EXPRES CANCUN  GRIS</v>
          </cell>
        </row>
        <row r="291">
          <cell r="B291">
            <v>113310</v>
          </cell>
          <cell r="C291" t="str">
            <v>PT</v>
          </cell>
          <cell r="E291" t="str">
            <v>Pza</v>
          </cell>
          <cell r="F291" t="str">
            <v>SOLDADOR DE AIRE CALIENTE CON BOQUILLA</v>
          </cell>
        </row>
        <row r="292">
          <cell r="B292">
            <v>113311</v>
          </cell>
          <cell r="C292" t="str">
            <v>PT</v>
          </cell>
          <cell r="E292" t="str">
            <v>Pza</v>
          </cell>
          <cell r="F292" t="str">
            <v>BOQUILLA PARA CORDON DE PVC DE 5</v>
          </cell>
        </row>
        <row r="293">
          <cell r="B293">
            <v>113312</v>
          </cell>
          <cell r="C293" t="str">
            <v>PT</v>
          </cell>
          <cell r="E293" t="str">
            <v>Pza</v>
          </cell>
          <cell r="F293" t="str">
            <v>PORTA CUCHILLAS DE ACABADO</v>
          </cell>
        </row>
        <row r="294">
          <cell r="B294">
            <v>113313</v>
          </cell>
          <cell r="C294" t="str">
            <v>PT</v>
          </cell>
          <cell r="E294" t="str">
            <v>Pza</v>
          </cell>
          <cell r="F294" t="str">
            <v>SET DE CUCHILLAS DE ACABADO</v>
          </cell>
        </row>
        <row r="295">
          <cell r="B295">
            <v>113314</v>
          </cell>
          <cell r="C295" t="str">
            <v>PT</v>
          </cell>
          <cell r="E295" t="str">
            <v>Pza</v>
          </cell>
          <cell r="F295" t="str">
            <v>CUCHILLA DE ACABADO PARA PISOS CON GRABADO</v>
          </cell>
        </row>
        <row r="296">
          <cell r="B296">
            <v>113315</v>
          </cell>
          <cell r="C296" t="str">
            <v>PT</v>
          </cell>
          <cell r="E296" t="str">
            <v>Pza</v>
          </cell>
          <cell r="F296" t="str">
            <v>CUCHILLA TIPO ESPATULA PARA ACABADO</v>
          </cell>
        </row>
        <row r="297">
          <cell r="B297">
            <v>113316</v>
          </cell>
          <cell r="C297" t="str">
            <v>PT</v>
          </cell>
          <cell r="E297" t="str">
            <v>Pza</v>
          </cell>
          <cell r="F297" t="str">
            <v>RANURADOR MANUAL PARA PISO ANTIDESLIZANTE</v>
          </cell>
        </row>
        <row r="298">
          <cell r="B298">
            <v>113317</v>
          </cell>
          <cell r="C298" t="str">
            <v>PT</v>
          </cell>
          <cell r="E298" t="str">
            <v>Pza</v>
          </cell>
          <cell r="F298" t="str">
            <v>RANURADOR MANUAL CON MANGO CURVO</v>
          </cell>
        </row>
        <row r="299">
          <cell r="B299">
            <v>113318</v>
          </cell>
          <cell r="C299" t="str">
            <v>PT</v>
          </cell>
          <cell r="E299" t="str">
            <v>Pza</v>
          </cell>
          <cell r="F299" t="str">
            <v>RANURADOR MANUAL CON MANGO RECTO</v>
          </cell>
        </row>
        <row r="300">
          <cell r="B300">
            <v>113319</v>
          </cell>
          <cell r="C300" t="str">
            <v>PT</v>
          </cell>
          <cell r="E300" t="str">
            <v>Pza</v>
          </cell>
          <cell r="F300" t="str">
            <v>PAQUETE DE 10 CUCHILLAS PARA RANURADOR</v>
          </cell>
        </row>
        <row r="301">
          <cell r="B301">
            <v>113320</v>
          </cell>
          <cell r="C301" t="str">
            <v>PT</v>
          </cell>
          <cell r="E301" t="str">
            <v>Pza</v>
          </cell>
          <cell r="F301" t="str">
            <v>BOQUILLA PARA TERMINADO DE 1/4IN</v>
          </cell>
        </row>
        <row r="302">
          <cell r="B302">
            <v>113321</v>
          </cell>
          <cell r="C302" t="str">
            <v>PT</v>
          </cell>
          <cell r="E302" t="str">
            <v>Pza</v>
          </cell>
          <cell r="F302" t="str">
            <v>BOQUILLA PARA TERMINADO DE 3/8IN</v>
          </cell>
        </row>
        <row r="303">
          <cell r="B303">
            <v>113322</v>
          </cell>
          <cell r="C303" t="str">
            <v>PT</v>
          </cell>
          <cell r="E303" t="str">
            <v>Pza</v>
          </cell>
          <cell r="F303" t="str">
            <v>PORTA CUCHILLAS</v>
          </cell>
        </row>
        <row r="304">
          <cell r="B304">
            <v>113323</v>
          </cell>
          <cell r="C304" t="str">
            <v>PT</v>
          </cell>
          <cell r="E304" t="str">
            <v>Pza</v>
          </cell>
          <cell r="F304" t="str">
            <v>PAQUETE DE 100 CUCHILLAS RECTAS</v>
          </cell>
        </row>
        <row r="305">
          <cell r="B305">
            <v>113324</v>
          </cell>
          <cell r="C305" t="str">
            <v>PT</v>
          </cell>
          <cell r="E305" t="str">
            <v>Pza</v>
          </cell>
          <cell r="F305" t="str">
            <v>PAQUETE DE 10 CUCHILLAS CON PUNTA DE GANCHO</v>
          </cell>
        </row>
        <row r="306">
          <cell r="B306">
            <v>113325</v>
          </cell>
          <cell r="C306" t="str">
            <v>PT</v>
          </cell>
          <cell r="E306" t="str">
            <v>Pza</v>
          </cell>
          <cell r="F306" t="str">
            <v>AFILADOR DE CUCHILLAS</v>
          </cell>
        </row>
        <row r="307">
          <cell r="B307">
            <v>113326</v>
          </cell>
          <cell r="C307" t="str">
            <v>PT</v>
          </cell>
          <cell r="E307" t="str">
            <v>Pza</v>
          </cell>
          <cell r="F307" t="str">
            <v>RANURADOR CON RUEDAS</v>
          </cell>
        </row>
        <row r="308">
          <cell r="B308">
            <v>113327</v>
          </cell>
          <cell r="C308" t="str">
            <v>PT</v>
          </cell>
          <cell r="E308" t="str">
            <v>Pza</v>
          </cell>
          <cell r="F308" t="str">
            <v>LAMINA DE METAL PARA ACABADO</v>
          </cell>
        </row>
        <row r="309">
          <cell r="B309" t="str">
            <v>78251-1</v>
          </cell>
          <cell r="C309" t="str">
            <v>PT</v>
          </cell>
          <cell r="E309" t="str">
            <v>M</v>
          </cell>
          <cell r="F309" t="str">
            <v>PISO RAGAZZO 40-RF AZUL</v>
          </cell>
        </row>
        <row r="310">
          <cell r="B310" t="str">
            <v>78251-2</v>
          </cell>
          <cell r="C310" t="str">
            <v>PT</v>
          </cell>
          <cell r="E310" t="str">
            <v>M</v>
          </cell>
          <cell r="F310" t="str">
            <v>PISO RAGAZZO 60-RF AZUL</v>
          </cell>
        </row>
        <row r="311">
          <cell r="B311" t="str">
            <v>78251-3</v>
          </cell>
          <cell r="C311" t="str">
            <v>PT</v>
          </cell>
          <cell r="E311" t="str">
            <v>M</v>
          </cell>
          <cell r="F311" t="str">
            <v>PISO RAGAZZO 120-RF  AZUL</v>
          </cell>
        </row>
        <row r="312">
          <cell r="B312" t="str">
            <v>78251-4</v>
          </cell>
          <cell r="C312" t="str">
            <v>PT</v>
          </cell>
          <cell r="E312" t="str">
            <v>M</v>
          </cell>
          <cell r="F312" t="str">
            <v>PISO RAGAZZO 140-RF  AZUL</v>
          </cell>
        </row>
        <row r="313">
          <cell r="B313">
            <v>80516</v>
          </cell>
          <cell r="C313" t="str">
            <v>PT</v>
          </cell>
          <cell r="E313" t="str">
            <v>M</v>
          </cell>
          <cell r="F313" t="str">
            <v>PISO MARS BIG-REF GRIS TITAN</v>
          </cell>
        </row>
        <row r="314">
          <cell r="B314">
            <v>77628</v>
          </cell>
          <cell r="C314" t="str">
            <v>PT</v>
          </cell>
          <cell r="E314" t="str">
            <v>M</v>
          </cell>
          <cell r="F314" t="str">
            <v>PISO IMPACTO POL-RF 9325</v>
          </cell>
        </row>
        <row r="315">
          <cell r="B315" t="str">
            <v>F</v>
          </cell>
          <cell r="C315" t="str">
            <v>O</v>
          </cell>
          <cell r="E315" t="str">
            <v>O</v>
          </cell>
          <cell r="F315" t="str">
            <v>Flete</v>
          </cell>
        </row>
        <row r="316">
          <cell r="B316" t="str">
            <v>P</v>
          </cell>
          <cell r="C316" t="str">
            <v>O</v>
          </cell>
          <cell r="E316" t="str">
            <v>O</v>
          </cell>
          <cell r="F316" t="str">
            <v>Penalidad</v>
          </cell>
        </row>
        <row r="317">
          <cell r="B317" t="str">
            <v>R</v>
          </cell>
          <cell r="C317" t="str">
            <v>O</v>
          </cell>
          <cell r="E317" t="str">
            <v>O</v>
          </cell>
          <cell r="F317" t="str">
            <v>Repuestos</v>
          </cell>
        </row>
        <row r="320">
          <cell r="B320" t="str">
            <v>CLIENTES-FACTURAS</v>
          </cell>
        </row>
        <row r="321">
          <cell r="B321" t="str">
            <v>0</v>
          </cell>
          <cell r="F321" t="str">
            <v>Anulada</v>
          </cell>
        </row>
        <row r="322">
          <cell r="B322" t="str">
            <v>001</v>
          </cell>
          <cell r="F322" t="str">
            <v>Sistemas Modulares 6368, C.A.</v>
          </cell>
        </row>
        <row r="323">
          <cell r="B323" t="str">
            <v>002</v>
          </cell>
          <cell r="F323" t="str">
            <v>Inversiones V.V. Studio, C.A.</v>
          </cell>
        </row>
        <row r="324">
          <cell r="B324" t="str">
            <v>003</v>
          </cell>
          <cell r="F324" t="str">
            <v>Distribuidora Danubio, C..A.</v>
          </cell>
        </row>
        <row r="325">
          <cell r="B325" t="str">
            <v>004</v>
          </cell>
          <cell r="F325" t="str">
            <v>Viplart, C.A.</v>
          </cell>
        </row>
        <row r="326">
          <cell r="B326" t="str">
            <v>005</v>
          </cell>
          <cell r="F326" t="str">
            <v>Ensamblaje de Carrocerias Valencia, C.A.</v>
          </cell>
        </row>
        <row r="327">
          <cell r="B327" t="str">
            <v>006</v>
          </cell>
          <cell r="F327" t="str">
            <v>Carrocerias Andinas, C.A.</v>
          </cell>
        </row>
        <row r="328">
          <cell r="B328" t="str">
            <v>007</v>
          </cell>
          <cell r="F328" t="str">
            <v>Carrocerias Ureña, C.A.</v>
          </cell>
        </row>
        <row r="329">
          <cell r="B329" t="str">
            <v>008</v>
          </cell>
          <cell r="F329" t="str">
            <v>Depanel de Venezuela, C.A.</v>
          </cell>
        </row>
        <row r="330">
          <cell r="B330" t="str">
            <v>009</v>
          </cell>
          <cell r="F330" t="str">
            <v>Industrias Cosmo Partes, S.A.</v>
          </cell>
        </row>
        <row r="331">
          <cell r="B331" t="str">
            <v>010</v>
          </cell>
          <cell r="F331" t="str">
            <v>Interanacional Carrocera, c.a.</v>
          </cell>
        </row>
        <row r="332">
          <cell r="B332" t="str">
            <v>011</v>
          </cell>
          <cell r="F332" t="str">
            <v>Fabrica Nacional de Autobuses FANABUS, S.A.</v>
          </cell>
        </row>
        <row r="333">
          <cell r="B333" t="str">
            <v>012</v>
          </cell>
        </row>
        <row r="334">
          <cell r="B334" t="str">
            <v>013</v>
          </cell>
        </row>
        <row r="335">
          <cell r="B335" t="str">
            <v>014</v>
          </cell>
        </row>
        <row r="336">
          <cell r="B336" t="str">
            <v>015</v>
          </cell>
        </row>
        <row r="337">
          <cell r="B337" t="str">
            <v>016</v>
          </cell>
        </row>
        <row r="338">
          <cell r="B338" t="str">
            <v>017</v>
          </cell>
        </row>
        <row r="339">
          <cell r="B339" t="str">
            <v>018</v>
          </cell>
        </row>
        <row r="340">
          <cell r="B340" t="str">
            <v>019</v>
          </cell>
        </row>
        <row r="341">
          <cell r="B341" t="str">
            <v>020</v>
          </cell>
        </row>
        <row r="342">
          <cell r="B342" t="str">
            <v>021</v>
          </cell>
        </row>
        <row r="343">
          <cell r="B343" t="str">
            <v>022</v>
          </cell>
        </row>
        <row r="344">
          <cell r="B344" t="str">
            <v>023</v>
          </cell>
        </row>
        <row r="345">
          <cell r="B345" t="str">
            <v>024</v>
          </cell>
        </row>
        <row r="346">
          <cell r="B346" t="str">
            <v>025</v>
          </cell>
        </row>
        <row r="347">
          <cell r="B347" t="str">
            <v>026</v>
          </cell>
        </row>
        <row r="348">
          <cell r="B348" t="str">
            <v>027</v>
          </cell>
        </row>
        <row r="349">
          <cell r="B349" t="str">
            <v>028</v>
          </cell>
        </row>
        <row r="350">
          <cell r="B350" t="str">
            <v>029</v>
          </cell>
        </row>
        <row r="351">
          <cell r="B351" t="str">
            <v>030</v>
          </cell>
        </row>
        <row r="352">
          <cell r="B352" t="str">
            <v>031</v>
          </cell>
        </row>
        <row r="353">
          <cell r="B353" t="str">
            <v>032</v>
          </cell>
        </row>
        <row r="354">
          <cell r="B354" t="str">
            <v>033</v>
          </cell>
        </row>
        <row r="355">
          <cell r="B355" t="str">
            <v>034</v>
          </cell>
        </row>
        <row r="356">
          <cell r="B356" t="str">
            <v>035</v>
          </cell>
        </row>
        <row r="357">
          <cell r="B357" t="str">
            <v>036</v>
          </cell>
        </row>
        <row r="358">
          <cell r="B358" t="str">
            <v>037</v>
          </cell>
        </row>
        <row r="359">
          <cell r="B359" t="str">
            <v>038</v>
          </cell>
        </row>
        <row r="360">
          <cell r="B360" t="str">
            <v>039</v>
          </cell>
        </row>
        <row r="361">
          <cell r="B361" t="str">
            <v>040</v>
          </cell>
        </row>
        <row r="362">
          <cell r="B362" t="str">
            <v>041</v>
          </cell>
        </row>
        <row r="363">
          <cell r="B363" t="str">
            <v>042</v>
          </cell>
        </row>
        <row r="364">
          <cell r="B364" t="str">
            <v>043</v>
          </cell>
        </row>
        <row r="365">
          <cell r="B365" t="str">
            <v>044</v>
          </cell>
        </row>
        <row r="366">
          <cell r="B366" t="str">
            <v>045</v>
          </cell>
        </row>
        <row r="367">
          <cell r="B367" t="str">
            <v>046</v>
          </cell>
        </row>
        <row r="368">
          <cell r="B368" t="str">
            <v>047</v>
          </cell>
        </row>
        <row r="369">
          <cell r="B369" t="str">
            <v>048</v>
          </cell>
        </row>
        <row r="370">
          <cell r="B370" t="str">
            <v>049</v>
          </cell>
        </row>
        <row r="371">
          <cell r="B371" t="str">
            <v>050</v>
          </cell>
        </row>
        <row r="372">
          <cell r="B372" t="str">
            <v>999</v>
          </cell>
          <cell r="F372" t="str">
            <v>Varios</v>
          </cell>
        </row>
      </sheetData>
      <sheetData sheetId="3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os"/>
    </sheetNames>
    <sheetDataSet>
      <sheetData sheetId="0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os"/>
    </sheetNames>
    <sheetDataSet>
      <sheetData sheetId="0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stem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TD"/>
      <sheetName val="ASIENTO 8779567"/>
      <sheetName val="BANCOL CTE"/>
      <sheetName val="BOGOTA"/>
      <sheetName val="BANCOL AHO"/>
      <sheetName val="COLPATRIA"/>
      <sheetName val="Reclasificaciones Bancos"/>
    </sheetNames>
    <definedNames>
      <definedName name="cc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pecificaciones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eación"/>
    </sheetNames>
    <sheetDataSet>
      <sheetData sheetId="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lementación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stemas"/>
    </sheetNames>
    <sheetDataSet>
      <sheetData sheetId="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DG"/>
      <sheetName val="BCE"/>
      <sheetName val="PUC"/>
      <sheetName val="110"/>
      <sheetName val="Sumaria"/>
      <sheetName val="A1"/>
      <sheetName val="A2"/>
      <sheetName val="A3"/>
      <sheetName val="A4"/>
      <sheetName val="A5"/>
      <sheetName val="A6"/>
      <sheetName val="A7"/>
      <sheetName val="A8"/>
      <sheetName val="A9"/>
      <sheetName val="A10"/>
      <sheetName val="A11"/>
      <sheetName val="A12"/>
      <sheetName val="A13"/>
      <sheetName val="A14"/>
      <sheetName val="A15"/>
      <sheetName val="A16"/>
      <sheetName val="Caratula"/>
      <sheetName val="ESF"/>
      <sheetName val="ERI"/>
      <sheetName val="Resumen"/>
      <sheetName val="I Diferido"/>
      <sheetName val="Ing y Fact"/>
      <sheetName val="AF"/>
      <sheetName val="AUD"/>
      <sheetName val="I estimado"/>
      <sheetName val="P estimado"/>
      <sheetName val="Difcamb"/>
      <sheetName val="Deprec"/>
      <sheetName val="amort"/>
      <sheetName val="ICA"/>
      <sheetName val="PREDIAL"/>
      <sheetName val="GMF"/>
      <sheetName val="EPS"/>
      <sheetName val="AFP"/>
      <sheetName val="ARP"/>
      <sheetName val="APF"/>
      <sheetName val="Rete"/>
      <sheetName val="P cartera"/>
      <sheetName val="VAF&lt;2AÑOS"/>
      <sheetName val="VAF&gt;2AÑOS"/>
      <sheetName val="G Ext"/>
      <sheetName val="Desct"/>
      <sheetName val="Rgrav"/>
      <sheetName val="Ivabc"/>
      <sheetName val="D107-1"/>
      <sheetName val="Dinv"/>
      <sheetName val="C perdid"/>
      <sheetName val="C excrp"/>
      <sheetName val="subcap"/>
      <sheetName val="Ajust"/>
      <sheetName val="ECE"/>
      <sheetName val="DIV"/>
      <sheetName val="CA"/>
      <sheetName val="RTE"/>
      <sheetName val="OI"/>
      <sheetName val="Conf"/>
      <sheetName val="I presun"/>
      <sheetName val="R cedular"/>
      <sheetName val="INCRNGO"/>
      <sheetName val="R exentas"/>
      <sheetName val="Desc1429"/>
      <sheetName val="GO"/>
      <sheetName val="C ingresos"/>
      <sheetName val="Conc util"/>
      <sheetName val="Conc patr"/>
      <sheetName val="J patrim"/>
      <sheetName val="MMD"/>
      <sheetName val="prestac"/>
      <sheetName val="Antic"/>
      <sheetName val="R Presuntiva"/>
      <sheetName val="Printsumar"/>
      <sheetName val="Ded 30%"/>
      <sheetName val="Cal"/>
      <sheetName val="noti"/>
      <sheetName val="Proc-01"/>
      <sheetName val="Sancion"/>
      <sheetName val="C"/>
      <sheetName val="Claves"/>
      <sheetName val="Listas"/>
      <sheetName val="A"/>
      <sheetName val="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>
        <row r="9">
          <cell r="C9">
            <v>2017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os"/>
      <sheetName val="01_Efectivo"/>
      <sheetName val="PCCOOCTDISC"/>
      <sheetName val="PCCODISC05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S"/>
      <sheetName val="Hoja3"/>
      <sheetName val="AVANCE"/>
      <sheetName val="REGISTROS"/>
      <sheetName val="LISTA CHEQUEO"/>
      <sheetName val="larearesp"/>
      <sheetName val="lmov_cuenta_area gastos NIIF"/>
      <sheetName val="lmov_cuenta_area gastos"/>
      <sheetName val="lresdoc 4"/>
      <sheetName val="lresdoc 6"/>
      <sheetName val="lresdoc 4 NIIF"/>
      <sheetName val="lresdoc 6 NIIF"/>
      <sheetName val="l_res_sec NOMINA"/>
      <sheetName val="Revision fechas docum"/>
      <sheetName val="Ticket gasolina"/>
      <sheetName val="laperes _fiscal_mes"/>
      <sheetName val="CONCILIACION FISCAL VS REAL"/>
      <sheetName val="lagrgtoc 5"/>
      <sheetName val="lagrgtoc 4"/>
      <sheetName val="lagrgtoc 5 NIIF"/>
      <sheetName val="lagrgtoc 4 NIIF"/>
      <sheetName val="l_a_per_res (SENA)"/>
      <sheetName val="LSALDO MES"/>
      <sheetName val="LSALDO MES NIIF"/>
      <sheetName val="ACTUALIZA"/>
      <sheetName val="VARIACIONES LAPERES"/>
      <sheetName val="Conciliacion lresec"/>
      <sheetName val="lagrgtoc 5 Acum"/>
      <sheetName val="lagrgtoc 4 Acum"/>
      <sheetName val="lagrgtoc 5 Acum NIIF"/>
      <sheetName val="lagrgtoc 4 Acum NIIF"/>
      <sheetName val="l_a_per_res (SENA) Acum"/>
      <sheetName val="LSALDO ACUM"/>
      <sheetName val="CRUCE SALDOS Acum"/>
      <sheetName val="lsaldo_per IFRS"/>
      <sheetName val="Conciliacion IFRS"/>
      <sheetName val="COMPARATIVO INCAPACIDAD"/>
      <sheetName val="Conciliacion CXP 23"/>
      <sheetName val="lsaldo nomina incapacidades"/>
      <sheetName val="Concialiación Acum"/>
      <sheetName val="CRUCE SALDOS"/>
      <sheetName val="l_a_per_res"/>
      <sheetName val="Conciliacion Mes"/>
      <sheetName val="l_a_per_res Acum"/>
      <sheetName val="LSALDO PER"/>
      <sheetName val="LSALDO PER NIIF"/>
      <sheetName val="LMOVFISCAL AC NIIF"/>
      <sheetName val="LMOVFISCAL AC"/>
      <sheetName val="LMOVFISCAL MES NIIF"/>
      <sheetName val="LMOVFISCAL MES"/>
      <sheetName val="lfacven"/>
      <sheetName val="LSALDO 25 NIIF"/>
      <sheetName val="LSALDO 25"/>
      <sheetName val="PAGO NOMINA"/>
      <sheetName val="Nota"/>
      <sheetName val="lmovtipofac 250505"/>
      <sheetName val="Cuenta 2505161"/>
      <sheetName val="lresdocNO"/>
      <sheetName val="lresdocDA"/>
      <sheetName val="lresdocNO NIIF"/>
      <sheetName val="lresdocDA NIIF"/>
      <sheetName val="lsaldo1330-80"/>
      <sheetName val="ANTICIPOS EMPLEADOS"/>
      <sheetName val="analisis incapacidades"/>
      <sheetName val="Conciliacion de Prestamos"/>
      <sheetName val="LSALDO 1365"/>
      <sheetName val="LSALDO 236505"/>
      <sheetName val="l_a_per_res (Acum)"/>
      <sheetName val="Acum. a Ene 2012"/>
      <sheetName val="APORTES-2018"/>
      <sheetName val="Lsaldo IBC"/>
      <sheetName val="Calculo de IBC"/>
      <sheetName val="ltottran"/>
      <sheetName val="lsaldo2605-11"/>
      <sheetName val="LAGRGTOC 4 2011"/>
      <sheetName val="SALUD "/>
      <sheetName val="AFP "/>
      <sheetName val="ARP "/>
      <sheetName val="CAJAS RESUMIDO"/>
      <sheetName val="LMOVTIPOFACT NOMINA"/>
      <sheetName val="COMPARACION RETEFTE"/>
      <sheetName val="lbasedepurada"/>
      <sheetName val="Respuesta variaciones nomina"/>
      <sheetName val="Provisiones 2018"/>
      <sheetName val="Nota Bienestar"/>
      <sheetName val="Detalle Usos provision"/>
      <sheetName val="Provisiones Personal"/>
      <sheetName val="lmovcuentaarea2 AC NIIF"/>
      <sheetName val="lmovcuentaarea2 AC"/>
      <sheetName val="LSALDO 2335656"/>
      <sheetName val="Nota de Incapacidades"/>
      <sheetName val="Nota Interna Cierre"/>
      <sheetName val="AREAS"/>
      <sheetName val="Lprestipo"/>
      <sheetName val="PORTADA"/>
      <sheetName val="lfrtotal"/>
      <sheetName val="LGRGTO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8">
          <cell r="D8">
            <v>-1814317138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 - abr13"/>
      <sheetName val="NOV-132"/>
      <sheetName val="RESUMEN"/>
      <sheetName val="Resumen."/>
      <sheetName val="Varios"/>
      <sheetName val="Colgaap"/>
      <sheetName val="NIIF"/>
      <sheetName val="Varios (2)"/>
      <sheetName val="REPUESTOS IF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itácora"/>
      <sheetName val="Idiomas"/>
      <sheetName val="ConsMethods"/>
      <sheetName val="Scenarios"/>
      <sheetName val="Entities"/>
      <sheetName val="Movements"/>
      <sheetName val="Custom"/>
      <sheetName val="Custom2"/>
      <sheetName val="BALANCE"/>
      <sheetName val="Custom3"/>
      <sheetName val="Custom4"/>
      <sheetName val="Generación"/>
    </sheetNames>
    <sheetDataSet>
      <sheetData sheetId="0" refreshError="1"/>
      <sheetData sheetId="1" refreshError="1">
        <row r="4">
          <cell r="D4" t="str">
            <v>Default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tácora"/>
      <sheetName val="Idiomas"/>
      <sheetName val="ConsMethods"/>
      <sheetName val="Scenarios"/>
      <sheetName val="Entities"/>
      <sheetName val="Movements"/>
      <sheetName val="Custom"/>
      <sheetName val="Custom2"/>
      <sheetName val="BALANCE"/>
      <sheetName val="Custom3"/>
      <sheetName val="Custom4"/>
      <sheetName val="Generación"/>
    </sheetNames>
    <sheetDataSet>
      <sheetData sheetId="0" refreshError="1"/>
      <sheetData sheetId="1" refreshError="1">
        <row r="4">
          <cell r="D4" t="str">
            <v>Default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rie TRM"/>
      <sheetName val="TRM2006"/>
      <sheetName val="TRM trimestre"/>
      <sheetName val="2002"/>
      <sheetName val="2003"/>
      <sheetName val="2004"/>
      <sheetName val="2005"/>
      <sheetName val="Proyección 2006"/>
      <sheetName val="Opcione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os"/>
      <sheetName val="01_Efectivo"/>
    </sheetNames>
    <sheetDataSet>
      <sheetData sheetId="0"/>
      <sheetData sheetId="1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 (TRM)"/>
      <sheetName val="4 (p&amp;g resumen)"/>
      <sheetName val="5(fact cambio)"/>
      <sheetName val="6 Y 8(p&amp;g x empresa)"/>
      <sheetName val="6 Y 8(p&amp;g x empresa) (ok)"/>
      <sheetName val="7"/>
      <sheetName val="9 (simula SII)"/>
      <sheetName val="10 (activos&amp;pasivos)"/>
      <sheetName val="11(End. CR)"/>
      <sheetName val="14 (compara ventas)"/>
      <sheetName val="15y16 (vtas terceros)"/>
      <sheetName val="17(Precios)"/>
      <sheetName val="adic(top 10 Ref)"/>
      <sheetName val="18 (Latinoam)"/>
      <sheetName val="19 (Euro)"/>
      <sheetName val="20(vtas europ)"/>
      <sheetName val="21 (vtas SII)"/>
      <sheetName val="22(Top 10 clientes USA)"/>
      <sheetName val="23(vtas nal)"/>
      <sheetName val="24(Ind+CO nal)"/>
      <sheetName val="25(seg Ind nal)"/>
      <sheetName val="26(clientes ind)"/>
      <sheetName val="adic(Calidad)"/>
      <sheetName val="27y28(vts cio Col)"/>
      <sheetName val="29(renova)"/>
      <sheetName val="30(fact COLyCR)"/>
      <sheetName val="31(Metros Fab)"/>
      <sheetName val="32(Clientes CR)"/>
      <sheetName val="33-34y35 (plastico+varios)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1577A-5E50-4BE8-AC96-05FF14030945}">
  <dimension ref="A1:P598"/>
  <sheetViews>
    <sheetView showGridLines="0" tabSelected="1" zoomScale="90" zoomScaleNormal="90" zoomScaleSheetLayoutView="100" workbookViewId="0">
      <pane ySplit="9" topLeftCell="A10" activePane="bottomLeft" state="frozen"/>
      <selection activeCell="F8" sqref="F8"/>
      <selection pane="bottomLeft" activeCell="C6" sqref="C6:H6"/>
    </sheetView>
  </sheetViews>
  <sheetFormatPr baseColWidth="10" defaultColWidth="10.85546875" defaultRowHeight="12" customHeight="1" outlineLevelCol="1"/>
  <cols>
    <col min="1" max="1" width="2.5703125" style="35" customWidth="1"/>
    <col min="2" max="2" width="5.5703125" style="35" customWidth="1"/>
    <col min="3" max="4" width="16.140625" style="35" customWidth="1"/>
    <col min="5" max="5" width="33.28515625" style="35" customWidth="1"/>
    <col min="6" max="6" width="10" style="35" customWidth="1"/>
    <col min="7" max="7" width="14.5703125" style="71" customWidth="1"/>
    <col min="8" max="8" width="20.5703125" style="101" customWidth="1"/>
    <col min="9" max="9" width="54.5703125" style="102" customWidth="1" outlineLevel="1"/>
    <col min="10" max="10" width="35.85546875" style="96" customWidth="1" outlineLevel="1"/>
    <col min="11" max="11" width="16.140625" style="96" customWidth="1" outlineLevel="1"/>
    <col min="12" max="12" width="58.28515625" style="103" customWidth="1"/>
    <col min="13" max="13" width="12.140625" style="35" bestFit="1" customWidth="1"/>
    <col min="14" max="16384" width="10.85546875" style="35"/>
  </cols>
  <sheetData>
    <row r="1" spans="2:16" ht="12" customHeight="1" thickBot="1">
      <c r="O1" s="85"/>
    </row>
    <row r="2" spans="2:16" ht="12" customHeight="1">
      <c r="B2" s="204"/>
      <c r="C2" s="205"/>
      <c r="D2" s="205"/>
      <c r="E2" s="205"/>
      <c r="F2" s="205"/>
      <c r="G2" s="206"/>
      <c r="H2" s="207"/>
      <c r="I2" s="208"/>
      <c r="J2" s="209"/>
      <c r="K2" s="209"/>
      <c r="L2" s="210"/>
    </row>
    <row r="3" spans="2:16" ht="12" customHeight="1">
      <c r="B3" s="211"/>
      <c r="C3" s="260" t="s">
        <v>0</v>
      </c>
      <c r="D3" s="260"/>
      <c r="E3" s="6"/>
      <c r="F3" s="7"/>
      <c r="G3" s="260" t="s">
        <v>1</v>
      </c>
      <c r="H3" s="260"/>
      <c r="I3" s="170"/>
      <c r="J3" s="111"/>
      <c r="K3" s="111"/>
      <c r="L3" s="212"/>
      <c r="M3" s="257"/>
      <c r="N3" s="257"/>
      <c r="O3" s="257"/>
      <c r="P3" s="257"/>
    </row>
    <row r="4" spans="2:16" ht="12" customHeight="1">
      <c r="B4" s="211"/>
      <c r="C4" s="257" t="s">
        <v>2</v>
      </c>
      <c r="D4" s="257"/>
      <c r="E4" s="7"/>
      <c r="F4" s="7"/>
      <c r="G4" s="257" t="s">
        <v>587</v>
      </c>
      <c r="H4" s="261"/>
      <c r="I4" s="171"/>
      <c r="J4" s="112"/>
      <c r="K4" s="112"/>
      <c r="L4" s="212"/>
      <c r="M4" s="257"/>
      <c r="N4" s="257"/>
      <c r="O4" s="257"/>
      <c r="P4" s="257"/>
    </row>
    <row r="5" spans="2:16" ht="12" customHeight="1">
      <c r="B5" s="211"/>
      <c r="C5" s="9"/>
      <c r="D5" s="9"/>
      <c r="E5" s="9"/>
      <c r="F5" s="7"/>
      <c r="G5" s="113"/>
      <c r="H5" s="153"/>
      <c r="I5" s="114"/>
      <c r="J5" s="115"/>
      <c r="K5" s="112"/>
      <c r="L5" s="212"/>
      <c r="M5" s="9"/>
      <c r="N5" s="9"/>
      <c r="O5" s="9"/>
      <c r="P5" s="9"/>
    </row>
    <row r="6" spans="2:16" ht="12" customHeight="1">
      <c r="B6" s="213"/>
      <c r="C6" s="257" t="s">
        <v>44</v>
      </c>
      <c r="D6" s="257"/>
      <c r="E6" s="257"/>
      <c r="F6" s="257"/>
      <c r="G6" s="257"/>
      <c r="H6" s="257"/>
      <c r="I6" s="171"/>
      <c r="J6" s="112"/>
      <c r="K6" s="112"/>
      <c r="L6" s="212"/>
      <c r="M6" s="258"/>
      <c r="N6" s="258"/>
      <c r="O6" s="258"/>
      <c r="P6" s="258"/>
    </row>
    <row r="7" spans="2:16" ht="12" customHeight="1">
      <c r="B7" s="213"/>
      <c r="C7" s="258" t="s">
        <v>45</v>
      </c>
      <c r="D7" s="258"/>
      <c r="E7" s="258"/>
      <c r="F7" s="258"/>
      <c r="G7" s="258"/>
      <c r="H7" s="258"/>
      <c r="I7" s="172"/>
      <c r="J7" s="116"/>
      <c r="K7" s="116"/>
      <c r="L7" s="214"/>
      <c r="M7" s="258"/>
      <c r="N7" s="258"/>
      <c r="O7" s="258"/>
      <c r="P7" s="258"/>
    </row>
    <row r="8" spans="2:16" ht="12" customHeight="1">
      <c r="B8" s="213"/>
      <c r="C8" s="11"/>
      <c r="D8" s="11"/>
      <c r="E8" s="11"/>
      <c r="F8" s="11"/>
      <c r="G8" s="30"/>
      <c r="H8" s="153"/>
      <c r="I8" s="172"/>
      <c r="J8" s="116"/>
      <c r="K8" s="116"/>
      <c r="L8" s="214"/>
      <c r="M8" s="11"/>
      <c r="N8" s="11"/>
      <c r="O8" s="11"/>
      <c r="P8" s="11"/>
    </row>
    <row r="9" spans="2:16" s="85" customFormat="1" ht="12" customHeight="1">
      <c r="B9" s="215" t="s">
        <v>3</v>
      </c>
      <c r="C9" s="14" t="s">
        <v>4</v>
      </c>
      <c r="D9" s="14" t="s">
        <v>5</v>
      </c>
      <c r="E9" s="14" t="s">
        <v>6</v>
      </c>
      <c r="F9" s="14"/>
      <c r="G9" s="14" t="s">
        <v>8</v>
      </c>
      <c r="H9" s="154" t="s">
        <v>9</v>
      </c>
      <c r="I9" s="173" t="s">
        <v>39</v>
      </c>
      <c r="J9" s="14" t="s">
        <v>40</v>
      </c>
      <c r="K9" s="14" t="s">
        <v>41</v>
      </c>
      <c r="L9" s="216" t="s">
        <v>10</v>
      </c>
    </row>
    <row r="10" spans="2:16" ht="12" customHeight="1">
      <c r="B10" s="217"/>
      <c r="H10" s="155"/>
      <c r="L10" s="218"/>
    </row>
    <row r="11" spans="2:16" ht="12" customHeight="1">
      <c r="B11" s="217"/>
      <c r="C11" s="31" t="s">
        <v>11</v>
      </c>
      <c r="D11" s="31"/>
      <c r="H11" s="121">
        <v>325312539.06999999</v>
      </c>
      <c r="I11" s="124"/>
      <c r="J11" s="123"/>
      <c r="K11" s="123"/>
      <c r="L11" s="218"/>
    </row>
    <row r="12" spans="2:16" ht="12" customHeight="1">
      <c r="B12" s="217"/>
      <c r="C12" s="31" t="s">
        <v>12</v>
      </c>
      <c r="D12" s="31"/>
      <c r="H12" s="121">
        <v>-191026160.38999999</v>
      </c>
      <c r="I12" s="124"/>
      <c r="J12" s="123"/>
      <c r="K12" s="123"/>
      <c r="L12" s="218"/>
    </row>
    <row r="13" spans="2:16" s="3" customFormat="1" ht="12" customHeight="1" thickBot="1">
      <c r="B13" s="219"/>
      <c r="C13" s="18" t="s">
        <v>13</v>
      </c>
      <c r="D13" s="18"/>
      <c r="E13" s="19"/>
      <c r="F13" s="19"/>
      <c r="G13" s="125"/>
      <c r="H13" s="126">
        <f>+H11-H12</f>
        <v>516338699.45999998</v>
      </c>
      <c r="I13" s="127"/>
      <c r="J13" s="128"/>
      <c r="K13" s="129"/>
      <c r="L13" s="220"/>
    </row>
    <row r="14" spans="2:16" ht="12" customHeight="1" thickTop="1">
      <c r="B14" s="217"/>
      <c r="H14" s="155"/>
      <c r="L14" s="218"/>
    </row>
    <row r="15" spans="2:16" ht="12" customHeight="1">
      <c r="B15" s="217"/>
      <c r="H15" s="155"/>
      <c r="L15" s="218"/>
    </row>
    <row r="16" spans="2:16" ht="12" customHeight="1" thickBot="1">
      <c r="B16" s="213"/>
      <c r="C16" s="31" t="s">
        <v>14</v>
      </c>
      <c r="D16" s="31"/>
      <c r="H16" s="131">
        <f>SUM(H19:H479)</f>
        <v>607021214.28999996</v>
      </c>
      <c r="I16" s="233"/>
      <c r="J16" s="116"/>
      <c r="K16" s="116"/>
      <c r="L16" s="218"/>
    </row>
    <row r="17" spans="1:12" ht="12" customHeight="1" thickTop="1">
      <c r="B17" s="213"/>
      <c r="C17" s="31"/>
      <c r="D17" s="31"/>
      <c r="H17" s="155"/>
      <c r="L17" s="218"/>
    </row>
    <row r="18" spans="1:12" s="85" customFormat="1" ht="12" customHeight="1">
      <c r="A18" s="85" t="s">
        <v>46</v>
      </c>
      <c r="B18" s="215" t="s">
        <v>3</v>
      </c>
      <c r="C18" s="14" t="s">
        <v>4</v>
      </c>
      <c r="D18" s="14" t="s">
        <v>5</v>
      </c>
      <c r="E18" s="14" t="s">
        <v>6</v>
      </c>
      <c r="F18" s="14"/>
      <c r="G18" s="132" t="s">
        <v>8</v>
      </c>
      <c r="H18" s="154" t="s">
        <v>9</v>
      </c>
      <c r="I18" s="173" t="s">
        <v>39</v>
      </c>
      <c r="J18" s="14" t="s">
        <v>40</v>
      </c>
      <c r="K18" s="14" t="s">
        <v>41</v>
      </c>
      <c r="L18" s="216" t="s">
        <v>10</v>
      </c>
    </row>
    <row r="19" spans="1:12" ht="12" customHeight="1">
      <c r="B19" s="221">
        <v>1</v>
      </c>
      <c r="C19" s="26">
        <v>45751</v>
      </c>
      <c r="D19" s="26">
        <v>45751</v>
      </c>
      <c r="E19" s="35" t="s">
        <v>57</v>
      </c>
      <c r="H19" s="133">
        <v>229398</v>
      </c>
      <c r="I19" s="115" t="s">
        <v>58</v>
      </c>
      <c r="J19" s="115" t="s">
        <v>59</v>
      </c>
      <c r="K19" s="115" t="s">
        <v>271</v>
      </c>
      <c r="L19" s="225" t="s">
        <v>493</v>
      </c>
    </row>
    <row r="20" spans="1:12" ht="12" customHeight="1">
      <c r="B20" s="221">
        <v>2</v>
      </c>
      <c r="C20" s="26">
        <v>45759</v>
      </c>
      <c r="D20" s="26">
        <v>45759</v>
      </c>
      <c r="E20" s="35" t="s">
        <v>47</v>
      </c>
      <c r="H20" s="133">
        <v>175500</v>
      </c>
      <c r="I20" s="115" t="s">
        <v>56</v>
      </c>
      <c r="J20" s="115" t="s">
        <v>60</v>
      </c>
      <c r="K20" s="115" t="s">
        <v>396</v>
      </c>
      <c r="L20" s="223" t="s">
        <v>493</v>
      </c>
    </row>
    <row r="21" spans="1:12" ht="12" customHeight="1">
      <c r="B21" s="221">
        <v>3</v>
      </c>
      <c r="C21" s="26">
        <v>45759</v>
      </c>
      <c r="D21" s="26">
        <v>45759</v>
      </c>
      <c r="E21" s="35" t="s">
        <v>48</v>
      </c>
      <c r="H21" s="133">
        <v>890000</v>
      </c>
      <c r="I21" s="115" t="s">
        <v>61</v>
      </c>
      <c r="J21" s="115" t="s">
        <v>62</v>
      </c>
      <c r="K21" s="115"/>
      <c r="L21" s="225" t="s">
        <v>50</v>
      </c>
    </row>
    <row r="22" spans="1:12" ht="12" customHeight="1">
      <c r="B22" s="221">
        <v>4</v>
      </c>
      <c r="C22" s="26">
        <v>45773</v>
      </c>
      <c r="D22" s="26">
        <v>45773</v>
      </c>
      <c r="E22" s="35" t="s">
        <v>48</v>
      </c>
      <c r="H22" s="133">
        <v>183000</v>
      </c>
      <c r="I22" s="115" t="s">
        <v>63</v>
      </c>
      <c r="J22" s="115" t="s">
        <v>64</v>
      </c>
      <c r="K22" s="115"/>
      <c r="L22" s="225" t="s">
        <v>50</v>
      </c>
    </row>
    <row r="23" spans="1:12" ht="12" customHeight="1">
      <c r="B23" s="221">
        <v>5</v>
      </c>
      <c r="C23" s="26">
        <v>45779</v>
      </c>
      <c r="D23" s="26">
        <v>45779</v>
      </c>
      <c r="E23" s="35" t="s">
        <v>47</v>
      </c>
      <c r="H23" s="133">
        <v>15600</v>
      </c>
      <c r="I23" s="115" t="s">
        <v>65</v>
      </c>
      <c r="J23" s="115" t="s">
        <v>66</v>
      </c>
      <c r="K23" s="115" t="s">
        <v>215</v>
      </c>
      <c r="L23" s="223" t="s">
        <v>493</v>
      </c>
    </row>
    <row r="24" spans="1:12" ht="12" customHeight="1">
      <c r="B24" s="221">
        <v>6</v>
      </c>
      <c r="C24" s="26">
        <v>45785</v>
      </c>
      <c r="D24" s="26">
        <v>45785</v>
      </c>
      <c r="E24" s="35" t="s">
        <v>48</v>
      </c>
      <c r="H24" s="133">
        <v>32000</v>
      </c>
      <c r="I24" s="115" t="s">
        <v>68</v>
      </c>
      <c r="J24" s="115" t="s">
        <v>69</v>
      </c>
      <c r="K24" s="115"/>
      <c r="L24" s="225" t="s">
        <v>50</v>
      </c>
    </row>
    <row r="25" spans="1:12" ht="12" customHeight="1">
      <c r="B25" s="221">
        <v>7</v>
      </c>
      <c r="C25" s="26">
        <v>45798</v>
      </c>
      <c r="D25" s="26">
        <v>45798</v>
      </c>
      <c r="E25" s="35" t="s">
        <v>48</v>
      </c>
      <c r="H25" s="133">
        <v>215800</v>
      </c>
      <c r="I25" s="115" t="s">
        <v>70</v>
      </c>
      <c r="J25" s="115" t="s">
        <v>71</v>
      </c>
      <c r="K25" s="115" t="s">
        <v>52</v>
      </c>
      <c r="L25" s="234" t="s">
        <v>488</v>
      </c>
    </row>
    <row r="26" spans="1:12" ht="12" customHeight="1">
      <c r="B26" s="221">
        <v>8</v>
      </c>
      <c r="C26" s="26">
        <v>45801</v>
      </c>
      <c r="D26" s="26">
        <v>45801</v>
      </c>
      <c r="E26" s="35" t="s">
        <v>48</v>
      </c>
      <c r="H26" s="133">
        <v>145800</v>
      </c>
      <c r="I26" s="115" t="s">
        <v>72</v>
      </c>
      <c r="J26" s="115" t="s">
        <v>73</v>
      </c>
      <c r="K26" s="115"/>
      <c r="L26" s="225" t="s">
        <v>50</v>
      </c>
    </row>
    <row r="27" spans="1:12" ht="12" customHeight="1">
      <c r="B27" s="221">
        <v>9</v>
      </c>
      <c r="C27" s="26">
        <v>45804</v>
      </c>
      <c r="D27" s="26">
        <v>45804</v>
      </c>
      <c r="E27" s="35" t="s">
        <v>74</v>
      </c>
      <c r="H27" s="133">
        <v>136400</v>
      </c>
      <c r="I27" s="115" t="s">
        <v>75</v>
      </c>
      <c r="J27" s="115" t="s">
        <v>76</v>
      </c>
      <c r="K27" s="115"/>
      <c r="L27" s="223" t="s">
        <v>397</v>
      </c>
    </row>
    <row r="28" spans="1:12" ht="12" customHeight="1">
      <c r="B28" s="221">
        <v>10</v>
      </c>
      <c r="C28" s="26">
        <v>45805</v>
      </c>
      <c r="D28" s="26">
        <v>45805</v>
      </c>
      <c r="E28" s="35" t="s">
        <v>77</v>
      </c>
      <c r="H28" s="133">
        <v>7000</v>
      </c>
      <c r="I28" s="115" t="s">
        <v>78</v>
      </c>
      <c r="J28" s="115" t="s">
        <v>76</v>
      </c>
      <c r="K28" s="115"/>
      <c r="L28" s="223" t="s">
        <v>397</v>
      </c>
    </row>
    <row r="29" spans="1:12" ht="12" customHeight="1">
      <c r="B29" s="221">
        <v>11</v>
      </c>
      <c r="C29" s="26">
        <v>45806</v>
      </c>
      <c r="D29" s="26">
        <v>45806</v>
      </c>
      <c r="E29" s="35" t="s">
        <v>47</v>
      </c>
      <c r="H29" s="133">
        <v>12300</v>
      </c>
      <c r="I29" s="115" t="s">
        <v>54</v>
      </c>
      <c r="J29" s="115" t="s">
        <v>79</v>
      </c>
      <c r="K29" s="115" t="s">
        <v>215</v>
      </c>
      <c r="L29" s="223" t="s">
        <v>493</v>
      </c>
    </row>
    <row r="30" spans="1:12" ht="12" customHeight="1">
      <c r="B30" s="221">
        <v>12</v>
      </c>
      <c r="C30" s="26">
        <v>45812</v>
      </c>
      <c r="D30" s="26">
        <v>45812</v>
      </c>
      <c r="E30" s="35" t="s">
        <v>47</v>
      </c>
      <c r="H30" s="133">
        <v>1050000</v>
      </c>
      <c r="I30" s="115" t="s">
        <v>80</v>
      </c>
      <c r="J30" s="115" t="s">
        <v>81</v>
      </c>
      <c r="K30" s="115" t="s">
        <v>82</v>
      </c>
      <c r="L30" s="225" t="s">
        <v>493</v>
      </c>
    </row>
    <row r="31" spans="1:12" ht="12" customHeight="1">
      <c r="B31" s="221">
        <v>13</v>
      </c>
      <c r="C31" s="26">
        <v>45818</v>
      </c>
      <c r="D31" s="26">
        <v>45818</v>
      </c>
      <c r="E31" s="35" t="s">
        <v>53</v>
      </c>
      <c r="H31" s="133">
        <v>300000</v>
      </c>
      <c r="I31" s="115" t="s">
        <v>323</v>
      </c>
      <c r="J31" s="115" t="s">
        <v>324</v>
      </c>
      <c r="K31" s="115"/>
      <c r="L31" s="234" t="s">
        <v>50</v>
      </c>
    </row>
    <row r="32" spans="1:12" ht="12" customHeight="1">
      <c r="B32" s="221">
        <v>14</v>
      </c>
      <c r="C32" s="26">
        <v>45841</v>
      </c>
      <c r="D32" s="26">
        <v>45841</v>
      </c>
      <c r="E32" s="35" t="s">
        <v>47</v>
      </c>
      <c r="H32" s="133">
        <v>221200</v>
      </c>
      <c r="I32" s="115" t="s">
        <v>54</v>
      </c>
      <c r="J32" s="115" t="s">
        <v>149</v>
      </c>
      <c r="K32" s="115"/>
      <c r="L32" s="223" t="s">
        <v>397</v>
      </c>
    </row>
    <row r="33" spans="2:12" ht="12" customHeight="1">
      <c r="B33" s="221">
        <v>15</v>
      </c>
      <c r="C33" s="26">
        <v>45846</v>
      </c>
      <c r="D33" s="26">
        <v>45846</v>
      </c>
      <c r="E33" s="35" t="s">
        <v>47</v>
      </c>
      <c r="H33" s="133">
        <v>15850</v>
      </c>
      <c r="I33" s="115" t="s">
        <v>54</v>
      </c>
      <c r="J33" s="115" t="s">
        <v>150</v>
      </c>
      <c r="K33" s="115" t="s">
        <v>215</v>
      </c>
      <c r="L33" s="223" t="s">
        <v>493</v>
      </c>
    </row>
    <row r="34" spans="2:12" ht="12" customHeight="1">
      <c r="B34" s="221">
        <v>16</v>
      </c>
      <c r="C34" s="26">
        <v>45849</v>
      </c>
      <c r="D34" s="26">
        <v>45849</v>
      </c>
      <c r="E34" s="35" t="s">
        <v>53</v>
      </c>
      <c r="H34" s="133">
        <v>69000</v>
      </c>
      <c r="I34" s="115" t="s">
        <v>151</v>
      </c>
      <c r="J34" s="115" t="s">
        <v>152</v>
      </c>
      <c r="K34" s="115" t="s">
        <v>49</v>
      </c>
      <c r="L34" s="225" t="s">
        <v>50</v>
      </c>
    </row>
    <row r="35" spans="2:12" ht="12" customHeight="1">
      <c r="B35" s="221">
        <v>17</v>
      </c>
      <c r="C35" s="26">
        <v>45853</v>
      </c>
      <c r="D35" s="26">
        <v>45853</v>
      </c>
      <c r="E35" s="35" t="s">
        <v>48</v>
      </c>
      <c r="H35" s="133">
        <v>24300</v>
      </c>
      <c r="I35" s="115" t="s">
        <v>84</v>
      </c>
      <c r="J35" s="115" t="s">
        <v>153</v>
      </c>
      <c r="K35" s="115"/>
      <c r="L35" s="225" t="s">
        <v>50</v>
      </c>
    </row>
    <row r="36" spans="2:12" ht="12" customHeight="1">
      <c r="B36" s="221">
        <v>18</v>
      </c>
      <c r="C36" s="26">
        <v>45866</v>
      </c>
      <c r="D36" s="26">
        <v>45866</v>
      </c>
      <c r="E36" s="35" t="s">
        <v>85</v>
      </c>
      <c r="H36" s="133">
        <v>36300</v>
      </c>
      <c r="I36" s="115" t="s">
        <v>86</v>
      </c>
      <c r="J36" s="115" t="s">
        <v>154</v>
      </c>
      <c r="K36" s="115" t="s">
        <v>52</v>
      </c>
      <c r="L36" s="234" t="s">
        <v>488</v>
      </c>
    </row>
    <row r="37" spans="2:12" ht="12" customHeight="1">
      <c r="B37" s="221">
        <v>19</v>
      </c>
      <c r="C37" s="26">
        <v>45867</v>
      </c>
      <c r="D37" s="26">
        <v>45867</v>
      </c>
      <c r="E37" s="35" t="s">
        <v>48</v>
      </c>
      <c r="H37" s="133">
        <v>69575</v>
      </c>
      <c r="I37" s="115" t="s">
        <v>87</v>
      </c>
      <c r="J37" s="115" t="s">
        <v>155</v>
      </c>
      <c r="K37" s="115"/>
      <c r="L37" s="225" t="s">
        <v>50</v>
      </c>
    </row>
    <row r="38" spans="2:12" ht="12" customHeight="1">
      <c r="B38" s="221">
        <v>20</v>
      </c>
      <c r="C38" s="26">
        <v>45867</v>
      </c>
      <c r="D38" s="26">
        <v>45867</v>
      </c>
      <c r="E38" s="35" t="s">
        <v>53</v>
      </c>
      <c r="H38" s="133">
        <v>92000</v>
      </c>
      <c r="I38" s="115" t="s">
        <v>156</v>
      </c>
      <c r="J38" s="115" t="s">
        <v>157</v>
      </c>
      <c r="K38" s="115" t="s">
        <v>83</v>
      </c>
      <c r="L38" s="234" t="s">
        <v>488</v>
      </c>
    </row>
    <row r="39" spans="2:12" ht="12" customHeight="1">
      <c r="B39" s="221">
        <v>21</v>
      </c>
      <c r="C39" s="26">
        <v>45868</v>
      </c>
      <c r="D39" s="26">
        <v>45868</v>
      </c>
      <c r="E39" s="35" t="s">
        <v>53</v>
      </c>
      <c r="H39" s="133">
        <v>11440</v>
      </c>
      <c r="I39" s="115" t="s">
        <v>158</v>
      </c>
      <c r="J39" s="115" t="s">
        <v>159</v>
      </c>
      <c r="K39" s="115" t="s">
        <v>83</v>
      </c>
      <c r="L39" s="234" t="s">
        <v>488</v>
      </c>
    </row>
    <row r="40" spans="2:12" ht="12" customHeight="1">
      <c r="B40" s="221">
        <v>22</v>
      </c>
      <c r="C40" s="26">
        <v>45869</v>
      </c>
      <c r="D40" s="26">
        <v>45869</v>
      </c>
      <c r="E40" s="35" t="s">
        <v>48</v>
      </c>
      <c r="H40" s="133">
        <v>77000</v>
      </c>
      <c r="I40" s="115" t="s">
        <v>88</v>
      </c>
      <c r="J40" s="115" t="s">
        <v>160</v>
      </c>
      <c r="K40" s="115" t="s">
        <v>82</v>
      </c>
      <c r="L40" s="234" t="s">
        <v>488</v>
      </c>
    </row>
    <row r="41" spans="2:12" ht="12" customHeight="1">
      <c r="B41" s="221">
        <v>23</v>
      </c>
      <c r="C41" s="26">
        <v>45874</v>
      </c>
      <c r="D41" s="26">
        <v>45874</v>
      </c>
      <c r="E41" s="35" t="s">
        <v>47</v>
      </c>
      <c r="H41" s="133">
        <v>48300</v>
      </c>
      <c r="I41" s="114" t="s">
        <v>54</v>
      </c>
      <c r="J41" s="115" t="s">
        <v>184</v>
      </c>
      <c r="K41" s="115"/>
      <c r="L41" s="223" t="s">
        <v>397</v>
      </c>
    </row>
    <row r="42" spans="2:12" ht="12" customHeight="1">
      <c r="B42" s="221">
        <v>24</v>
      </c>
      <c r="C42" s="26">
        <v>45875</v>
      </c>
      <c r="D42" s="26">
        <v>45875</v>
      </c>
      <c r="E42" s="35" t="s">
        <v>53</v>
      </c>
      <c r="H42" s="133">
        <v>308650</v>
      </c>
      <c r="I42" s="114" t="s">
        <v>161</v>
      </c>
      <c r="J42" s="115" t="s">
        <v>162</v>
      </c>
      <c r="K42" s="115" t="s">
        <v>82</v>
      </c>
      <c r="L42" s="225" t="s">
        <v>493</v>
      </c>
    </row>
    <row r="43" spans="2:12" ht="12" customHeight="1">
      <c r="B43" s="221">
        <v>25</v>
      </c>
      <c r="C43" s="26">
        <v>45880</v>
      </c>
      <c r="D43" s="26">
        <v>45880</v>
      </c>
      <c r="E43" s="35" t="s">
        <v>89</v>
      </c>
      <c r="H43" s="133">
        <v>62029</v>
      </c>
      <c r="I43" s="114" t="s">
        <v>163</v>
      </c>
      <c r="J43" s="115" t="s">
        <v>164</v>
      </c>
      <c r="K43" s="115" t="s">
        <v>52</v>
      </c>
      <c r="L43" s="234" t="s">
        <v>488</v>
      </c>
    </row>
    <row r="44" spans="2:12" ht="12" customHeight="1">
      <c r="B44" s="221">
        <v>26</v>
      </c>
      <c r="C44" s="26">
        <v>45880</v>
      </c>
      <c r="D44" s="26">
        <v>45880</v>
      </c>
      <c r="E44" s="35" t="s">
        <v>53</v>
      </c>
      <c r="H44" s="133">
        <v>94600</v>
      </c>
      <c r="I44" s="114" t="s">
        <v>165</v>
      </c>
      <c r="J44" s="115" t="s">
        <v>166</v>
      </c>
      <c r="K44" s="115" t="s">
        <v>129</v>
      </c>
      <c r="L44" s="234" t="s">
        <v>488</v>
      </c>
    </row>
    <row r="45" spans="2:12" ht="12" customHeight="1">
      <c r="B45" s="221">
        <v>27</v>
      </c>
      <c r="C45" s="26">
        <v>45880</v>
      </c>
      <c r="D45" s="26">
        <v>45880</v>
      </c>
      <c r="E45" s="35" t="s">
        <v>48</v>
      </c>
      <c r="H45" s="133">
        <v>189500</v>
      </c>
      <c r="I45" s="114" t="s">
        <v>167</v>
      </c>
      <c r="J45" s="115" t="s">
        <v>168</v>
      </c>
      <c r="K45" s="115"/>
      <c r="L45" s="225" t="s">
        <v>50</v>
      </c>
    </row>
    <row r="46" spans="2:12" ht="12" customHeight="1">
      <c r="B46" s="221">
        <v>28</v>
      </c>
      <c r="C46" s="26">
        <v>45883</v>
      </c>
      <c r="D46" s="26">
        <v>45883</v>
      </c>
      <c r="E46" s="35" t="s">
        <v>53</v>
      </c>
      <c r="H46" s="133">
        <v>314000</v>
      </c>
      <c r="I46" s="114" t="s">
        <v>169</v>
      </c>
      <c r="J46" s="115" t="s">
        <v>170</v>
      </c>
      <c r="K46" s="115"/>
      <c r="L46" s="225" t="s">
        <v>50</v>
      </c>
    </row>
    <row r="47" spans="2:12" ht="12" customHeight="1">
      <c r="B47" s="221">
        <v>29</v>
      </c>
      <c r="C47" s="26">
        <v>45887</v>
      </c>
      <c r="D47" s="26">
        <v>45887</v>
      </c>
      <c r="E47" s="35" t="s">
        <v>53</v>
      </c>
      <c r="H47" s="133">
        <v>126000</v>
      </c>
      <c r="I47" s="114" t="s">
        <v>171</v>
      </c>
      <c r="J47" s="115" t="s">
        <v>172</v>
      </c>
      <c r="K47" s="115"/>
      <c r="L47" s="225" t="s">
        <v>50</v>
      </c>
    </row>
    <row r="48" spans="2:12" ht="12" customHeight="1">
      <c r="B48" s="221">
        <v>30</v>
      </c>
      <c r="C48" s="26">
        <v>45888</v>
      </c>
      <c r="D48" s="26">
        <v>45888</v>
      </c>
      <c r="E48" s="35" t="s">
        <v>92</v>
      </c>
      <c r="H48" s="133">
        <v>1493409</v>
      </c>
      <c r="I48" s="114" t="s">
        <v>173</v>
      </c>
      <c r="J48" s="115" t="s">
        <v>174</v>
      </c>
      <c r="K48" s="115" t="s">
        <v>129</v>
      </c>
      <c r="L48" s="234" t="s">
        <v>488</v>
      </c>
    </row>
    <row r="49" spans="2:12" ht="12" customHeight="1">
      <c r="B49" s="221">
        <v>31</v>
      </c>
      <c r="C49" s="26">
        <v>45890</v>
      </c>
      <c r="D49" s="26">
        <v>45890</v>
      </c>
      <c r="E49" s="35" t="s">
        <v>53</v>
      </c>
      <c r="H49" s="133">
        <v>1030000</v>
      </c>
      <c r="I49" s="114" t="s">
        <v>175</v>
      </c>
      <c r="J49" s="115" t="s">
        <v>176</v>
      </c>
      <c r="K49" s="115"/>
      <c r="L49" s="225" t="s">
        <v>50</v>
      </c>
    </row>
    <row r="50" spans="2:12" ht="12" customHeight="1">
      <c r="B50" s="221">
        <v>32</v>
      </c>
      <c r="C50" s="26">
        <v>45891</v>
      </c>
      <c r="D50" s="26">
        <v>45891</v>
      </c>
      <c r="E50" s="35" t="s">
        <v>47</v>
      </c>
      <c r="H50" s="133">
        <v>15750</v>
      </c>
      <c r="I50" s="115" t="s">
        <v>65</v>
      </c>
      <c r="J50" s="115" t="s">
        <v>185</v>
      </c>
      <c r="K50" s="115" t="s">
        <v>215</v>
      </c>
      <c r="L50" s="223" t="s">
        <v>493</v>
      </c>
    </row>
    <row r="51" spans="2:12" ht="12" customHeight="1">
      <c r="B51" s="221">
        <v>33</v>
      </c>
      <c r="C51" s="26">
        <v>45896</v>
      </c>
      <c r="D51" s="26">
        <v>45896</v>
      </c>
      <c r="E51" s="35" t="s">
        <v>90</v>
      </c>
      <c r="H51" s="93">
        <v>110075</v>
      </c>
      <c r="I51" s="114" t="s">
        <v>177</v>
      </c>
      <c r="J51" s="115" t="s">
        <v>178</v>
      </c>
      <c r="K51" s="96" t="s">
        <v>179</v>
      </c>
      <c r="L51" s="225" t="s">
        <v>50</v>
      </c>
    </row>
    <row r="52" spans="2:12" ht="12" customHeight="1">
      <c r="B52" s="221">
        <v>34</v>
      </c>
      <c r="C52" s="26">
        <v>45901</v>
      </c>
      <c r="D52" s="26">
        <v>45901</v>
      </c>
      <c r="E52" s="35" t="s">
        <v>180</v>
      </c>
      <c r="H52" s="133">
        <v>30766</v>
      </c>
      <c r="I52" s="114" t="s">
        <v>186</v>
      </c>
      <c r="J52" s="115" t="s">
        <v>187</v>
      </c>
      <c r="K52" s="115" t="s">
        <v>188</v>
      </c>
      <c r="L52" s="225" t="s">
        <v>493</v>
      </c>
    </row>
    <row r="53" spans="2:12" ht="12" customHeight="1">
      <c r="B53" s="221">
        <v>35</v>
      </c>
      <c r="C53" s="26">
        <v>45902</v>
      </c>
      <c r="D53" s="26">
        <v>45902</v>
      </c>
      <c r="E53" s="35" t="s">
        <v>93</v>
      </c>
      <c r="H53" s="133">
        <v>816000</v>
      </c>
      <c r="I53" s="114" t="s">
        <v>189</v>
      </c>
      <c r="J53" s="115" t="s">
        <v>216</v>
      </c>
      <c r="K53" s="115"/>
      <c r="L53" s="225" t="s">
        <v>50</v>
      </c>
    </row>
    <row r="54" spans="2:12" ht="12" customHeight="1">
      <c r="B54" s="221">
        <v>36</v>
      </c>
      <c r="C54" s="26">
        <v>45910</v>
      </c>
      <c r="D54" s="26">
        <v>45910</v>
      </c>
      <c r="E54" s="35" t="s">
        <v>53</v>
      </c>
      <c r="H54" s="133">
        <v>38400</v>
      </c>
      <c r="I54" s="114" t="s">
        <v>240</v>
      </c>
      <c r="J54" s="115" t="s">
        <v>241</v>
      </c>
      <c r="K54" s="115"/>
      <c r="L54" s="225" t="s">
        <v>50</v>
      </c>
    </row>
    <row r="55" spans="2:12" ht="12" customHeight="1">
      <c r="B55" s="221">
        <v>37</v>
      </c>
      <c r="C55" s="26">
        <v>45912</v>
      </c>
      <c r="D55" s="26">
        <v>45912</v>
      </c>
      <c r="E55" s="35" t="s">
        <v>48</v>
      </c>
      <c r="H55" s="133">
        <v>192464</v>
      </c>
      <c r="I55" s="114" t="s">
        <v>190</v>
      </c>
      <c r="J55" s="115" t="s">
        <v>217</v>
      </c>
      <c r="K55" s="115"/>
      <c r="L55" s="225" t="s">
        <v>50</v>
      </c>
    </row>
    <row r="56" spans="2:12" ht="12" customHeight="1">
      <c r="B56" s="221">
        <v>38</v>
      </c>
      <c r="C56" s="26">
        <v>45915</v>
      </c>
      <c r="D56" s="26">
        <v>45915</v>
      </c>
      <c r="E56" s="35" t="s">
        <v>48</v>
      </c>
      <c r="H56" s="133">
        <v>100000</v>
      </c>
      <c r="I56" s="114" t="s">
        <v>191</v>
      </c>
      <c r="J56" s="115" t="s">
        <v>218</v>
      </c>
      <c r="K56" s="115"/>
      <c r="L56" s="225" t="s">
        <v>50</v>
      </c>
    </row>
    <row r="57" spans="2:12" ht="12" customHeight="1">
      <c r="B57" s="221">
        <v>39</v>
      </c>
      <c r="C57" s="26">
        <v>45915</v>
      </c>
      <c r="D57" s="26">
        <v>45915</v>
      </c>
      <c r="E57" s="35" t="s">
        <v>53</v>
      </c>
      <c r="H57" s="133">
        <v>101000</v>
      </c>
      <c r="I57" s="114" t="s">
        <v>242</v>
      </c>
      <c r="J57" s="115" t="s">
        <v>243</v>
      </c>
      <c r="K57" s="115"/>
      <c r="L57" s="225" t="s">
        <v>50</v>
      </c>
    </row>
    <row r="58" spans="2:12" ht="12" customHeight="1">
      <c r="B58" s="221">
        <v>40</v>
      </c>
      <c r="C58" s="26">
        <v>45917</v>
      </c>
      <c r="D58" s="26">
        <v>45917</v>
      </c>
      <c r="E58" s="35" t="s">
        <v>47</v>
      </c>
      <c r="H58" s="133">
        <v>126500</v>
      </c>
      <c r="I58" s="114" t="s">
        <v>398</v>
      </c>
      <c r="J58" s="115" t="s">
        <v>244</v>
      </c>
      <c r="K58" s="115" t="s">
        <v>52</v>
      </c>
      <c r="L58" s="234" t="s">
        <v>488</v>
      </c>
    </row>
    <row r="59" spans="2:12" ht="12" customHeight="1">
      <c r="B59" s="221">
        <v>41</v>
      </c>
      <c r="C59" s="26">
        <v>45918</v>
      </c>
      <c r="D59" s="26">
        <v>45918</v>
      </c>
      <c r="E59" s="35" t="s">
        <v>53</v>
      </c>
      <c r="H59" s="133">
        <v>10000</v>
      </c>
      <c r="I59" s="114" t="s">
        <v>245</v>
      </c>
      <c r="J59" s="115" t="s">
        <v>246</v>
      </c>
      <c r="K59" s="115"/>
      <c r="L59" s="225" t="s">
        <v>50</v>
      </c>
    </row>
    <row r="60" spans="2:12" ht="12" customHeight="1">
      <c r="B60" s="221">
        <v>42</v>
      </c>
      <c r="C60" s="26">
        <v>45933</v>
      </c>
      <c r="D60" s="26">
        <v>45933</v>
      </c>
      <c r="E60" s="35" t="s">
        <v>53</v>
      </c>
      <c r="H60" s="133">
        <v>18058</v>
      </c>
      <c r="I60" s="114" t="s">
        <v>247</v>
      </c>
      <c r="J60" s="115" t="s">
        <v>248</v>
      </c>
      <c r="K60" s="115"/>
      <c r="L60" s="223" t="s">
        <v>50</v>
      </c>
    </row>
    <row r="61" spans="2:12" ht="12" customHeight="1">
      <c r="B61" s="221">
        <v>43</v>
      </c>
      <c r="C61" s="26">
        <v>45936</v>
      </c>
      <c r="D61" s="26">
        <v>45936</v>
      </c>
      <c r="E61" s="35" t="s">
        <v>53</v>
      </c>
      <c r="H61" s="133">
        <v>29200</v>
      </c>
      <c r="I61" s="114" t="s">
        <v>249</v>
      </c>
      <c r="J61" s="115" t="s">
        <v>250</v>
      </c>
      <c r="K61" s="115"/>
      <c r="L61" s="223" t="s">
        <v>50</v>
      </c>
    </row>
    <row r="62" spans="2:12" ht="12" customHeight="1">
      <c r="B62" s="221">
        <v>44</v>
      </c>
      <c r="C62" s="26">
        <v>45939</v>
      </c>
      <c r="D62" s="26">
        <v>45939</v>
      </c>
      <c r="E62" s="35" t="s">
        <v>47</v>
      </c>
      <c r="H62" s="133">
        <v>124300</v>
      </c>
      <c r="I62" s="114" t="s">
        <v>330</v>
      </c>
      <c r="J62" s="115" t="s">
        <v>399</v>
      </c>
      <c r="K62" s="115"/>
      <c r="L62" s="223" t="s">
        <v>397</v>
      </c>
    </row>
    <row r="63" spans="2:12" ht="12" customHeight="1">
      <c r="B63" s="221">
        <v>45</v>
      </c>
      <c r="C63" s="26">
        <v>45941</v>
      </c>
      <c r="D63" s="26">
        <v>45941</v>
      </c>
      <c r="E63" s="35" t="s">
        <v>48</v>
      </c>
      <c r="H63" s="133">
        <v>40000</v>
      </c>
      <c r="I63" s="168" t="s">
        <v>251</v>
      </c>
      <c r="J63" s="174" t="s">
        <v>252</v>
      </c>
      <c r="K63" s="115" t="s">
        <v>253</v>
      </c>
      <c r="L63" s="225" t="s">
        <v>493</v>
      </c>
    </row>
    <row r="64" spans="2:12" ht="12" customHeight="1">
      <c r="B64" s="221">
        <v>46</v>
      </c>
      <c r="C64" s="26">
        <v>45953</v>
      </c>
      <c r="D64" s="26">
        <v>45953</v>
      </c>
      <c r="E64" s="35" t="s">
        <v>47</v>
      </c>
      <c r="H64" s="133">
        <v>13750</v>
      </c>
      <c r="I64" s="114" t="s">
        <v>219</v>
      </c>
      <c r="J64" s="115" t="s">
        <v>244</v>
      </c>
      <c r="K64" s="115" t="s">
        <v>52</v>
      </c>
      <c r="L64" s="234" t="s">
        <v>488</v>
      </c>
    </row>
    <row r="65" spans="2:12" ht="12" customHeight="1">
      <c r="B65" s="221">
        <v>47</v>
      </c>
      <c r="C65" s="26">
        <v>45953</v>
      </c>
      <c r="D65" s="26">
        <v>45953</v>
      </c>
      <c r="E65" s="35" t="s">
        <v>53</v>
      </c>
      <c r="H65" s="133">
        <v>106600</v>
      </c>
      <c r="I65" s="115" t="s">
        <v>220</v>
      </c>
      <c r="J65" s="96" t="s">
        <v>221</v>
      </c>
      <c r="K65" s="115" t="s">
        <v>215</v>
      </c>
      <c r="L65" s="225" t="s">
        <v>493</v>
      </c>
    </row>
    <row r="66" spans="2:12" ht="12" customHeight="1">
      <c r="B66" s="221">
        <v>48</v>
      </c>
      <c r="C66" s="26">
        <v>45954</v>
      </c>
      <c r="D66" s="26">
        <v>45954</v>
      </c>
      <c r="E66" s="35" t="s">
        <v>53</v>
      </c>
      <c r="H66" s="133">
        <v>14712</v>
      </c>
      <c r="I66" s="114" t="s">
        <v>254</v>
      </c>
      <c r="J66" s="115" t="s">
        <v>255</v>
      </c>
      <c r="K66" s="115"/>
      <c r="L66" s="223" t="s">
        <v>50</v>
      </c>
    </row>
    <row r="67" spans="2:12" ht="12" customHeight="1">
      <c r="B67" s="221">
        <v>49</v>
      </c>
      <c r="C67" s="26">
        <v>45954</v>
      </c>
      <c r="D67" s="26">
        <v>45954</v>
      </c>
      <c r="E67" s="35" t="s">
        <v>53</v>
      </c>
      <c r="H67" s="133">
        <v>51770</v>
      </c>
      <c r="I67" s="114" t="s">
        <v>256</v>
      </c>
      <c r="J67" s="115" t="s">
        <v>257</v>
      </c>
      <c r="K67" s="115"/>
      <c r="L67" s="223" t="s">
        <v>50</v>
      </c>
    </row>
    <row r="68" spans="2:12" ht="12" customHeight="1">
      <c r="B68" s="221">
        <v>50</v>
      </c>
      <c r="C68" s="26">
        <v>45956</v>
      </c>
      <c r="D68" s="26">
        <v>45956</v>
      </c>
      <c r="E68" s="35" t="s">
        <v>302</v>
      </c>
      <c r="H68" s="133">
        <v>150000</v>
      </c>
      <c r="I68" s="115" t="s">
        <v>303</v>
      </c>
      <c r="J68" s="96" t="s">
        <v>304</v>
      </c>
      <c r="K68" s="115"/>
      <c r="L68" s="223" t="s">
        <v>50</v>
      </c>
    </row>
    <row r="69" spans="2:12" ht="12" customHeight="1">
      <c r="B69" s="221">
        <v>51</v>
      </c>
      <c r="C69" s="26">
        <v>45957</v>
      </c>
      <c r="D69" s="26">
        <v>45957</v>
      </c>
      <c r="E69" s="35" t="s">
        <v>47</v>
      </c>
      <c r="H69" s="133">
        <v>250000</v>
      </c>
      <c r="I69" s="114" t="s">
        <v>219</v>
      </c>
      <c r="J69" s="115" t="s">
        <v>244</v>
      </c>
      <c r="K69" s="115" t="s">
        <v>52</v>
      </c>
      <c r="L69" s="234" t="s">
        <v>488</v>
      </c>
    </row>
    <row r="70" spans="2:12" ht="12" customHeight="1">
      <c r="B70" s="221">
        <v>52</v>
      </c>
      <c r="C70" s="26">
        <v>45958</v>
      </c>
      <c r="D70" s="26">
        <v>45958</v>
      </c>
      <c r="E70" s="35" t="s">
        <v>193</v>
      </c>
      <c r="H70" s="133">
        <v>525500</v>
      </c>
      <c r="I70" s="168" t="s">
        <v>222</v>
      </c>
      <c r="J70" s="96" t="s">
        <v>400</v>
      </c>
      <c r="K70" s="115"/>
      <c r="L70" s="223" t="s">
        <v>50</v>
      </c>
    </row>
    <row r="71" spans="2:12" ht="12" customHeight="1">
      <c r="B71" s="221">
        <v>53</v>
      </c>
      <c r="C71" s="26">
        <v>45962</v>
      </c>
      <c r="D71" s="26">
        <v>45962</v>
      </c>
      <c r="E71" s="35" t="s">
        <v>53</v>
      </c>
      <c r="H71" s="133">
        <v>1080090</v>
      </c>
      <c r="I71" s="114" t="s">
        <v>401</v>
      </c>
      <c r="J71" s="115" t="s">
        <v>402</v>
      </c>
      <c r="K71" s="115" t="s">
        <v>396</v>
      </c>
      <c r="L71" s="223" t="s">
        <v>305</v>
      </c>
    </row>
    <row r="72" spans="2:12" ht="12" customHeight="1">
      <c r="B72" s="221">
        <v>54</v>
      </c>
      <c r="C72" s="26">
        <v>45965</v>
      </c>
      <c r="D72" s="26">
        <v>45965</v>
      </c>
      <c r="E72" s="35" t="s">
        <v>53</v>
      </c>
      <c r="H72" s="133">
        <v>68400</v>
      </c>
      <c r="I72" s="114" t="s">
        <v>326</v>
      </c>
      <c r="J72" s="115"/>
      <c r="K72" s="115"/>
      <c r="L72" s="223" t="s">
        <v>50</v>
      </c>
    </row>
    <row r="73" spans="2:12" ht="12" customHeight="1">
      <c r="B73" s="221">
        <v>55</v>
      </c>
      <c r="C73" s="26">
        <v>45965</v>
      </c>
      <c r="D73" s="26">
        <v>45965</v>
      </c>
      <c r="E73" s="35" t="s">
        <v>53</v>
      </c>
      <c r="H73" s="133">
        <v>110000</v>
      </c>
      <c r="I73" s="114" t="s">
        <v>403</v>
      </c>
      <c r="J73" s="115" t="s">
        <v>404</v>
      </c>
      <c r="K73" s="115" t="s">
        <v>52</v>
      </c>
      <c r="L73" s="223" t="s">
        <v>327</v>
      </c>
    </row>
    <row r="74" spans="2:12" ht="12" customHeight="1">
      <c r="B74" s="221">
        <v>56</v>
      </c>
      <c r="C74" s="26">
        <v>45965</v>
      </c>
      <c r="D74" s="26">
        <v>45965</v>
      </c>
      <c r="E74" s="35" t="s">
        <v>53</v>
      </c>
      <c r="H74" s="133">
        <v>300000</v>
      </c>
      <c r="I74" s="114" t="s">
        <v>325</v>
      </c>
      <c r="J74" s="115"/>
      <c r="K74" s="115"/>
      <c r="L74" s="223" t="s">
        <v>50</v>
      </c>
    </row>
    <row r="75" spans="2:12" ht="12" customHeight="1">
      <c r="B75" s="221">
        <v>57</v>
      </c>
      <c r="C75" s="26">
        <v>45966</v>
      </c>
      <c r="D75" s="26">
        <v>45966</v>
      </c>
      <c r="E75" s="35" t="s">
        <v>192</v>
      </c>
      <c r="H75" s="133">
        <v>96000</v>
      </c>
      <c r="I75" s="114" t="s">
        <v>405</v>
      </c>
      <c r="J75" s="115" t="s">
        <v>399</v>
      </c>
      <c r="K75" s="115"/>
      <c r="L75" s="223" t="s">
        <v>397</v>
      </c>
    </row>
    <row r="76" spans="2:12" ht="12" customHeight="1">
      <c r="B76" s="221">
        <v>58</v>
      </c>
      <c r="C76" s="26">
        <v>45966</v>
      </c>
      <c r="D76" s="26">
        <v>45966</v>
      </c>
      <c r="E76" s="35" t="s">
        <v>47</v>
      </c>
      <c r="H76" s="133">
        <v>180000</v>
      </c>
      <c r="I76" s="114" t="s">
        <v>183</v>
      </c>
      <c r="J76" s="115" t="s">
        <v>43</v>
      </c>
      <c r="K76" s="115"/>
      <c r="L76" s="223" t="s">
        <v>397</v>
      </c>
    </row>
    <row r="77" spans="2:12" ht="12" customHeight="1">
      <c r="B77" s="221">
        <v>59</v>
      </c>
      <c r="C77" s="26">
        <v>45968</v>
      </c>
      <c r="D77" s="26">
        <v>45968</v>
      </c>
      <c r="E77" s="35" t="s">
        <v>48</v>
      </c>
      <c r="H77" s="133">
        <v>3000000</v>
      </c>
      <c r="I77" s="114" t="s">
        <v>297</v>
      </c>
      <c r="J77" s="115" t="s">
        <v>298</v>
      </c>
      <c r="K77" s="115"/>
      <c r="L77" s="223" t="s">
        <v>50</v>
      </c>
    </row>
    <row r="78" spans="2:12" ht="12" customHeight="1">
      <c r="B78" s="221">
        <v>60</v>
      </c>
      <c r="C78" s="26">
        <v>45968</v>
      </c>
      <c r="D78" s="26">
        <v>45968</v>
      </c>
      <c r="E78" s="35" t="s">
        <v>47</v>
      </c>
      <c r="H78" s="133">
        <v>3000000</v>
      </c>
      <c r="I78" s="114" t="s">
        <v>296</v>
      </c>
      <c r="J78" s="115" t="s">
        <v>295</v>
      </c>
      <c r="K78" s="115"/>
      <c r="L78" s="223" t="s">
        <v>50</v>
      </c>
    </row>
    <row r="79" spans="2:12" ht="12" customHeight="1">
      <c r="B79" s="221">
        <v>61</v>
      </c>
      <c r="C79" s="26">
        <v>45975</v>
      </c>
      <c r="D79" s="26">
        <v>45975</v>
      </c>
      <c r="E79" s="35" t="s">
        <v>47</v>
      </c>
      <c r="H79" s="133">
        <v>41820</v>
      </c>
      <c r="I79" s="114" t="s">
        <v>183</v>
      </c>
      <c r="J79" s="115" t="s">
        <v>43</v>
      </c>
      <c r="K79" s="115"/>
      <c r="L79" s="223" t="s">
        <v>397</v>
      </c>
    </row>
    <row r="80" spans="2:12" ht="12" customHeight="1">
      <c r="B80" s="221">
        <v>62</v>
      </c>
      <c r="C80" s="26">
        <v>45980</v>
      </c>
      <c r="D80" s="26">
        <v>45980</v>
      </c>
      <c r="E80" s="35" t="s">
        <v>223</v>
      </c>
      <c r="H80" s="133">
        <v>766499.7</v>
      </c>
      <c r="I80" s="114" t="s">
        <v>274</v>
      </c>
      <c r="J80" s="115" t="s">
        <v>273</v>
      </c>
      <c r="K80" s="115" t="s">
        <v>588</v>
      </c>
      <c r="L80" s="223" t="s">
        <v>513</v>
      </c>
    </row>
    <row r="81" spans="2:12" ht="12" customHeight="1">
      <c r="B81" s="221">
        <v>63</v>
      </c>
      <c r="C81" s="26">
        <v>45982</v>
      </c>
      <c r="D81" s="26">
        <v>45982</v>
      </c>
      <c r="E81" s="35" t="s">
        <v>48</v>
      </c>
      <c r="H81" s="133">
        <v>24000</v>
      </c>
      <c r="I81" s="114" t="s">
        <v>276</v>
      </c>
      <c r="J81" s="115" t="s">
        <v>277</v>
      </c>
      <c r="K81" s="115" t="s">
        <v>82</v>
      </c>
      <c r="L81" s="234" t="s">
        <v>488</v>
      </c>
    </row>
    <row r="82" spans="2:12" ht="12" customHeight="1">
      <c r="B82" s="221">
        <v>64</v>
      </c>
      <c r="C82" s="26">
        <v>45982</v>
      </c>
      <c r="D82" s="26">
        <v>45982</v>
      </c>
      <c r="E82" s="35" t="s">
        <v>48</v>
      </c>
      <c r="H82" s="133">
        <v>45000</v>
      </c>
      <c r="I82" s="114" t="s">
        <v>278</v>
      </c>
      <c r="J82" s="115" t="s">
        <v>281</v>
      </c>
      <c r="K82" s="115"/>
      <c r="L82" s="223" t="s">
        <v>50</v>
      </c>
    </row>
    <row r="83" spans="2:12" ht="12" customHeight="1">
      <c r="B83" s="221">
        <v>65</v>
      </c>
      <c r="C83" s="26">
        <v>45982</v>
      </c>
      <c r="D83" s="26">
        <v>45982</v>
      </c>
      <c r="E83" s="35" t="s">
        <v>53</v>
      </c>
      <c r="H83" s="133">
        <v>112000</v>
      </c>
      <c r="I83" s="114" t="s">
        <v>406</v>
      </c>
      <c r="J83" s="115" t="s">
        <v>407</v>
      </c>
      <c r="K83" s="115"/>
      <c r="L83" s="223" t="s">
        <v>50</v>
      </c>
    </row>
    <row r="84" spans="2:12" ht="12" customHeight="1">
      <c r="B84" s="221">
        <v>66</v>
      </c>
      <c r="C84" s="26">
        <v>45985</v>
      </c>
      <c r="D84" s="26">
        <v>45985</v>
      </c>
      <c r="E84" s="35" t="s">
        <v>47</v>
      </c>
      <c r="H84" s="133">
        <v>9950</v>
      </c>
      <c r="I84" s="114" t="s">
        <v>67</v>
      </c>
      <c r="J84" s="115" t="s">
        <v>43</v>
      </c>
      <c r="K84" s="115"/>
      <c r="L84" s="223" t="s">
        <v>397</v>
      </c>
    </row>
    <row r="85" spans="2:12" ht="12" customHeight="1">
      <c r="B85" s="221">
        <v>67</v>
      </c>
      <c r="C85" s="26">
        <v>45985</v>
      </c>
      <c r="D85" s="26">
        <v>45985</v>
      </c>
      <c r="E85" s="35" t="s">
        <v>53</v>
      </c>
      <c r="H85" s="133">
        <v>10000</v>
      </c>
      <c r="I85" s="114" t="s">
        <v>279</v>
      </c>
      <c r="J85" s="115" t="s">
        <v>280</v>
      </c>
      <c r="K85" s="115"/>
      <c r="L85" s="223" t="s">
        <v>50</v>
      </c>
    </row>
    <row r="86" spans="2:12" ht="12" customHeight="1">
      <c r="B86" s="221">
        <v>68</v>
      </c>
      <c r="C86" s="26">
        <v>45986</v>
      </c>
      <c r="D86" s="26">
        <v>45986</v>
      </c>
      <c r="E86" s="35" t="s">
        <v>47</v>
      </c>
      <c r="H86" s="133">
        <v>243800</v>
      </c>
      <c r="I86" s="114" t="s">
        <v>294</v>
      </c>
      <c r="J86" s="115" t="s">
        <v>295</v>
      </c>
      <c r="K86" s="115"/>
      <c r="L86" s="223" t="s">
        <v>50</v>
      </c>
    </row>
    <row r="87" spans="2:12" ht="12" customHeight="1">
      <c r="B87" s="221">
        <v>69</v>
      </c>
      <c r="C87" s="26">
        <v>45988</v>
      </c>
      <c r="D87" s="26">
        <v>45988</v>
      </c>
      <c r="E87" s="35" t="s">
        <v>47</v>
      </c>
      <c r="H87" s="133">
        <v>1351839</v>
      </c>
      <c r="I87" s="114" t="s">
        <v>67</v>
      </c>
      <c r="J87" s="115" t="s">
        <v>275</v>
      </c>
      <c r="K87" s="115" t="s">
        <v>82</v>
      </c>
      <c r="L87" s="223" t="s">
        <v>67</v>
      </c>
    </row>
    <row r="88" spans="2:12" ht="12" customHeight="1">
      <c r="B88" s="221">
        <v>70</v>
      </c>
      <c r="C88" s="26">
        <v>45990</v>
      </c>
      <c r="D88" s="26">
        <v>45990</v>
      </c>
      <c r="E88" s="35" t="s">
        <v>53</v>
      </c>
      <c r="H88" s="133">
        <v>310000</v>
      </c>
      <c r="I88" s="114" t="s">
        <v>408</v>
      </c>
      <c r="J88" s="115" t="s">
        <v>409</v>
      </c>
      <c r="K88" s="115" t="s">
        <v>52</v>
      </c>
      <c r="L88" s="223" t="s">
        <v>305</v>
      </c>
    </row>
    <row r="89" spans="2:12" ht="12" customHeight="1">
      <c r="B89" s="221">
        <v>71</v>
      </c>
      <c r="C89" s="26">
        <v>45994</v>
      </c>
      <c r="D89" s="26">
        <v>45994</v>
      </c>
      <c r="E89" s="35" t="s">
        <v>53</v>
      </c>
      <c r="H89" s="133">
        <v>191920</v>
      </c>
      <c r="I89" s="35" t="s">
        <v>410</v>
      </c>
      <c r="J89" s="115" t="s">
        <v>411</v>
      </c>
      <c r="K89" s="115" t="s">
        <v>215</v>
      </c>
      <c r="L89" s="223" t="s">
        <v>397</v>
      </c>
    </row>
    <row r="90" spans="2:12" ht="12" customHeight="1">
      <c r="B90" s="221">
        <v>72</v>
      </c>
      <c r="C90" s="26">
        <v>46000</v>
      </c>
      <c r="D90" s="26">
        <v>46000</v>
      </c>
      <c r="E90" s="35" t="s">
        <v>47</v>
      </c>
      <c r="H90" s="133">
        <v>600000</v>
      </c>
      <c r="I90" s="179" t="s">
        <v>329</v>
      </c>
      <c r="J90" s="115" t="s">
        <v>412</v>
      </c>
      <c r="K90" s="115"/>
      <c r="L90" s="223" t="s">
        <v>328</v>
      </c>
    </row>
    <row r="91" spans="2:12" ht="12" customHeight="1">
      <c r="B91" s="221">
        <v>73</v>
      </c>
      <c r="C91" s="26">
        <v>46001</v>
      </c>
      <c r="D91" s="26">
        <v>46001</v>
      </c>
      <c r="E91" s="35" t="s">
        <v>47</v>
      </c>
      <c r="H91" s="133">
        <v>361000</v>
      </c>
      <c r="I91" s="114" t="s">
        <v>330</v>
      </c>
      <c r="J91" s="115"/>
      <c r="K91" s="115"/>
      <c r="L91" s="223" t="s">
        <v>397</v>
      </c>
    </row>
    <row r="92" spans="2:12" ht="12" customHeight="1">
      <c r="B92" s="221">
        <v>74</v>
      </c>
      <c r="C92" s="26">
        <v>46002</v>
      </c>
      <c r="D92" s="26">
        <v>46002</v>
      </c>
      <c r="E92" s="35" t="s">
        <v>47</v>
      </c>
      <c r="H92" s="133">
        <v>1061632</v>
      </c>
      <c r="I92" s="115" t="s">
        <v>398</v>
      </c>
      <c r="J92" s="115"/>
      <c r="K92" s="115"/>
      <c r="L92" s="223" t="s">
        <v>397</v>
      </c>
    </row>
    <row r="93" spans="2:12" ht="12" customHeight="1">
      <c r="B93" s="221">
        <v>75</v>
      </c>
      <c r="C93" s="26">
        <v>46003</v>
      </c>
      <c r="D93" s="26">
        <v>46003</v>
      </c>
      <c r="E93" s="35" t="s">
        <v>53</v>
      </c>
      <c r="H93" s="133">
        <v>15000</v>
      </c>
      <c r="I93" s="179" t="s">
        <v>331</v>
      </c>
      <c r="J93" s="179" t="s">
        <v>332</v>
      </c>
      <c r="K93" s="115" t="s">
        <v>83</v>
      </c>
      <c r="L93" s="223" t="s">
        <v>494</v>
      </c>
    </row>
    <row r="94" spans="2:12" ht="12" customHeight="1">
      <c r="B94" s="221">
        <v>76</v>
      </c>
      <c r="C94" s="26">
        <v>46004</v>
      </c>
      <c r="D94" s="26">
        <v>46004</v>
      </c>
      <c r="E94" s="35" t="s">
        <v>48</v>
      </c>
      <c r="H94" s="133">
        <v>113000</v>
      </c>
      <c r="I94" s="179" t="s">
        <v>333</v>
      </c>
      <c r="J94" s="115" t="s">
        <v>334</v>
      </c>
      <c r="K94" s="115"/>
      <c r="L94" s="223" t="s">
        <v>328</v>
      </c>
    </row>
    <row r="95" spans="2:12" ht="12" customHeight="1">
      <c r="B95" s="221">
        <v>77</v>
      </c>
      <c r="C95" s="26">
        <v>46006</v>
      </c>
      <c r="D95" s="26">
        <v>46006</v>
      </c>
      <c r="E95" s="35" t="s">
        <v>47</v>
      </c>
      <c r="H95" s="133">
        <v>330000</v>
      </c>
      <c r="I95" s="114" t="s">
        <v>335</v>
      </c>
      <c r="J95" s="115" t="s">
        <v>336</v>
      </c>
      <c r="K95" s="115"/>
      <c r="L95" s="223" t="s">
        <v>328</v>
      </c>
    </row>
    <row r="96" spans="2:12" ht="12" customHeight="1">
      <c r="B96" s="221">
        <v>78</v>
      </c>
      <c r="C96" s="26">
        <v>46015</v>
      </c>
      <c r="D96" s="26">
        <v>46015</v>
      </c>
      <c r="E96" s="35" t="s">
        <v>311</v>
      </c>
      <c r="H96" s="133">
        <v>600000</v>
      </c>
      <c r="I96" s="114" t="s">
        <v>339</v>
      </c>
      <c r="J96" s="115" t="s">
        <v>340</v>
      </c>
      <c r="K96" s="115" t="s">
        <v>82</v>
      </c>
      <c r="L96" s="223" t="s">
        <v>494</v>
      </c>
    </row>
    <row r="97" spans="2:12" ht="12" customHeight="1">
      <c r="B97" s="221">
        <v>79</v>
      </c>
      <c r="C97" s="26">
        <v>46018</v>
      </c>
      <c r="D97" s="26">
        <v>46018</v>
      </c>
      <c r="E97" s="35" t="s">
        <v>53</v>
      </c>
      <c r="H97" s="133">
        <v>4000</v>
      </c>
      <c r="I97" s="35" t="s">
        <v>413</v>
      </c>
      <c r="J97" s="115" t="s">
        <v>414</v>
      </c>
      <c r="K97" s="115" t="s">
        <v>82</v>
      </c>
      <c r="L97" s="223" t="s">
        <v>494</v>
      </c>
    </row>
    <row r="98" spans="2:12" ht="12" customHeight="1">
      <c r="B98" s="221">
        <v>80</v>
      </c>
      <c r="C98" s="26">
        <v>46018</v>
      </c>
      <c r="D98" s="26">
        <v>46018</v>
      </c>
      <c r="E98" s="35" t="s">
        <v>53</v>
      </c>
      <c r="H98" s="133">
        <v>22000</v>
      </c>
      <c r="I98" s="35" t="s">
        <v>413</v>
      </c>
      <c r="J98" s="115" t="s">
        <v>414</v>
      </c>
      <c r="K98" s="115" t="s">
        <v>82</v>
      </c>
      <c r="L98" s="223" t="s">
        <v>494</v>
      </c>
    </row>
    <row r="99" spans="2:12" ht="12" customHeight="1">
      <c r="B99" s="221">
        <v>81</v>
      </c>
      <c r="C99" s="26">
        <v>46020</v>
      </c>
      <c r="D99" s="26">
        <v>46020</v>
      </c>
      <c r="E99" s="35" t="s">
        <v>47</v>
      </c>
      <c r="H99" s="133">
        <v>14350</v>
      </c>
      <c r="I99" s="115" t="s">
        <v>398</v>
      </c>
      <c r="J99" s="115"/>
      <c r="K99" s="115"/>
      <c r="L99" s="223" t="s">
        <v>397</v>
      </c>
    </row>
    <row r="100" spans="2:12" ht="12" customHeight="1">
      <c r="B100" s="221">
        <v>82</v>
      </c>
      <c r="C100" s="26">
        <v>46020</v>
      </c>
      <c r="D100" s="26">
        <v>46020</v>
      </c>
      <c r="E100" s="35" t="s">
        <v>47</v>
      </c>
      <c r="H100" s="133">
        <v>350700</v>
      </c>
      <c r="I100" s="114" t="s">
        <v>341</v>
      </c>
      <c r="J100" s="115" t="s">
        <v>342</v>
      </c>
      <c r="K100" s="115" t="s">
        <v>82</v>
      </c>
      <c r="L100" s="223" t="s">
        <v>494</v>
      </c>
    </row>
    <row r="101" spans="2:12" ht="12" customHeight="1">
      <c r="B101" s="221">
        <v>83</v>
      </c>
      <c r="C101" s="26">
        <v>46022</v>
      </c>
      <c r="D101" s="26">
        <v>46022</v>
      </c>
      <c r="E101" s="35" t="s">
        <v>53</v>
      </c>
      <c r="H101" s="133">
        <v>109800</v>
      </c>
      <c r="I101" s="35" t="s">
        <v>415</v>
      </c>
      <c r="J101" s="115" t="s">
        <v>416</v>
      </c>
      <c r="K101" s="115"/>
      <c r="L101" s="223" t="s">
        <v>328</v>
      </c>
    </row>
    <row r="102" spans="2:12" ht="12" customHeight="1">
      <c r="B102" s="221">
        <v>84</v>
      </c>
      <c r="C102" s="26">
        <v>46025</v>
      </c>
      <c r="D102" s="26">
        <v>46025</v>
      </c>
      <c r="E102" s="35" t="s">
        <v>48</v>
      </c>
      <c r="H102" s="133">
        <v>362000</v>
      </c>
      <c r="I102" s="114" t="s">
        <v>417</v>
      </c>
      <c r="J102" s="115" t="s">
        <v>418</v>
      </c>
      <c r="K102" s="115"/>
      <c r="L102" s="223" t="s">
        <v>397</v>
      </c>
    </row>
    <row r="103" spans="2:12" ht="12" customHeight="1">
      <c r="B103" s="221">
        <v>85</v>
      </c>
      <c r="C103" s="26">
        <v>46027</v>
      </c>
      <c r="D103" s="26">
        <v>46027</v>
      </c>
      <c r="E103" s="35" t="s">
        <v>344</v>
      </c>
      <c r="H103" s="133">
        <v>25200</v>
      </c>
      <c r="I103" s="114" t="s">
        <v>419</v>
      </c>
      <c r="J103" s="115" t="s">
        <v>420</v>
      </c>
      <c r="K103" s="115" t="s">
        <v>215</v>
      </c>
      <c r="L103" s="223" t="s">
        <v>493</v>
      </c>
    </row>
    <row r="104" spans="2:12" ht="12" customHeight="1">
      <c r="B104" s="221">
        <v>86</v>
      </c>
      <c r="C104" s="26">
        <v>46030</v>
      </c>
      <c r="D104" s="26">
        <v>46030</v>
      </c>
      <c r="E104" s="35" t="s">
        <v>47</v>
      </c>
      <c r="H104" s="133">
        <v>704750</v>
      </c>
      <c r="I104" s="114" t="s">
        <v>421</v>
      </c>
      <c r="J104" s="115" t="s">
        <v>422</v>
      </c>
      <c r="K104" s="115" t="s">
        <v>396</v>
      </c>
      <c r="L104" s="223" t="s">
        <v>493</v>
      </c>
    </row>
    <row r="105" spans="2:12" ht="12" customHeight="1">
      <c r="B105" s="221">
        <v>87</v>
      </c>
      <c r="C105" s="26">
        <v>46031</v>
      </c>
      <c r="D105" s="26">
        <v>46031</v>
      </c>
      <c r="E105" s="35" t="s">
        <v>47</v>
      </c>
      <c r="H105" s="133">
        <v>120000</v>
      </c>
      <c r="I105" s="114" t="s">
        <v>341</v>
      </c>
      <c r="J105" s="115" t="s">
        <v>423</v>
      </c>
      <c r="K105" s="115" t="s">
        <v>82</v>
      </c>
      <c r="L105" s="223" t="s">
        <v>493</v>
      </c>
    </row>
    <row r="106" spans="2:12" ht="12" customHeight="1">
      <c r="B106" s="221">
        <v>88</v>
      </c>
      <c r="C106" s="26">
        <v>46032</v>
      </c>
      <c r="D106" s="26">
        <v>46032</v>
      </c>
      <c r="E106" s="35" t="s">
        <v>53</v>
      </c>
      <c r="H106" s="133">
        <v>36340</v>
      </c>
      <c r="I106" s="114" t="s">
        <v>424</v>
      </c>
      <c r="J106" s="115" t="s">
        <v>425</v>
      </c>
      <c r="K106" s="115" t="s">
        <v>215</v>
      </c>
      <c r="L106" s="223" t="s">
        <v>493</v>
      </c>
    </row>
    <row r="107" spans="2:12" ht="12" customHeight="1">
      <c r="B107" s="221">
        <v>89</v>
      </c>
      <c r="C107" s="26">
        <v>46038</v>
      </c>
      <c r="D107" s="26">
        <v>46038</v>
      </c>
      <c r="E107" s="35" t="s">
        <v>47</v>
      </c>
      <c r="H107" s="133">
        <v>720000</v>
      </c>
      <c r="I107" s="114" t="s">
        <v>426</v>
      </c>
      <c r="J107" s="115" t="s">
        <v>427</v>
      </c>
      <c r="K107" s="115" t="s">
        <v>396</v>
      </c>
      <c r="L107" s="223" t="s">
        <v>493</v>
      </c>
    </row>
    <row r="108" spans="2:12" ht="12" customHeight="1">
      <c r="B108" s="221">
        <v>90</v>
      </c>
      <c r="C108" s="26">
        <v>46041</v>
      </c>
      <c r="D108" s="26">
        <v>46041</v>
      </c>
      <c r="E108" s="35" t="s">
        <v>48</v>
      </c>
      <c r="H108" s="133">
        <v>104167</v>
      </c>
      <c r="I108" s="114" t="s">
        <v>428</v>
      </c>
      <c r="J108" s="115" t="s">
        <v>429</v>
      </c>
      <c r="K108" s="115" t="s">
        <v>82</v>
      </c>
      <c r="L108" s="223" t="s">
        <v>493</v>
      </c>
    </row>
    <row r="109" spans="2:12" ht="12" customHeight="1">
      <c r="B109" s="221">
        <v>91</v>
      </c>
      <c r="C109" s="26">
        <v>46044</v>
      </c>
      <c r="D109" s="26">
        <v>46044</v>
      </c>
      <c r="E109" s="35" t="s">
        <v>48</v>
      </c>
      <c r="H109" s="133">
        <v>28600</v>
      </c>
      <c r="I109" s="114" t="s">
        <v>430</v>
      </c>
      <c r="J109" s="115" t="s">
        <v>431</v>
      </c>
      <c r="K109" s="115" t="s">
        <v>82</v>
      </c>
      <c r="L109" s="223" t="s">
        <v>493</v>
      </c>
    </row>
    <row r="110" spans="2:12" ht="12" customHeight="1">
      <c r="B110" s="221">
        <v>92</v>
      </c>
      <c r="C110" s="26">
        <v>46045</v>
      </c>
      <c r="D110" s="26">
        <v>46045</v>
      </c>
      <c r="E110" s="35" t="s">
        <v>53</v>
      </c>
      <c r="H110" s="133">
        <v>101700</v>
      </c>
      <c r="I110" s="114" t="s">
        <v>432</v>
      </c>
      <c r="J110" s="115" t="s">
        <v>433</v>
      </c>
      <c r="K110" s="115" t="s">
        <v>82</v>
      </c>
      <c r="L110" s="223" t="s">
        <v>493</v>
      </c>
    </row>
    <row r="111" spans="2:12" ht="12" customHeight="1">
      <c r="B111" s="221">
        <v>93</v>
      </c>
      <c r="C111" s="26">
        <v>46046</v>
      </c>
      <c r="D111" s="26">
        <v>46046</v>
      </c>
      <c r="E111" s="35" t="s">
        <v>53</v>
      </c>
      <c r="H111" s="133">
        <v>283000</v>
      </c>
      <c r="I111" s="114" t="s">
        <v>434</v>
      </c>
      <c r="J111" s="115" t="s">
        <v>435</v>
      </c>
      <c r="K111" s="115" t="s">
        <v>82</v>
      </c>
      <c r="L111" s="223" t="s">
        <v>493</v>
      </c>
    </row>
    <row r="112" spans="2:12" ht="12" customHeight="1">
      <c r="B112" s="221">
        <v>94</v>
      </c>
      <c r="C112" s="26">
        <v>46049</v>
      </c>
      <c r="D112" s="26">
        <v>46049</v>
      </c>
      <c r="E112" s="35" t="s">
        <v>48</v>
      </c>
      <c r="H112" s="133">
        <v>261800</v>
      </c>
      <c r="I112" s="114" t="s">
        <v>436</v>
      </c>
      <c r="J112" s="115" t="s">
        <v>437</v>
      </c>
      <c r="K112" s="115"/>
      <c r="L112" s="223" t="s">
        <v>328</v>
      </c>
    </row>
    <row r="113" spans="2:12" ht="12" customHeight="1">
      <c r="B113" s="221">
        <v>95</v>
      </c>
      <c r="C113" s="26">
        <v>46049</v>
      </c>
      <c r="D113" s="26">
        <v>46049</v>
      </c>
      <c r="E113" s="35" t="s">
        <v>53</v>
      </c>
      <c r="H113" s="133">
        <v>296550</v>
      </c>
      <c r="I113" s="114" t="s">
        <v>438</v>
      </c>
      <c r="J113" s="115" t="s">
        <v>439</v>
      </c>
      <c r="K113" s="115"/>
      <c r="L113" s="223" t="s">
        <v>328</v>
      </c>
    </row>
    <row r="114" spans="2:12" ht="12" customHeight="1">
      <c r="B114" s="221">
        <v>96</v>
      </c>
      <c r="C114" s="26">
        <v>46050</v>
      </c>
      <c r="D114" s="26">
        <v>46050</v>
      </c>
      <c r="E114" s="35" t="s">
        <v>53</v>
      </c>
      <c r="H114" s="133">
        <v>110800</v>
      </c>
      <c r="I114" s="114" t="s">
        <v>440</v>
      </c>
      <c r="J114" s="115" t="s">
        <v>441</v>
      </c>
      <c r="K114" s="115" t="s">
        <v>52</v>
      </c>
      <c r="L114" s="223" t="s">
        <v>488</v>
      </c>
    </row>
    <row r="115" spans="2:12" ht="12" customHeight="1">
      <c r="B115" s="221">
        <v>97</v>
      </c>
      <c r="C115" s="26">
        <v>46050</v>
      </c>
      <c r="D115" s="26">
        <v>46050</v>
      </c>
      <c r="E115" s="35" t="s">
        <v>47</v>
      </c>
      <c r="H115" s="133">
        <v>245000</v>
      </c>
      <c r="I115" s="114" t="s">
        <v>341</v>
      </c>
      <c r="J115" s="115" t="s">
        <v>442</v>
      </c>
      <c r="K115" s="115" t="s">
        <v>82</v>
      </c>
      <c r="L115" s="223" t="s">
        <v>493</v>
      </c>
    </row>
    <row r="116" spans="2:12" ht="12" customHeight="1">
      <c r="B116" s="221">
        <v>98</v>
      </c>
      <c r="C116" s="26">
        <v>46052</v>
      </c>
      <c r="D116" s="26">
        <v>46052</v>
      </c>
      <c r="E116" s="35" t="s">
        <v>346</v>
      </c>
      <c r="H116" s="133">
        <v>86000</v>
      </c>
      <c r="I116" s="114" t="s">
        <v>443</v>
      </c>
      <c r="J116" s="115" t="s">
        <v>444</v>
      </c>
      <c r="K116" s="115"/>
      <c r="L116" s="223" t="s">
        <v>493</v>
      </c>
    </row>
    <row r="117" spans="2:12" ht="12" customHeight="1">
      <c r="B117" s="221">
        <v>99</v>
      </c>
      <c r="C117" s="26">
        <v>46055</v>
      </c>
      <c r="D117" s="26">
        <v>46055</v>
      </c>
      <c r="E117" s="35" t="s">
        <v>47</v>
      </c>
      <c r="H117" s="133">
        <v>93150</v>
      </c>
      <c r="I117" s="222" t="s">
        <v>529</v>
      </c>
      <c r="J117" s="115" t="s">
        <v>530</v>
      </c>
      <c r="K117" s="115" t="s">
        <v>271</v>
      </c>
      <c r="L117" s="223" t="s">
        <v>531</v>
      </c>
    </row>
    <row r="118" spans="2:12" ht="12" customHeight="1">
      <c r="B118" s="221">
        <v>100</v>
      </c>
      <c r="C118" s="26">
        <v>46056</v>
      </c>
      <c r="D118" s="26">
        <v>46056</v>
      </c>
      <c r="E118" s="35" t="s">
        <v>55</v>
      </c>
      <c r="H118" s="133">
        <v>375000</v>
      </c>
      <c r="I118" s="115" t="s">
        <v>532</v>
      </c>
      <c r="J118" s="115" t="s">
        <v>533</v>
      </c>
      <c r="K118" s="115"/>
      <c r="L118" s="223" t="s">
        <v>534</v>
      </c>
    </row>
    <row r="119" spans="2:12" ht="12" customHeight="1">
      <c r="B119" s="221">
        <v>101</v>
      </c>
      <c r="C119" s="26">
        <v>46056</v>
      </c>
      <c r="D119" s="26">
        <v>46056</v>
      </c>
      <c r="E119" s="35" t="s">
        <v>48</v>
      </c>
      <c r="H119" s="133">
        <v>555000</v>
      </c>
      <c r="I119" s="115" t="s">
        <v>535</v>
      </c>
      <c r="J119" s="115" t="s">
        <v>536</v>
      </c>
      <c r="K119" s="115" t="s">
        <v>215</v>
      </c>
      <c r="L119" s="223" t="s">
        <v>497</v>
      </c>
    </row>
    <row r="120" spans="2:12" ht="12" customHeight="1">
      <c r="B120" s="221">
        <v>102</v>
      </c>
      <c r="C120" s="26">
        <v>46059</v>
      </c>
      <c r="D120" s="26">
        <v>46059</v>
      </c>
      <c r="E120" s="35" t="s">
        <v>445</v>
      </c>
      <c r="H120" s="133">
        <v>14075.62</v>
      </c>
      <c r="I120" s="114" t="s">
        <v>539</v>
      </c>
      <c r="J120" s="115" t="s">
        <v>540</v>
      </c>
      <c r="K120" s="115" t="s">
        <v>271</v>
      </c>
      <c r="L120" s="223" t="s">
        <v>497</v>
      </c>
    </row>
    <row r="121" spans="2:12" ht="12" customHeight="1">
      <c r="B121" s="221">
        <v>103</v>
      </c>
      <c r="C121" s="26">
        <v>46059</v>
      </c>
      <c r="D121" s="26">
        <v>46059</v>
      </c>
      <c r="E121" s="35" t="s">
        <v>48</v>
      </c>
      <c r="H121" s="133">
        <v>468000</v>
      </c>
      <c r="I121" s="114" t="s">
        <v>541</v>
      </c>
      <c r="J121" s="115" t="s">
        <v>542</v>
      </c>
      <c r="K121" s="115" t="s">
        <v>396</v>
      </c>
      <c r="L121" s="223" t="s">
        <v>497</v>
      </c>
    </row>
    <row r="122" spans="2:12" ht="12" customHeight="1">
      <c r="B122" s="221">
        <v>104</v>
      </c>
      <c r="C122" s="26">
        <v>46060</v>
      </c>
      <c r="D122" s="26">
        <v>46060</v>
      </c>
      <c r="E122" s="35" t="s">
        <v>47</v>
      </c>
      <c r="H122" s="133">
        <v>11800</v>
      </c>
      <c r="I122" s="114" t="s">
        <v>330</v>
      </c>
      <c r="J122" s="115" t="s">
        <v>543</v>
      </c>
      <c r="K122" s="115"/>
      <c r="L122" s="223" t="s">
        <v>544</v>
      </c>
    </row>
    <row r="123" spans="2:12" ht="12" customHeight="1">
      <c r="B123" s="221">
        <v>105</v>
      </c>
      <c r="C123" s="26">
        <v>46060</v>
      </c>
      <c r="D123" s="26">
        <v>46060</v>
      </c>
      <c r="E123" s="35" t="s">
        <v>48</v>
      </c>
      <c r="H123" s="133">
        <v>170325</v>
      </c>
      <c r="I123" s="114" t="s">
        <v>545</v>
      </c>
      <c r="J123" s="115" t="s">
        <v>546</v>
      </c>
      <c r="K123" s="115" t="s">
        <v>347</v>
      </c>
      <c r="L123" s="223" t="s">
        <v>497</v>
      </c>
    </row>
    <row r="124" spans="2:12" ht="12" customHeight="1">
      <c r="B124" s="221">
        <v>106</v>
      </c>
      <c r="C124" s="26">
        <v>46062</v>
      </c>
      <c r="D124" s="26">
        <v>46062</v>
      </c>
      <c r="E124" s="35" t="s">
        <v>48</v>
      </c>
      <c r="H124" s="133">
        <v>187990</v>
      </c>
      <c r="I124" s="114" t="s">
        <v>547</v>
      </c>
      <c r="J124" s="115" t="s">
        <v>548</v>
      </c>
      <c r="K124" s="115"/>
      <c r="L124" s="223" t="s">
        <v>50</v>
      </c>
    </row>
    <row r="125" spans="2:12" ht="12" customHeight="1">
      <c r="B125" s="221">
        <v>107</v>
      </c>
      <c r="C125" s="26">
        <v>46064</v>
      </c>
      <c r="D125" s="26">
        <v>46064</v>
      </c>
      <c r="E125" s="35" t="s">
        <v>53</v>
      </c>
      <c r="H125" s="133">
        <v>228000</v>
      </c>
      <c r="I125" s="115" t="s">
        <v>549</v>
      </c>
      <c r="J125" s="115" t="s">
        <v>550</v>
      </c>
      <c r="K125" s="115"/>
      <c r="L125" s="223" t="s">
        <v>50</v>
      </c>
    </row>
    <row r="126" spans="2:12" ht="12" customHeight="1">
      <c r="B126" s="221">
        <v>108</v>
      </c>
      <c r="C126" s="26">
        <v>46065</v>
      </c>
      <c r="D126" s="26">
        <v>46065</v>
      </c>
      <c r="E126" s="35" t="s">
        <v>48</v>
      </c>
      <c r="H126" s="133">
        <v>161500</v>
      </c>
      <c r="I126" s="114" t="s">
        <v>551</v>
      </c>
      <c r="J126" s="115" t="s">
        <v>552</v>
      </c>
      <c r="K126" s="115"/>
      <c r="L126" s="223" t="s">
        <v>50</v>
      </c>
    </row>
    <row r="127" spans="2:12" ht="12" customHeight="1">
      <c r="B127" s="221">
        <v>109</v>
      </c>
      <c r="C127" s="26">
        <v>46067</v>
      </c>
      <c r="D127" s="26">
        <v>46067</v>
      </c>
      <c r="E127" s="35" t="s">
        <v>53</v>
      </c>
      <c r="H127" s="133">
        <v>198000</v>
      </c>
      <c r="I127" s="114" t="s">
        <v>553</v>
      </c>
      <c r="J127" s="115"/>
      <c r="K127" s="115"/>
      <c r="L127" s="223" t="s">
        <v>554</v>
      </c>
    </row>
    <row r="128" spans="2:12" ht="12" customHeight="1">
      <c r="B128" s="221">
        <v>110</v>
      </c>
      <c r="C128" s="26">
        <v>46069</v>
      </c>
      <c r="D128" s="26">
        <v>46069</v>
      </c>
      <c r="E128" s="35" t="s">
        <v>48</v>
      </c>
      <c r="H128" s="133">
        <v>182300</v>
      </c>
      <c r="I128" s="114" t="s">
        <v>555</v>
      </c>
      <c r="J128" s="115" t="s">
        <v>556</v>
      </c>
      <c r="K128" s="115" t="s">
        <v>271</v>
      </c>
      <c r="L128" s="223" t="s">
        <v>497</v>
      </c>
    </row>
    <row r="129" spans="2:12" ht="12" customHeight="1">
      <c r="B129" s="221">
        <v>111</v>
      </c>
      <c r="C129" s="26">
        <v>46069</v>
      </c>
      <c r="D129" s="26">
        <v>46069</v>
      </c>
      <c r="E129" s="35" t="s">
        <v>345</v>
      </c>
      <c r="H129" s="180">
        <v>281312</v>
      </c>
      <c r="I129" s="222" t="s">
        <v>337</v>
      </c>
      <c r="J129" s="115"/>
      <c r="K129" s="115"/>
      <c r="L129" s="223" t="s">
        <v>338</v>
      </c>
    </row>
    <row r="130" spans="2:12" ht="12" customHeight="1">
      <c r="B130" s="221">
        <v>112</v>
      </c>
      <c r="C130" s="26">
        <v>46072</v>
      </c>
      <c r="D130" s="26">
        <v>46072</v>
      </c>
      <c r="E130" s="35" t="s">
        <v>53</v>
      </c>
      <c r="H130" s="133">
        <v>68025</v>
      </c>
      <c r="I130" s="114" t="s">
        <v>557</v>
      </c>
      <c r="J130" s="96" t="s">
        <v>558</v>
      </c>
      <c r="K130" s="115" t="s">
        <v>83</v>
      </c>
      <c r="L130" s="223" t="s">
        <v>559</v>
      </c>
    </row>
    <row r="131" spans="2:12" ht="12" customHeight="1">
      <c r="B131" s="221">
        <v>113</v>
      </c>
      <c r="C131" s="26">
        <v>46073</v>
      </c>
      <c r="D131" s="26">
        <v>46073</v>
      </c>
      <c r="E131" s="35" t="s">
        <v>48</v>
      </c>
      <c r="H131" s="133">
        <v>46550</v>
      </c>
      <c r="I131" s="114" t="s">
        <v>545</v>
      </c>
      <c r="J131" s="96" t="s">
        <v>560</v>
      </c>
      <c r="K131" s="115" t="s">
        <v>347</v>
      </c>
      <c r="L131" s="223" t="s">
        <v>497</v>
      </c>
    </row>
    <row r="132" spans="2:12" ht="12" customHeight="1">
      <c r="B132" s="221">
        <v>114</v>
      </c>
      <c r="C132" s="26">
        <v>46073</v>
      </c>
      <c r="D132" s="26">
        <v>46073</v>
      </c>
      <c r="E132" s="35" t="s">
        <v>91</v>
      </c>
      <c r="H132" s="133">
        <v>1375050</v>
      </c>
      <c r="I132" s="114" t="s">
        <v>561</v>
      </c>
      <c r="J132" s="115" t="s">
        <v>562</v>
      </c>
      <c r="K132" s="115" t="s">
        <v>52</v>
      </c>
      <c r="L132" s="223" t="s">
        <v>589</v>
      </c>
    </row>
    <row r="133" spans="2:12" ht="12" customHeight="1">
      <c r="B133" s="221">
        <v>115</v>
      </c>
      <c r="C133" s="26">
        <v>46074</v>
      </c>
      <c r="D133" s="26">
        <v>46074</v>
      </c>
      <c r="E133" s="35" t="s">
        <v>48</v>
      </c>
      <c r="H133" s="133">
        <v>90875</v>
      </c>
      <c r="I133" s="114" t="s">
        <v>564</v>
      </c>
      <c r="J133" s="115" t="s">
        <v>565</v>
      </c>
      <c r="K133" s="115" t="s">
        <v>82</v>
      </c>
      <c r="L133" s="223" t="s">
        <v>497</v>
      </c>
    </row>
    <row r="134" spans="2:12" ht="12" customHeight="1">
      <c r="B134" s="221">
        <v>116</v>
      </c>
      <c r="C134" s="26">
        <v>46076</v>
      </c>
      <c r="D134" s="26">
        <v>46076</v>
      </c>
      <c r="E134" s="35" t="s">
        <v>47</v>
      </c>
      <c r="H134" s="133">
        <v>3110645</v>
      </c>
      <c r="I134" s="114" t="s">
        <v>47</v>
      </c>
      <c r="J134" s="115" t="s">
        <v>533</v>
      </c>
      <c r="K134" s="115"/>
      <c r="L134" s="223" t="s">
        <v>534</v>
      </c>
    </row>
    <row r="135" spans="2:12" ht="12" customHeight="1">
      <c r="B135" s="221">
        <v>117</v>
      </c>
      <c r="C135" s="26">
        <v>46078</v>
      </c>
      <c r="D135" s="26">
        <v>46078</v>
      </c>
      <c r="E135" s="35" t="s">
        <v>53</v>
      </c>
      <c r="H135" s="133">
        <v>32250</v>
      </c>
      <c r="I135" s="114" t="s">
        <v>566</v>
      </c>
      <c r="J135" s="115" t="s">
        <v>567</v>
      </c>
      <c r="K135" s="115"/>
      <c r="L135" s="223" t="s">
        <v>50</v>
      </c>
    </row>
    <row r="136" spans="2:12" ht="12" customHeight="1">
      <c r="B136" s="221">
        <v>118</v>
      </c>
      <c r="C136" s="26">
        <v>46079</v>
      </c>
      <c r="D136" s="26">
        <v>46079</v>
      </c>
      <c r="E136" s="35" t="s">
        <v>345</v>
      </c>
      <c r="H136" s="180">
        <v>351640</v>
      </c>
      <c r="I136" s="114" t="s">
        <v>337</v>
      </c>
      <c r="J136" s="115"/>
      <c r="K136" s="115"/>
      <c r="L136" s="223" t="s">
        <v>338</v>
      </c>
    </row>
    <row r="137" spans="2:12" ht="12" customHeight="1">
      <c r="B137" s="221">
        <v>119</v>
      </c>
      <c r="C137" s="26">
        <v>46080</v>
      </c>
      <c r="D137" s="26">
        <v>46080</v>
      </c>
      <c r="E137" s="35" t="s">
        <v>53</v>
      </c>
      <c r="H137" s="133">
        <v>2000</v>
      </c>
      <c r="I137" s="114" t="s">
        <v>568</v>
      </c>
      <c r="J137" s="115" t="s">
        <v>569</v>
      </c>
      <c r="K137" s="115"/>
      <c r="L137" s="223" t="s">
        <v>50</v>
      </c>
    </row>
    <row r="138" spans="2:12" ht="12" customHeight="1">
      <c r="B138" s="221">
        <v>120</v>
      </c>
      <c r="C138" s="26">
        <v>46080</v>
      </c>
      <c r="D138" s="26">
        <v>46080</v>
      </c>
      <c r="E138" s="35" t="s">
        <v>446</v>
      </c>
      <c r="H138" s="133">
        <v>150000</v>
      </c>
      <c r="I138" s="102" t="s">
        <v>570</v>
      </c>
      <c r="J138" s="115" t="s">
        <v>571</v>
      </c>
      <c r="K138" s="115" t="s">
        <v>271</v>
      </c>
      <c r="L138" s="223" t="s">
        <v>497</v>
      </c>
    </row>
    <row r="139" spans="2:12" ht="12" customHeight="1">
      <c r="B139" s="221">
        <v>121</v>
      </c>
      <c r="C139" s="26">
        <v>46080</v>
      </c>
      <c r="D139" s="26">
        <v>46080</v>
      </c>
      <c r="E139" s="35" t="s">
        <v>47</v>
      </c>
      <c r="H139" s="133">
        <v>358020</v>
      </c>
      <c r="I139" s="114" t="s">
        <v>572</v>
      </c>
      <c r="J139" s="115" t="s">
        <v>573</v>
      </c>
      <c r="K139" s="115" t="s">
        <v>82</v>
      </c>
      <c r="L139" s="223" t="s">
        <v>531</v>
      </c>
    </row>
    <row r="140" spans="2:12" ht="12" customHeight="1">
      <c r="B140" s="221">
        <v>122</v>
      </c>
      <c r="C140" s="26">
        <v>46080</v>
      </c>
      <c r="D140" s="26">
        <v>46080</v>
      </c>
      <c r="E140" s="35" t="s">
        <v>55</v>
      </c>
      <c r="H140" s="133">
        <v>753525</v>
      </c>
      <c r="I140" s="114" t="s">
        <v>574</v>
      </c>
      <c r="J140" s="115" t="s">
        <v>533</v>
      </c>
      <c r="K140" s="115"/>
      <c r="L140" s="223" t="s">
        <v>534</v>
      </c>
    </row>
    <row r="141" spans="2:12" ht="12" customHeight="1">
      <c r="B141" s="221">
        <v>123</v>
      </c>
      <c r="C141" s="26">
        <v>46084</v>
      </c>
      <c r="D141" s="26">
        <v>46084</v>
      </c>
      <c r="E141" s="35" t="s">
        <v>53</v>
      </c>
      <c r="H141" s="133">
        <v>21000</v>
      </c>
      <c r="I141" s="114" t="s">
        <v>590</v>
      </c>
      <c r="J141" s="115" t="s">
        <v>591</v>
      </c>
      <c r="K141" s="115" t="s">
        <v>83</v>
      </c>
      <c r="L141" s="223" t="s">
        <v>592</v>
      </c>
    </row>
    <row r="142" spans="2:12" ht="12" customHeight="1">
      <c r="B142" s="221">
        <v>124</v>
      </c>
      <c r="C142" s="26">
        <v>46084</v>
      </c>
      <c r="D142" s="26">
        <v>46084</v>
      </c>
      <c r="E142" s="35" t="s">
        <v>47</v>
      </c>
      <c r="H142" s="133">
        <v>406850</v>
      </c>
      <c r="I142" s="114" t="s">
        <v>593</v>
      </c>
      <c r="J142" s="115" t="s">
        <v>594</v>
      </c>
      <c r="K142" s="115" t="s">
        <v>82</v>
      </c>
      <c r="L142" s="223" t="s">
        <v>595</v>
      </c>
    </row>
    <row r="143" spans="2:12" ht="12" customHeight="1">
      <c r="B143" s="221">
        <v>125</v>
      </c>
      <c r="C143" s="26">
        <v>46086</v>
      </c>
      <c r="D143" s="26">
        <v>46086</v>
      </c>
      <c r="E143" s="35" t="s">
        <v>47</v>
      </c>
      <c r="H143" s="133">
        <v>11550</v>
      </c>
      <c r="I143" s="114" t="s">
        <v>330</v>
      </c>
      <c r="J143" s="115" t="s">
        <v>543</v>
      </c>
      <c r="K143" s="115"/>
      <c r="L143" s="223" t="s">
        <v>596</v>
      </c>
    </row>
    <row r="144" spans="2:12" ht="12" customHeight="1">
      <c r="B144" s="221">
        <v>126</v>
      </c>
      <c r="C144" s="26">
        <v>46086</v>
      </c>
      <c r="D144" s="26">
        <v>46086</v>
      </c>
      <c r="E144" s="35" t="s">
        <v>53</v>
      </c>
      <c r="H144" s="133">
        <v>34600</v>
      </c>
      <c r="I144" s="114" t="s">
        <v>597</v>
      </c>
      <c r="J144" s="115" t="s">
        <v>598</v>
      </c>
      <c r="K144" s="115" t="s">
        <v>82</v>
      </c>
      <c r="L144" s="223" t="s">
        <v>595</v>
      </c>
    </row>
    <row r="145" spans="2:12" ht="12" customHeight="1">
      <c r="B145" s="221">
        <v>127</v>
      </c>
      <c r="C145" s="26">
        <v>46086</v>
      </c>
      <c r="D145" s="26">
        <v>46086</v>
      </c>
      <c r="E145" s="35" t="s">
        <v>53</v>
      </c>
      <c r="H145" s="133">
        <v>82500</v>
      </c>
      <c r="I145" s="114" t="s">
        <v>599</v>
      </c>
      <c r="J145" s="115" t="s">
        <v>600</v>
      </c>
      <c r="K145" s="115" t="s">
        <v>82</v>
      </c>
      <c r="L145" s="223" t="s">
        <v>595</v>
      </c>
    </row>
    <row r="146" spans="2:12" ht="12" customHeight="1">
      <c r="B146" s="221">
        <v>128</v>
      </c>
      <c r="C146" s="26">
        <v>46090</v>
      </c>
      <c r="D146" s="26">
        <v>46090</v>
      </c>
      <c r="E146" s="35" t="s">
        <v>48</v>
      </c>
      <c r="H146" s="133">
        <v>47580</v>
      </c>
      <c r="I146" s="114" t="s">
        <v>601</v>
      </c>
      <c r="J146" s="115" t="s">
        <v>602</v>
      </c>
      <c r="K146" s="115" t="s">
        <v>129</v>
      </c>
      <c r="L146" s="223" t="s">
        <v>595</v>
      </c>
    </row>
    <row r="147" spans="2:12" ht="12" customHeight="1">
      <c r="B147" s="221">
        <v>129</v>
      </c>
      <c r="C147" s="26">
        <v>46090</v>
      </c>
      <c r="D147" s="26">
        <v>46090</v>
      </c>
      <c r="E147" s="35" t="s">
        <v>48</v>
      </c>
      <c r="H147" s="133">
        <v>402600</v>
      </c>
      <c r="I147" s="114" t="s">
        <v>603</v>
      </c>
      <c r="J147" s="115" t="s">
        <v>604</v>
      </c>
      <c r="K147" s="115"/>
      <c r="L147" s="223" t="s">
        <v>50</v>
      </c>
    </row>
    <row r="148" spans="2:12" ht="12" customHeight="1">
      <c r="B148" s="221">
        <v>130</v>
      </c>
      <c r="C148" s="26">
        <v>46091</v>
      </c>
      <c r="D148" s="26">
        <v>46091</v>
      </c>
      <c r="E148" s="35" t="s">
        <v>48</v>
      </c>
      <c r="H148" s="133">
        <v>78100</v>
      </c>
      <c r="I148" s="114" t="s">
        <v>605</v>
      </c>
      <c r="J148" s="115" t="s">
        <v>606</v>
      </c>
      <c r="K148" s="115" t="s">
        <v>82</v>
      </c>
      <c r="L148" s="223" t="s">
        <v>595</v>
      </c>
    </row>
    <row r="149" spans="2:12" ht="12" customHeight="1">
      <c r="B149" s="221">
        <v>131</v>
      </c>
      <c r="C149" s="26">
        <v>46091</v>
      </c>
      <c r="D149" s="26">
        <v>46091</v>
      </c>
      <c r="E149" s="35" t="s">
        <v>48</v>
      </c>
      <c r="H149" s="133">
        <v>420591</v>
      </c>
      <c r="I149" s="114" t="s">
        <v>607</v>
      </c>
      <c r="J149" s="115" t="s">
        <v>608</v>
      </c>
      <c r="K149" s="115" t="s">
        <v>609</v>
      </c>
      <c r="L149" s="223" t="s">
        <v>595</v>
      </c>
    </row>
    <row r="150" spans="2:12" ht="12" customHeight="1">
      <c r="B150" s="221">
        <v>132</v>
      </c>
      <c r="C150" s="26">
        <v>46092</v>
      </c>
      <c r="D150" s="26">
        <v>46092</v>
      </c>
      <c r="E150" s="35" t="s">
        <v>53</v>
      </c>
      <c r="H150" s="133">
        <v>43500</v>
      </c>
      <c r="I150" s="114" t="s">
        <v>610</v>
      </c>
      <c r="J150" s="115" t="s">
        <v>611</v>
      </c>
      <c r="K150" s="115" t="s">
        <v>396</v>
      </c>
      <c r="L150" s="223" t="s">
        <v>595</v>
      </c>
    </row>
    <row r="151" spans="2:12" ht="12" customHeight="1">
      <c r="B151" s="221">
        <v>133</v>
      </c>
      <c r="C151" s="26">
        <v>46092</v>
      </c>
      <c r="D151" s="26">
        <v>46092</v>
      </c>
      <c r="E151" s="35" t="s">
        <v>612</v>
      </c>
      <c r="H151" s="133">
        <v>190000</v>
      </c>
      <c r="I151" s="115" t="s">
        <v>613</v>
      </c>
      <c r="J151" s="115" t="s">
        <v>614</v>
      </c>
      <c r="K151" s="115" t="s">
        <v>615</v>
      </c>
      <c r="L151" s="223" t="s">
        <v>616</v>
      </c>
    </row>
    <row r="152" spans="2:12" ht="12" customHeight="1">
      <c r="B152" s="221">
        <v>134</v>
      </c>
      <c r="C152" s="26">
        <v>46092</v>
      </c>
      <c r="D152" s="26">
        <v>46092</v>
      </c>
      <c r="E152" s="35" t="s">
        <v>48</v>
      </c>
      <c r="H152" s="133">
        <v>3500000</v>
      </c>
      <c r="I152" s="114" t="s">
        <v>617</v>
      </c>
      <c r="J152" s="115" t="s">
        <v>618</v>
      </c>
      <c r="K152" s="115" t="s">
        <v>588</v>
      </c>
      <c r="L152" s="223" t="s">
        <v>619</v>
      </c>
    </row>
    <row r="153" spans="2:12" ht="12" customHeight="1">
      <c r="B153" s="221">
        <v>135</v>
      </c>
      <c r="C153" s="26">
        <v>46094</v>
      </c>
      <c r="D153" s="26">
        <v>46094</v>
      </c>
      <c r="E153" s="35" t="s">
        <v>345</v>
      </c>
      <c r="H153" s="180">
        <v>140656</v>
      </c>
      <c r="I153" s="114" t="s">
        <v>337</v>
      </c>
      <c r="J153" s="115"/>
      <c r="K153" s="115"/>
      <c r="L153" s="223" t="s">
        <v>338</v>
      </c>
    </row>
    <row r="154" spans="2:12" ht="12" customHeight="1">
      <c r="B154" s="221">
        <v>136</v>
      </c>
      <c r="C154" s="26">
        <v>46094</v>
      </c>
      <c r="D154" s="26">
        <v>46094</v>
      </c>
      <c r="E154" s="35" t="s">
        <v>53</v>
      </c>
      <c r="H154" s="133">
        <v>382000</v>
      </c>
      <c r="I154" s="114" t="s">
        <v>620</v>
      </c>
      <c r="J154" s="115" t="s">
        <v>621</v>
      </c>
      <c r="K154" s="115"/>
      <c r="L154" s="223" t="s">
        <v>50</v>
      </c>
    </row>
    <row r="155" spans="2:12" ht="12" customHeight="1">
      <c r="B155" s="221">
        <v>137</v>
      </c>
      <c r="C155" s="26">
        <v>46094</v>
      </c>
      <c r="D155" s="26">
        <v>46094</v>
      </c>
      <c r="E155" s="35" t="s">
        <v>48</v>
      </c>
      <c r="H155" s="133">
        <v>2256000</v>
      </c>
      <c r="I155" s="114" t="s">
        <v>537</v>
      </c>
      <c r="J155" s="115" t="s">
        <v>538</v>
      </c>
      <c r="K155" s="115" t="s">
        <v>82</v>
      </c>
      <c r="L155" s="223" t="s">
        <v>497</v>
      </c>
    </row>
    <row r="156" spans="2:12" ht="12" customHeight="1">
      <c r="B156" s="221">
        <v>138</v>
      </c>
      <c r="C156" s="26">
        <v>46097</v>
      </c>
      <c r="D156" s="26">
        <v>46097</v>
      </c>
      <c r="E156" s="35" t="s">
        <v>55</v>
      </c>
      <c r="H156" s="133">
        <v>3466125</v>
      </c>
      <c r="I156" s="114" t="s">
        <v>622</v>
      </c>
      <c r="J156" s="115" t="s">
        <v>543</v>
      </c>
      <c r="K156" s="115"/>
      <c r="L156" s="223" t="s">
        <v>596</v>
      </c>
    </row>
    <row r="157" spans="2:12" ht="12" customHeight="1">
      <c r="B157" s="221">
        <v>139</v>
      </c>
      <c r="C157" s="26">
        <v>46099</v>
      </c>
      <c r="D157" s="26">
        <v>46099</v>
      </c>
      <c r="E157" s="35" t="s">
        <v>447</v>
      </c>
      <c r="H157" s="133">
        <v>375188</v>
      </c>
      <c r="I157" s="114" t="s">
        <v>623</v>
      </c>
      <c r="J157" s="115" t="s">
        <v>624</v>
      </c>
      <c r="K157" s="115" t="s">
        <v>83</v>
      </c>
      <c r="L157" s="115" t="s">
        <v>592</v>
      </c>
    </row>
    <row r="158" spans="2:12" ht="12" customHeight="1">
      <c r="B158" s="221">
        <v>140</v>
      </c>
      <c r="C158" s="26">
        <v>46099</v>
      </c>
      <c r="D158" s="26">
        <v>46099</v>
      </c>
      <c r="E158" s="35" t="s">
        <v>48</v>
      </c>
      <c r="H158" s="133">
        <v>680000</v>
      </c>
      <c r="I158" s="114" t="s">
        <v>625</v>
      </c>
      <c r="J158" s="115" t="s">
        <v>626</v>
      </c>
      <c r="K158" s="115" t="s">
        <v>396</v>
      </c>
      <c r="L158" s="223" t="s">
        <v>595</v>
      </c>
    </row>
    <row r="159" spans="2:12" ht="12" customHeight="1">
      <c r="B159" s="221">
        <v>141</v>
      </c>
      <c r="C159" s="26">
        <v>46099</v>
      </c>
      <c r="D159" s="26">
        <v>46099</v>
      </c>
      <c r="E159" s="35" t="s">
        <v>346</v>
      </c>
      <c r="H159" s="133">
        <v>1000000</v>
      </c>
      <c r="I159" s="114" t="s">
        <v>627</v>
      </c>
      <c r="J159" s="115" t="s">
        <v>628</v>
      </c>
      <c r="K159" s="115" t="s">
        <v>629</v>
      </c>
      <c r="L159" s="242" t="s">
        <v>627</v>
      </c>
    </row>
    <row r="160" spans="2:12" ht="12" customHeight="1">
      <c r="B160" s="221">
        <v>142</v>
      </c>
      <c r="C160" s="26">
        <v>46100</v>
      </c>
      <c r="D160" s="26">
        <v>46100</v>
      </c>
      <c r="E160" s="35" t="s">
        <v>48</v>
      </c>
      <c r="H160" s="133">
        <v>398445</v>
      </c>
      <c r="I160" s="114" t="s">
        <v>630</v>
      </c>
      <c r="J160" s="115" t="s">
        <v>631</v>
      </c>
      <c r="K160" s="115" t="s">
        <v>82</v>
      </c>
      <c r="L160" s="223" t="s">
        <v>595</v>
      </c>
    </row>
    <row r="161" spans="2:12" ht="12" customHeight="1">
      <c r="B161" s="221">
        <v>143</v>
      </c>
      <c r="C161" s="26">
        <v>46101</v>
      </c>
      <c r="D161" s="26">
        <v>46101</v>
      </c>
      <c r="E161" s="35" t="s">
        <v>48</v>
      </c>
      <c r="H161" s="133">
        <v>83440</v>
      </c>
      <c r="I161" s="114" t="s">
        <v>632</v>
      </c>
      <c r="J161" s="115" t="s">
        <v>633</v>
      </c>
      <c r="K161" s="115" t="s">
        <v>271</v>
      </c>
      <c r="L161" s="223" t="s">
        <v>595</v>
      </c>
    </row>
    <row r="162" spans="2:12" ht="12" customHeight="1">
      <c r="B162" s="221">
        <v>144</v>
      </c>
      <c r="C162" s="26">
        <v>46101</v>
      </c>
      <c r="D162" s="26">
        <v>46101</v>
      </c>
      <c r="E162" s="35" t="s">
        <v>575</v>
      </c>
      <c r="H162" s="133">
        <v>375000</v>
      </c>
      <c r="I162" s="114" t="s">
        <v>634</v>
      </c>
      <c r="J162" s="115" t="s">
        <v>635</v>
      </c>
      <c r="K162" s="115" t="s">
        <v>52</v>
      </c>
      <c r="L162" s="223" t="s">
        <v>592</v>
      </c>
    </row>
    <row r="163" spans="2:12" ht="12" customHeight="1">
      <c r="B163" s="221">
        <v>145</v>
      </c>
      <c r="C163" s="26">
        <v>46105</v>
      </c>
      <c r="D163" s="26">
        <v>46105</v>
      </c>
      <c r="E163" s="35" t="s">
        <v>53</v>
      </c>
      <c r="H163" s="133">
        <v>28200</v>
      </c>
      <c r="I163" s="114" t="s">
        <v>636</v>
      </c>
      <c r="J163" s="115" t="s">
        <v>637</v>
      </c>
      <c r="K163" s="115" t="s">
        <v>83</v>
      </c>
      <c r="L163" s="223" t="s">
        <v>592</v>
      </c>
    </row>
    <row r="164" spans="2:12" ht="12" customHeight="1">
      <c r="B164" s="221">
        <v>146</v>
      </c>
      <c r="C164" s="26">
        <v>46105</v>
      </c>
      <c r="D164" s="26">
        <v>46105</v>
      </c>
      <c r="E164" s="35" t="s">
        <v>53</v>
      </c>
      <c r="H164" s="133">
        <v>388000</v>
      </c>
      <c r="I164" s="114" t="s">
        <v>638</v>
      </c>
      <c r="J164" s="115" t="s">
        <v>639</v>
      </c>
      <c r="K164" s="115"/>
      <c r="L164" s="223" t="s">
        <v>50</v>
      </c>
    </row>
    <row r="165" spans="2:12" ht="12" customHeight="1">
      <c r="B165" s="221">
        <v>147</v>
      </c>
      <c r="C165" s="26">
        <v>46106</v>
      </c>
      <c r="D165" s="26">
        <v>46106</v>
      </c>
      <c r="E165" s="35" t="s">
        <v>343</v>
      </c>
      <c r="H165" s="180">
        <v>116727</v>
      </c>
      <c r="I165" s="114" t="s">
        <v>337</v>
      </c>
      <c r="J165" s="115"/>
      <c r="K165" s="115"/>
      <c r="L165" s="223" t="s">
        <v>338</v>
      </c>
    </row>
    <row r="166" spans="2:12" ht="12" customHeight="1">
      <c r="B166" s="221">
        <v>148</v>
      </c>
      <c r="C166" s="26">
        <v>46106</v>
      </c>
      <c r="D166" s="26">
        <v>46106</v>
      </c>
      <c r="E166" s="35" t="s">
        <v>47</v>
      </c>
      <c r="H166" s="133">
        <v>145400</v>
      </c>
      <c r="I166" s="114" t="s">
        <v>341</v>
      </c>
      <c r="J166" s="115" t="s">
        <v>640</v>
      </c>
      <c r="K166" s="115" t="s">
        <v>82</v>
      </c>
      <c r="L166" s="223" t="s">
        <v>595</v>
      </c>
    </row>
    <row r="167" spans="2:12" ht="12" customHeight="1">
      <c r="B167" s="221">
        <v>149</v>
      </c>
      <c r="C167" s="26">
        <v>46106</v>
      </c>
      <c r="D167" s="26">
        <v>46106</v>
      </c>
      <c r="E167" s="35" t="s">
        <v>47</v>
      </c>
      <c r="H167" s="133">
        <v>274700</v>
      </c>
      <c r="I167" s="114" t="s">
        <v>641</v>
      </c>
      <c r="J167" s="115" t="s">
        <v>543</v>
      </c>
      <c r="K167" s="115"/>
      <c r="L167" s="223" t="s">
        <v>596</v>
      </c>
    </row>
    <row r="168" spans="2:12" ht="12" customHeight="1">
      <c r="B168" s="221">
        <v>150</v>
      </c>
      <c r="C168" s="26">
        <v>46107</v>
      </c>
      <c r="D168" s="26">
        <v>46107</v>
      </c>
      <c r="E168" s="35" t="s">
        <v>47</v>
      </c>
      <c r="H168" s="133">
        <v>450000</v>
      </c>
      <c r="I168" s="114" t="s">
        <v>642</v>
      </c>
      <c r="J168" s="115" t="s">
        <v>643</v>
      </c>
      <c r="K168" s="115" t="s">
        <v>83</v>
      </c>
      <c r="L168" s="223" t="s">
        <v>592</v>
      </c>
    </row>
    <row r="169" spans="2:12" ht="12" customHeight="1">
      <c r="B169" s="221">
        <v>151</v>
      </c>
      <c r="C169" s="26">
        <v>46107</v>
      </c>
      <c r="D169" s="26">
        <v>46107</v>
      </c>
      <c r="E169" s="35" t="s">
        <v>576</v>
      </c>
      <c r="H169" s="133">
        <v>723624</v>
      </c>
      <c r="I169" s="114" t="s">
        <v>644</v>
      </c>
      <c r="J169" s="115" t="s">
        <v>645</v>
      </c>
      <c r="K169" s="115" t="s">
        <v>83</v>
      </c>
      <c r="L169" s="223" t="s">
        <v>592</v>
      </c>
    </row>
    <row r="170" spans="2:12" ht="12" customHeight="1">
      <c r="B170" s="221">
        <v>152</v>
      </c>
      <c r="C170" s="26">
        <v>46107</v>
      </c>
      <c r="D170" s="26">
        <v>46107</v>
      </c>
      <c r="E170" s="35" t="s">
        <v>55</v>
      </c>
      <c r="H170" s="133">
        <v>14483876.060000001</v>
      </c>
      <c r="I170" s="114" t="s">
        <v>646</v>
      </c>
      <c r="J170" s="115" t="s">
        <v>543</v>
      </c>
      <c r="K170" s="115"/>
      <c r="L170" s="223" t="s">
        <v>596</v>
      </c>
    </row>
    <row r="171" spans="2:12" ht="12" customHeight="1">
      <c r="B171" s="221">
        <v>153</v>
      </c>
      <c r="C171" s="26">
        <v>46108</v>
      </c>
      <c r="D171" s="26">
        <v>46108</v>
      </c>
      <c r="E171" s="35" t="s">
        <v>577</v>
      </c>
      <c r="H171" s="133">
        <v>169500</v>
      </c>
      <c r="I171" s="114" t="s">
        <v>647</v>
      </c>
      <c r="J171" s="115" t="s">
        <v>648</v>
      </c>
      <c r="K171" s="115" t="s">
        <v>83</v>
      </c>
      <c r="L171" s="223" t="s">
        <v>592</v>
      </c>
    </row>
    <row r="172" spans="2:12" ht="12" customHeight="1">
      <c r="B172" s="221">
        <v>154</v>
      </c>
      <c r="C172" s="26">
        <v>46108</v>
      </c>
      <c r="D172" s="26">
        <v>46108</v>
      </c>
      <c r="E172" s="35" t="s">
        <v>578</v>
      </c>
      <c r="H172" s="133">
        <v>356400</v>
      </c>
      <c r="I172" s="114" t="s">
        <v>649</v>
      </c>
      <c r="J172" s="115" t="s">
        <v>650</v>
      </c>
      <c r="K172" s="115" t="s">
        <v>215</v>
      </c>
      <c r="L172" s="223" t="s">
        <v>595</v>
      </c>
    </row>
    <row r="173" spans="2:12" ht="12" customHeight="1">
      <c r="B173" s="221">
        <v>155</v>
      </c>
      <c r="C173" s="26">
        <v>46109</v>
      </c>
      <c r="D173" s="26">
        <v>46109</v>
      </c>
      <c r="E173" s="35" t="s">
        <v>48</v>
      </c>
      <c r="H173" s="133">
        <v>240000</v>
      </c>
      <c r="I173" s="114" t="s">
        <v>651</v>
      </c>
      <c r="J173" s="115" t="s">
        <v>652</v>
      </c>
      <c r="K173" s="115"/>
      <c r="L173" s="223" t="s">
        <v>50</v>
      </c>
    </row>
    <row r="174" spans="2:12" ht="12" customHeight="1">
      <c r="B174" s="221">
        <v>156</v>
      </c>
      <c r="C174" s="26">
        <v>46110</v>
      </c>
      <c r="D174" s="26">
        <v>46110</v>
      </c>
      <c r="E174" s="35" t="s">
        <v>579</v>
      </c>
      <c r="H174" s="133">
        <v>575638</v>
      </c>
      <c r="I174" s="114" t="s">
        <v>653</v>
      </c>
      <c r="J174" s="115" t="s">
        <v>654</v>
      </c>
      <c r="K174" s="115" t="s">
        <v>83</v>
      </c>
      <c r="L174" s="223" t="s">
        <v>592</v>
      </c>
    </row>
    <row r="175" spans="2:12" ht="12" customHeight="1">
      <c r="B175" s="221">
        <v>157</v>
      </c>
      <c r="C175" s="26">
        <v>46110</v>
      </c>
      <c r="D175" s="26">
        <v>46110</v>
      </c>
      <c r="E175" s="35" t="s">
        <v>47</v>
      </c>
      <c r="H175" s="133">
        <v>663488</v>
      </c>
      <c r="I175" s="114" t="s">
        <v>655</v>
      </c>
      <c r="J175" s="115" t="s">
        <v>656</v>
      </c>
      <c r="K175" s="115" t="s">
        <v>271</v>
      </c>
      <c r="L175" s="223" t="s">
        <v>595</v>
      </c>
    </row>
    <row r="176" spans="2:12" ht="12" customHeight="1">
      <c r="B176" s="221">
        <v>158</v>
      </c>
      <c r="C176" s="26">
        <v>46111</v>
      </c>
      <c r="D176" s="26">
        <v>46111</v>
      </c>
      <c r="E176" s="35" t="s">
        <v>346</v>
      </c>
      <c r="H176" s="133">
        <v>1000</v>
      </c>
      <c r="I176" s="114" t="s">
        <v>657</v>
      </c>
      <c r="J176" s="115" t="s">
        <v>658</v>
      </c>
      <c r="K176" s="115" t="s">
        <v>82</v>
      </c>
      <c r="L176" s="223" t="s">
        <v>595</v>
      </c>
    </row>
    <row r="177" spans="2:12" ht="12" customHeight="1">
      <c r="B177" s="221">
        <v>159</v>
      </c>
      <c r="C177" s="26">
        <v>46111</v>
      </c>
      <c r="D177" s="26">
        <v>46111</v>
      </c>
      <c r="E177" s="35" t="s">
        <v>48</v>
      </c>
      <c r="H177" s="133">
        <v>91336</v>
      </c>
      <c r="I177" s="114" t="s">
        <v>659</v>
      </c>
      <c r="J177" s="115" t="s">
        <v>660</v>
      </c>
      <c r="K177" s="115" t="s">
        <v>82</v>
      </c>
      <c r="L177" s="223" t="s">
        <v>595</v>
      </c>
    </row>
    <row r="178" spans="2:12" ht="12" customHeight="1">
      <c r="B178" s="221">
        <v>160</v>
      </c>
      <c r="C178" s="26">
        <v>46111</v>
      </c>
      <c r="D178" s="26">
        <v>46111</v>
      </c>
      <c r="E178" s="35" t="s">
        <v>580</v>
      </c>
      <c r="H178" s="133">
        <v>719712</v>
      </c>
      <c r="I178" s="114" t="s">
        <v>661</v>
      </c>
      <c r="J178" s="96" t="s">
        <v>662</v>
      </c>
      <c r="K178" s="96" t="s">
        <v>215</v>
      </c>
      <c r="L178" s="223" t="s">
        <v>595</v>
      </c>
    </row>
    <row r="179" spans="2:12" ht="12" customHeight="1">
      <c r="B179" s="221">
        <v>161</v>
      </c>
      <c r="C179" s="26">
        <v>46112</v>
      </c>
      <c r="D179" s="26">
        <v>46112</v>
      </c>
      <c r="E179" s="35" t="s">
        <v>47</v>
      </c>
      <c r="H179" s="133">
        <v>51300</v>
      </c>
      <c r="I179" s="114" t="s">
        <v>529</v>
      </c>
      <c r="J179" s="115" t="s">
        <v>543</v>
      </c>
      <c r="K179" s="115"/>
      <c r="L179" s="223" t="s">
        <v>596</v>
      </c>
    </row>
    <row r="180" spans="2:12" ht="12" customHeight="1">
      <c r="B180" s="221">
        <v>162</v>
      </c>
      <c r="C180" s="26">
        <v>46112</v>
      </c>
      <c r="D180" s="26">
        <v>46112</v>
      </c>
      <c r="E180" s="35" t="s">
        <v>48</v>
      </c>
      <c r="H180" s="133">
        <v>56000</v>
      </c>
      <c r="I180" s="114" t="s">
        <v>663</v>
      </c>
      <c r="J180" s="115" t="s">
        <v>543</v>
      </c>
      <c r="K180" s="115"/>
      <c r="L180" s="223" t="s">
        <v>596</v>
      </c>
    </row>
    <row r="181" spans="2:12" ht="12" customHeight="1">
      <c r="B181" s="221">
        <v>163</v>
      </c>
      <c r="C181" s="26">
        <v>46112</v>
      </c>
      <c r="D181" s="26">
        <v>46112</v>
      </c>
      <c r="E181" s="35" t="s">
        <v>53</v>
      </c>
      <c r="H181" s="133">
        <v>299802</v>
      </c>
      <c r="I181" s="114" t="s">
        <v>664</v>
      </c>
      <c r="J181" s="115" t="s">
        <v>665</v>
      </c>
      <c r="K181" s="115"/>
      <c r="L181" s="223" t="s">
        <v>50</v>
      </c>
    </row>
    <row r="182" spans="2:12" ht="12" customHeight="1">
      <c r="B182" s="221">
        <v>164</v>
      </c>
      <c r="C182" s="26">
        <v>46112</v>
      </c>
      <c r="D182" s="26">
        <v>46112</v>
      </c>
      <c r="E182" s="35" t="s">
        <v>48</v>
      </c>
      <c r="H182" s="133">
        <v>2482528</v>
      </c>
      <c r="I182" s="114" t="s">
        <v>666</v>
      </c>
      <c r="J182" s="115" t="s">
        <v>543</v>
      </c>
      <c r="K182" s="115"/>
      <c r="L182" s="223" t="s">
        <v>596</v>
      </c>
    </row>
    <row r="183" spans="2:12" ht="12" customHeight="1">
      <c r="B183" s="221">
        <v>165</v>
      </c>
      <c r="C183" s="26">
        <v>46113</v>
      </c>
      <c r="D183" s="26">
        <v>46113</v>
      </c>
      <c r="E183" s="35" t="s">
        <v>667</v>
      </c>
      <c r="H183" s="138">
        <v>16550</v>
      </c>
      <c r="I183" s="114"/>
      <c r="J183" s="115"/>
      <c r="K183" s="115"/>
      <c r="L183" s="163"/>
    </row>
    <row r="184" spans="2:12" ht="12" customHeight="1">
      <c r="B184" s="221">
        <v>166</v>
      </c>
      <c r="C184" s="26">
        <v>46113</v>
      </c>
      <c r="D184" s="26">
        <v>46113</v>
      </c>
      <c r="E184" s="35" t="s">
        <v>668</v>
      </c>
      <c r="H184" s="138">
        <v>28150</v>
      </c>
      <c r="I184" s="114"/>
      <c r="J184" s="115"/>
      <c r="K184" s="115"/>
      <c r="L184" s="163"/>
    </row>
    <row r="185" spans="2:12" ht="12" customHeight="1">
      <c r="B185" s="221">
        <v>167</v>
      </c>
      <c r="C185" s="26">
        <v>46113</v>
      </c>
      <c r="D185" s="26">
        <v>46113</v>
      </c>
      <c r="E185" s="35" t="s">
        <v>669</v>
      </c>
      <c r="H185" s="138">
        <v>73250</v>
      </c>
      <c r="I185" s="222"/>
      <c r="J185" s="115"/>
      <c r="K185" s="115"/>
      <c r="L185" s="163"/>
    </row>
    <row r="186" spans="2:12" ht="12" customHeight="1">
      <c r="B186" s="221">
        <v>168</v>
      </c>
      <c r="C186" s="26">
        <v>46113</v>
      </c>
      <c r="D186" s="26">
        <v>46113</v>
      </c>
      <c r="E186" s="35" t="s">
        <v>669</v>
      </c>
      <c r="H186" s="138">
        <v>76000</v>
      </c>
      <c r="I186" s="114"/>
      <c r="J186" s="115"/>
      <c r="K186" s="115"/>
      <c r="L186" s="163"/>
    </row>
    <row r="187" spans="2:12" ht="12" customHeight="1">
      <c r="B187" s="221">
        <v>169</v>
      </c>
      <c r="C187" s="26">
        <v>46113</v>
      </c>
      <c r="D187" s="26">
        <v>46113</v>
      </c>
      <c r="E187" s="35" t="s">
        <v>670</v>
      </c>
      <c r="H187" s="243">
        <v>129000</v>
      </c>
      <c r="I187" s="114"/>
      <c r="J187" s="115"/>
      <c r="K187" s="115"/>
      <c r="L187" s="163"/>
    </row>
    <row r="188" spans="2:12" ht="12" customHeight="1">
      <c r="B188" s="221">
        <v>170</v>
      </c>
      <c r="C188" s="26">
        <v>46113</v>
      </c>
      <c r="D188" s="26">
        <v>46113</v>
      </c>
      <c r="E188" s="35" t="s">
        <v>668</v>
      </c>
      <c r="H188" s="243">
        <v>280800</v>
      </c>
      <c r="I188" s="114"/>
      <c r="J188" s="115"/>
      <c r="K188" s="115"/>
      <c r="L188" s="163"/>
    </row>
    <row r="189" spans="2:12" ht="12" customHeight="1">
      <c r="B189" s="221">
        <v>171</v>
      </c>
      <c r="C189" s="26">
        <v>46113</v>
      </c>
      <c r="D189" s="26">
        <v>46113</v>
      </c>
      <c r="E189" s="35" t="s">
        <v>669</v>
      </c>
      <c r="H189" s="243">
        <v>524350</v>
      </c>
      <c r="I189" s="114"/>
      <c r="J189" s="115"/>
      <c r="K189" s="115"/>
      <c r="L189" s="163"/>
    </row>
    <row r="190" spans="2:12" ht="12" customHeight="1">
      <c r="B190" s="221">
        <v>172</v>
      </c>
      <c r="C190" s="26">
        <v>46118</v>
      </c>
      <c r="D190" s="26">
        <v>46118</v>
      </c>
      <c r="E190" s="35" t="s">
        <v>668</v>
      </c>
      <c r="H190" s="138">
        <v>20000</v>
      </c>
      <c r="I190" s="115"/>
      <c r="J190" s="115"/>
      <c r="K190" s="115"/>
      <c r="L190" s="163"/>
    </row>
    <row r="191" spans="2:12" ht="12" customHeight="1">
      <c r="B191" s="221">
        <v>173</v>
      </c>
      <c r="C191" s="26">
        <v>46118</v>
      </c>
      <c r="D191" s="26">
        <v>46118</v>
      </c>
      <c r="E191" s="35" t="s">
        <v>668</v>
      </c>
      <c r="H191" s="138">
        <v>25000</v>
      </c>
      <c r="I191" s="114"/>
      <c r="J191" s="115"/>
      <c r="K191" s="115"/>
      <c r="L191" s="163"/>
    </row>
    <row r="192" spans="2:12" ht="12" customHeight="1">
      <c r="B192" s="221">
        <v>174</v>
      </c>
      <c r="C192" s="26">
        <v>46118</v>
      </c>
      <c r="D192" s="26">
        <v>46118</v>
      </c>
      <c r="E192" s="35" t="s">
        <v>668</v>
      </c>
      <c r="H192" s="138">
        <v>25200</v>
      </c>
      <c r="I192" s="114"/>
      <c r="J192" s="115"/>
      <c r="K192" s="115"/>
      <c r="L192" s="163"/>
    </row>
    <row r="193" spans="2:12" ht="12" customHeight="1">
      <c r="B193" s="221">
        <v>175</v>
      </c>
      <c r="C193" s="26">
        <v>46118</v>
      </c>
      <c r="D193" s="26">
        <v>46118</v>
      </c>
      <c r="E193" s="35" t="s">
        <v>668</v>
      </c>
      <c r="H193" s="243">
        <v>268500</v>
      </c>
      <c r="I193" s="114"/>
      <c r="J193" s="115"/>
      <c r="K193" s="115"/>
      <c r="L193" s="163"/>
    </row>
    <row r="194" spans="2:12" ht="12" customHeight="1">
      <c r="B194" s="221">
        <v>176</v>
      </c>
      <c r="C194" s="26">
        <v>46118</v>
      </c>
      <c r="D194" s="26">
        <v>46118</v>
      </c>
      <c r="E194" s="35" t="s">
        <v>671</v>
      </c>
      <c r="H194" s="243">
        <v>650500</v>
      </c>
      <c r="I194" s="114"/>
      <c r="J194" s="115"/>
      <c r="K194" s="115"/>
      <c r="L194" s="163"/>
    </row>
    <row r="195" spans="2:12" ht="12" customHeight="1">
      <c r="B195" s="221">
        <v>177</v>
      </c>
      <c r="C195" s="26">
        <v>46118</v>
      </c>
      <c r="D195" s="26">
        <v>46118</v>
      </c>
      <c r="E195" s="35" t="s">
        <v>667</v>
      </c>
      <c r="H195" s="243">
        <v>1020000</v>
      </c>
      <c r="I195" s="114"/>
      <c r="J195" s="115"/>
      <c r="K195" s="115"/>
      <c r="L195" s="163"/>
    </row>
    <row r="196" spans="2:12" ht="12" customHeight="1">
      <c r="B196" s="221">
        <v>178</v>
      </c>
      <c r="C196" s="26">
        <v>46119</v>
      </c>
      <c r="D196" s="26">
        <v>46119</v>
      </c>
      <c r="E196" s="35" t="s">
        <v>669</v>
      </c>
      <c r="H196" s="243">
        <v>102442</v>
      </c>
      <c r="I196" s="114"/>
      <c r="J196" s="115"/>
      <c r="K196" s="115"/>
      <c r="L196" s="163"/>
    </row>
    <row r="197" spans="2:12" ht="12" customHeight="1">
      <c r="B197" s="221">
        <v>179</v>
      </c>
      <c r="C197" s="26">
        <v>46119</v>
      </c>
      <c r="D197" s="26">
        <v>46119</v>
      </c>
      <c r="E197" s="35" t="s">
        <v>668</v>
      </c>
      <c r="H197" s="243">
        <v>124100</v>
      </c>
      <c r="I197" s="114"/>
      <c r="J197" s="115"/>
      <c r="K197" s="115"/>
      <c r="L197" s="163"/>
    </row>
    <row r="198" spans="2:12" ht="12" customHeight="1">
      <c r="B198" s="221">
        <v>180</v>
      </c>
      <c r="C198" s="26">
        <v>46119</v>
      </c>
      <c r="D198" s="26">
        <v>46119</v>
      </c>
      <c r="E198" s="35" t="s">
        <v>669</v>
      </c>
      <c r="H198" s="243">
        <v>277702</v>
      </c>
      <c r="I198" s="114"/>
      <c r="J198" s="115"/>
      <c r="K198" s="115"/>
      <c r="L198" s="163"/>
    </row>
    <row r="199" spans="2:12" ht="12" customHeight="1">
      <c r="B199" s="221">
        <v>181</v>
      </c>
      <c r="C199" s="26">
        <v>46120</v>
      </c>
      <c r="D199" s="26">
        <v>46120</v>
      </c>
      <c r="E199" s="35" t="s">
        <v>669</v>
      </c>
      <c r="H199" s="138">
        <v>29500</v>
      </c>
      <c r="I199" s="114"/>
      <c r="J199" s="115"/>
      <c r="K199" s="115"/>
      <c r="L199" s="163"/>
    </row>
    <row r="200" spans="2:12" ht="12" customHeight="1">
      <c r="B200" s="221">
        <v>182</v>
      </c>
      <c r="C200" s="26">
        <v>46120</v>
      </c>
      <c r="D200" s="26">
        <v>46120</v>
      </c>
      <c r="E200" s="35" t="s">
        <v>668</v>
      </c>
      <c r="H200" s="138">
        <v>40000</v>
      </c>
      <c r="I200" s="114"/>
      <c r="J200" s="115"/>
      <c r="K200" s="115"/>
      <c r="L200" s="163"/>
    </row>
    <row r="201" spans="2:12" ht="12" customHeight="1">
      <c r="B201" s="221">
        <v>183</v>
      </c>
      <c r="C201" s="26">
        <v>46120</v>
      </c>
      <c r="D201" s="26">
        <v>46120</v>
      </c>
      <c r="E201" s="35" t="s">
        <v>668</v>
      </c>
      <c r="H201" s="138">
        <v>206200</v>
      </c>
      <c r="I201" s="114"/>
      <c r="J201" s="115"/>
      <c r="K201" s="115"/>
      <c r="L201" s="163"/>
    </row>
    <row r="202" spans="2:12" ht="12" customHeight="1">
      <c r="B202" s="221">
        <v>184</v>
      </c>
      <c r="C202" s="26">
        <v>46120</v>
      </c>
      <c r="D202" s="26">
        <v>46120</v>
      </c>
      <c r="E202" s="35" t="s">
        <v>672</v>
      </c>
      <c r="H202" s="243">
        <v>925336</v>
      </c>
      <c r="I202" s="114"/>
      <c r="J202" s="115"/>
      <c r="K202" s="115"/>
      <c r="L202" s="163"/>
    </row>
    <row r="203" spans="2:12" ht="12" customHeight="1">
      <c r="B203" s="221">
        <v>185</v>
      </c>
      <c r="C203" s="26">
        <v>46120</v>
      </c>
      <c r="D203" s="26">
        <v>46120</v>
      </c>
      <c r="E203" s="35" t="s">
        <v>673</v>
      </c>
      <c r="H203" s="243">
        <v>2428877</v>
      </c>
      <c r="I203" s="114"/>
      <c r="J203" s="115"/>
      <c r="K203" s="115"/>
      <c r="L203" s="163"/>
    </row>
    <row r="204" spans="2:12" ht="12" customHeight="1">
      <c r="B204" s="221">
        <v>186</v>
      </c>
      <c r="C204" s="26">
        <v>46120</v>
      </c>
      <c r="D204" s="26">
        <v>46120</v>
      </c>
      <c r="E204" s="35" t="s">
        <v>674</v>
      </c>
      <c r="H204" s="243">
        <v>5235120</v>
      </c>
      <c r="I204" s="114"/>
      <c r="J204" s="115"/>
      <c r="K204" s="115"/>
      <c r="L204" s="163"/>
    </row>
    <row r="205" spans="2:12" ht="12" customHeight="1">
      <c r="B205" s="221">
        <v>187</v>
      </c>
      <c r="C205" s="26">
        <v>46121</v>
      </c>
      <c r="D205" s="26">
        <v>46121</v>
      </c>
      <c r="E205" s="35" t="s">
        <v>675</v>
      </c>
      <c r="H205" s="243">
        <v>97200</v>
      </c>
      <c r="I205" s="114"/>
      <c r="J205" s="115"/>
      <c r="K205" s="115"/>
      <c r="L205" s="163"/>
    </row>
    <row r="206" spans="2:12" ht="12" customHeight="1">
      <c r="B206" s="221">
        <v>188</v>
      </c>
      <c r="C206" s="26">
        <v>46121</v>
      </c>
      <c r="D206" s="26">
        <v>46121</v>
      </c>
      <c r="E206" s="35" t="s">
        <v>667</v>
      </c>
      <c r="H206" s="243">
        <v>114400</v>
      </c>
      <c r="I206" s="114"/>
      <c r="J206" s="115"/>
      <c r="K206" s="115"/>
      <c r="L206" s="163"/>
    </row>
    <row r="207" spans="2:12" ht="12" customHeight="1">
      <c r="B207" s="221">
        <v>189</v>
      </c>
      <c r="C207" s="26">
        <v>46121</v>
      </c>
      <c r="D207" s="26">
        <v>46121</v>
      </c>
      <c r="E207" s="35" t="s">
        <v>672</v>
      </c>
      <c r="H207" s="243">
        <v>655896</v>
      </c>
      <c r="I207" s="114"/>
      <c r="J207" s="115"/>
      <c r="K207" s="115"/>
      <c r="L207" s="163"/>
    </row>
    <row r="208" spans="2:12" ht="12" customHeight="1">
      <c r="B208" s="221">
        <v>190</v>
      </c>
      <c r="C208" s="26">
        <v>46122</v>
      </c>
      <c r="D208" s="26">
        <v>46122</v>
      </c>
      <c r="E208" s="35" t="s">
        <v>669</v>
      </c>
      <c r="H208" s="138">
        <v>66000</v>
      </c>
      <c r="I208" s="114"/>
      <c r="J208" s="115"/>
      <c r="K208" s="115"/>
      <c r="L208" s="163"/>
    </row>
    <row r="209" spans="2:12" ht="12" customHeight="1">
      <c r="B209" s="221">
        <v>191</v>
      </c>
      <c r="C209" s="26">
        <v>46122</v>
      </c>
      <c r="D209" s="26">
        <v>46122</v>
      </c>
      <c r="E209" s="35" t="s">
        <v>668</v>
      </c>
      <c r="H209" s="138">
        <v>75000</v>
      </c>
      <c r="I209" s="114"/>
      <c r="J209" s="115"/>
      <c r="K209" s="115"/>
      <c r="L209" s="163"/>
    </row>
    <row r="210" spans="2:12" ht="12" customHeight="1">
      <c r="B210" s="221">
        <v>192</v>
      </c>
      <c r="C210" s="26">
        <v>46122</v>
      </c>
      <c r="D210" s="26">
        <v>46122</v>
      </c>
      <c r="E210" s="35" t="s">
        <v>669</v>
      </c>
      <c r="H210" s="243">
        <v>296000</v>
      </c>
      <c r="I210" s="114"/>
      <c r="J210" s="115"/>
      <c r="K210" s="115"/>
      <c r="L210" s="163"/>
    </row>
    <row r="211" spans="2:12" ht="12" customHeight="1">
      <c r="B211" s="221">
        <v>193</v>
      </c>
      <c r="C211" s="26">
        <v>46122</v>
      </c>
      <c r="D211" s="26">
        <v>46122</v>
      </c>
      <c r="E211" s="35" t="s">
        <v>669</v>
      </c>
      <c r="H211" s="243">
        <v>559776</v>
      </c>
      <c r="I211" s="114"/>
      <c r="J211" s="115"/>
      <c r="K211" s="115"/>
      <c r="L211" s="163"/>
    </row>
    <row r="212" spans="2:12" ht="12" customHeight="1">
      <c r="B212" s="221">
        <v>194</v>
      </c>
      <c r="C212" s="26">
        <v>46122</v>
      </c>
      <c r="D212" s="26">
        <v>46122</v>
      </c>
      <c r="E212" s="35" t="s">
        <v>668</v>
      </c>
      <c r="H212" s="243">
        <v>562320</v>
      </c>
      <c r="I212" s="114"/>
      <c r="J212" s="115"/>
      <c r="K212" s="115"/>
      <c r="L212" s="163"/>
    </row>
    <row r="213" spans="2:12" ht="12" customHeight="1">
      <c r="B213" s="221">
        <v>195</v>
      </c>
      <c r="C213" s="26">
        <v>46122</v>
      </c>
      <c r="D213" s="26">
        <v>46122</v>
      </c>
      <c r="E213" s="35" t="s">
        <v>668</v>
      </c>
      <c r="H213" s="243">
        <v>1585000</v>
      </c>
      <c r="I213" s="114"/>
      <c r="J213" s="115"/>
      <c r="K213" s="115"/>
      <c r="L213" s="163"/>
    </row>
    <row r="214" spans="2:12" ht="12" customHeight="1">
      <c r="B214" s="221">
        <v>196</v>
      </c>
      <c r="C214" s="26">
        <v>46123</v>
      </c>
      <c r="D214" s="26">
        <v>46123</v>
      </c>
      <c r="E214" s="35" t="s">
        <v>669</v>
      </c>
      <c r="H214" s="243">
        <v>210830</v>
      </c>
      <c r="I214" s="114"/>
      <c r="J214" s="115"/>
      <c r="K214" s="115"/>
      <c r="L214" s="163"/>
    </row>
    <row r="215" spans="2:12" ht="12" customHeight="1">
      <c r="B215" s="221">
        <v>197</v>
      </c>
      <c r="C215" s="26">
        <v>46124</v>
      </c>
      <c r="D215" s="26">
        <v>46124</v>
      </c>
      <c r="E215" s="35" t="s">
        <v>669</v>
      </c>
      <c r="H215" s="243">
        <v>1000000</v>
      </c>
      <c r="I215" s="114"/>
      <c r="J215" s="115"/>
      <c r="K215" s="115"/>
      <c r="L215" s="163"/>
    </row>
    <row r="216" spans="2:12" ht="12" customHeight="1">
      <c r="B216" s="221">
        <v>198</v>
      </c>
      <c r="C216" s="26">
        <v>46125</v>
      </c>
      <c r="D216" s="26">
        <v>46125</v>
      </c>
      <c r="E216" s="35" t="s">
        <v>667</v>
      </c>
      <c r="H216" s="138">
        <v>35000</v>
      </c>
      <c r="I216" s="114"/>
      <c r="J216" s="115"/>
      <c r="K216" s="115"/>
      <c r="L216" s="163"/>
    </row>
    <row r="217" spans="2:12" ht="12" customHeight="1">
      <c r="B217" s="221">
        <v>199</v>
      </c>
      <c r="C217" s="26">
        <v>46125</v>
      </c>
      <c r="D217" s="26">
        <v>46125</v>
      </c>
      <c r="E217" s="35" t="s">
        <v>676</v>
      </c>
      <c r="H217" s="243">
        <v>309960</v>
      </c>
      <c r="I217" s="114"/>
      <c r="J217" s="115"/>
      <c r="K217" s="115"/>
      <c r="L217" s="163"/>
    </row>
    <row r="218" spans="2:12" ht="12" customHeight="1">
      <c r="B218" s="221">
        <v>200</v>
      </c>
      <c r="C218" s="26">
        <v>46125</v>
      </c>
      <c r="D218" s="26">
        <v>46125</v>
      </c>
      <c r="E218" s="35" t="s">
        <v>677</v>
      </c>
      <c r="H218" s="243">
        <v>389250</v>
      </c>
      <c r="I218" s="114"/>
      <c r="J218" s="115"/>
      <c r="K218" s="115"/>
      <c r="L218" s="163"/>
    </row>
    <row r="219" spans="2:12" ht="12" customHeight="1">
      <c r="B219" s="221">
        <v>201</v>
      </c>
      <c r="C219" s="26">
        <v>46125</v>
      </c>
      <c r="D219" s="26">
        <v>46125</v>
      </c>
      <c r="E219" s="35" t="s">
        <v>678</v>
      </c>
      <c r="H219" s="243">
        <v>685715</v>
      </c>
      <c r="I219" s="114"/>
      <c r="J219" s="115"/>
      <c r="K219" s="115"/>
      <c r="L219" s="163"/>
    </row>
    <row r="220" spans="2:12" ht="12" customHeight="1">
      <c r="B220" s="221">
        <v>202</v>
      </c>
      <c r="C220" s="26">
        <v>46125</v>
      </c>
      <c r="D220" s="26">
        <v>46125</v>
      </c>
      <c r="E220" s="35" t="s">
        <v>667</v>
      </c>
      <c r="H220" s="243">
        <v>2150000</v>
      </c>
      <c r="I220" s="114"/>
      <c r="J220" s="115"/>
      <c r="K220" s="115"/>
      <c r="L220" s="163"/>
    </row>
    <row r="221" spans="2:12" ht="12" customHeight="1">
      <c r="B221" s="221">
        <v>203</v>
      </c>
      <c r="C221" s="26">
        <v>46125</v>
      </c>
      <c r="D221" s="26">
        <v>46125</v>
      </c>
      <c r="E221" s="35" t="s">
        <v>669</v>
      </c>
      <c r="H221" s="243">
        <v>2422578</v>
      </c>
      <c r="I221" s="114"/>
      <c r="J221" s="115"/>
      <c r="K221" s="115"/>
      <c r="L221" s="163"/>
    </row>
    <row r="222" spans="2:12" ht="12" customHeight="1">
      <c r="B222" s="221">
        <v>204</v>
      </c>
      <c r="C222" s="26">
        <v>46125</v>
      </c>
      <c r="D222" s="26">
        <v>46125</v>
      </c>
      <c r="E222" s="35" t="s">
        <v>667</v>
      </c>
      <c r="H222" s="138">
        <v>3000000</v>
      </c>
      <c r="I222" s="114"/>
      <c r="J222" s="115"/>
      <c r="K222" s="115"/>
      <c r="L222" s="115"/>
    </row>
    <row r="223" spans="2:12" ht="12" customHeight="1">
      <c r="B223" s="221">
        <v>205</v>
      </c>
      <c r="C223" s="26">
        <v>46125</v>
      </c>
      <c r="D223" s="26">
        <v>46125</v>
      </c>
      <c r="E223" s="35" t="s">
        <v>667</v>
      </c>
      <c r="H223" s="243">
        <v>3000000</v>
      </c>
      <c r="I223" s="114"/>
      <c r="J223" s="115"/>
      <c r="K223" s="115"/>
      <c r="L223" s="115"/>
    </row>
    <row r="224" spans="2:12" ht="12" customHeight="1">
      <c r="B224" s="221">
        <v>206</v>
      </c>
      <c r="C224" s="26">
        <v>46125</v>
      </c>
      <c r="D224" s="26">
        <v>46125</v>
      </c>
      <c r="E224" s="35" t="s">
        <v>672</v>
      </c>
      <c r="H224" s="243">
        <v>4267055</v>
      </c>
      <c r="I224" s="114"/>
      <c r="J224" s="115"/>
      <c r="K224" s="115"/>
      <c r="L224" s="115"/>
    </row>
    <row r="225" spans="2:12" ht="12" customHeight="1">
      <c r="B225" s="221">
        <v>207</v>
      </c>
      <c r="C225" s="26">
        <v>46126</v>
      </c>
      <c r="D225" s="26">
        <v>46126</v>
      </c>
      <c r="E225" s="35" t="s">
        <v>668</v>
      </c>
      <c r="H225" s="138">
        <v>21150</v>
      </c>
      <c r="I225" s="114"/>
      <c r="J225" s="115"/>
      <c r="K225" s="115"/>
      <c r="L225" s="115"/>
    </row>
    <row r="226" spans="2:12" ht="12" customHeight="1">
      <c r="B226" s="221">
        <v>208</v>
      </c>
      <c r="C226" s="26">
        <v>46126</v>
      </c>
      <c r="D226" s="26">
        <v>46126</v>
      </c>
      <c r="E226" s="35" t="s">
        <v>669</v>
      </c>
      <c r="H226" s="243">
        <v>370000</v>
      </c>
      <c r="I226" s="114"/>
      <c r="J226" s="115"/>
      <c r="K226" s="115"/>
      <c r="L226" s="115"/>
    </row>
    <row r="227" spans="2:12" ht="12" customHeight="1">
      <c r="B227" s="221">
        <v>209</v>
      </c>
      <c r="C227" s="26">
        <v>46126</v>
      </c>
      <c r="D227" s="26">
        <v>46126</v>
      </c>
      <c r="E227" s="35" t="s">
        <v>679</v>
      </c>
      <c r="H227" s="243">
        <v>575252</v>
      </c>
      <c r="I227" s="114"/>
      <c r="J227" s="115"/>
      <c r="K227" s="115"/>
      <c r="L227" s="115"/>
    </row>
    <row r="228" spans="2:12" ht="12" customHeight="1">
      <c r="B228" s="221">
        <v>210</v>
      </c>
      <c r="C228" s="26">
        <v>46126</v>
      </c>
      <c r="D228" s="26">
        <v>46126</v>
      </c>
      <c r="E228" s="35" t="s">
        <v>669</v>
      </c>
      <c r="H228" s="243">
        <v>2388045</v>
      </c>
      <c r="I228" s="114"/>
      <c r="J228" s="115"/>
      <c r="K228" s="115"/>
      <c r="L228" s="115"/>
    </row>
    <row r="229" spans="2:12" ht="12" customHeight="1">
      <c r="B229" s="221">
        <v>211</v>
      </c>
      <c r="C229" s="26">
        <v>46126</v>
      </c>
      <c r="D229" s="26">
        <v>46126</v>
      </c>
      <c r="E229" s="35" t="s">
        <v>669</v>
      </c>
      <c r="H229" s="138">
        <v>2900570</v>
      </c>
      <c r="I229" s="114"/>
      <c r="J229" s="115"/>
      <c r="K229" s="115"/>
      <c r="L229" s="115"/>
    </row>
    <row r="230" spans="2:12" ht="12" customHeight="1">
      <c r="B230" s="221">
        <v>212</v>
      </c>
      <c r="C230" s="26">
        <v>46127</v>
      </c>
      <c r="D230" s="26">
        <v>46127</v>
      </c>
      <c r="E230" s="35" t="s">
        <v>669</v>
      </c>
      <c r="H230" s="138">
        <v>27500</v>
      </c>
      <c r="I230" s="114"/>
      <c r="J230" s="115"/>
      <c r="K230" s="115"/>
      <c r="L230" s="115"/>
    </row>
    <row r="231" spans="2:12" ht="12" customHeight="1">
      <c r="B231" s="221">
        <v>213</v>
      </c>
      <c r="C231" s="26">
        <v>46127</v>
      </c>
      <c r="D231" s="26">
        <v>46127</v>
      </c>
      <c r="E231" s="35" t="s">
        <v>668</v>
      </c>
      <c r="H231" s="138">
        <v>31800</v>
      </c>
      <c r="I231" s="114"/>
      <c r="J231" s="115"/>
      <c r="K231" s="115"/>
      <c r="L231" s="115"/>
    </row>
    <row r="232" spans="2:12" ht="12" customHeight="1">
      <c r="B232" s="221">
        <v>214</v>
      </c>
      <c r="C232" s="26">
        <v>46127</v>
      </c>
      <c r="D232" s="26">
        <v>46127</v>
      </c>
      <c r="E232" s="35" t="s">
        <v>668</v>
      </c>
      <c r="H232" s="243">
        <v>96250</v>
      </c>
      <c r="I232" s="114"/>
      <c r="J232" s="115"/>
      <c r="K232" s="115"/>
      <c r="L232" s="115"/>
    </row>
    <row r="233" spans="2:12" ht="12" customHeight="1">
      <c r="B233" s="221">
        <v>215</v>
      </c>
      <c r="C233" s="26">
        <v>46127</v>
      </c>
      <c r="D233" s="26">
        <v>46127</v>
      </c>
      <c r="E233" s="35" t="s">
        <v>667</v>
      </c>
      <c r="H233" s="243">
        <v>100000</v>
      </c>
      <c r="I233" s="114"/>
      <c r="J233" s="115"/>
      <c r="K233" s="115"/>
      <c r="L233" s="115"/>
    </row>
    <row r="234" spans="2:12" ht="12" customHeight="1">
      <c r="B234" s="221">
        <v>216</v>
      </c>
      <c r="C234" s="26">
        <v>46127</v>
      </c>
      <c r="D234" s="26">
        <v>46127</v>
      </c>
      <c r="E234" s="35" t="s">
        <v>668</v>
      </c>
      <c r="H234" s="243">
        <v>110000</v>
      </c>
      <c r="I234" s="114"/>
      <c r="J234" s="115"/>
      <c r="K234" s="115"/>
      <c r="L234" s="115"/>
    </row>
    <row r="235" spans="2:12" ht="12" customHeight="1">
      <c r="B235" s="221">
        <v>217</v>
      </c>
      <c r="C235" s="26">
        <v>46127</v>
      </c>
      <c r="D235" s="26">
        <v>46127</v>
      </c>
      <c r="E235" s="35" t="s">
        <v>669</v>
      </c>
      <c r="H235" s="243">
        <v>500000</v>
      </c>
      <c r="I235" s="114"/>
      <c r="J235" s="115"/>
      <c r="K235" s="115"/>
      <c r="L235" s="115"/>
    </row>
    <row r="236" spans="2:12" ht="12" customHeight="1">
      <c r="B236" s="221">
        <v>218</v>
      </c>
      <c r="C236" s="26">
        <v>46127</v>
      </c>
      <c r="D236" s="26">
        <v>46127</v>
      </c>
      <c r="E236" s="35" t="s">
        <v>669</v>
      </c>
      <c r="H236" s="243">
        <v>503250</v>
      </c>
      <c r="I236" s="114"/>
      <c r="J236" s="115"/>
      <c r="K236" s="115"/>
      <c r="L236" s="115"/>
    </row>
    <row r="237" spans="2:12" ht="12" customHeight="1">
      <c r="B237" s="221">
        <v>219</v>
      </c>
      <c r="C237" s="26">
        <v>46127</v>
      </c>
      <c r="D237" s="26">
        <v>46127</v>
      </c>
      <c r="E237" s="35" t="s">
        <v>680</v>
      </c>
      <c r="H237" s="243">
        <v>3614431</v>
      </c>
      <c r="I237" s="114"/>
      <c r="J237" s="115"/>
      <c r="K237" s="115"/>
      <c r="L237" s="115"/>
    </row>
    <row r="238" spans="2:12" ht="12" customHeight="1">
      <c r="B238" s="221">
        <v>220</v>
      </c>
      <c r="C238" s="26">
        <v>46128</v>
      </c>
      <c r="D238" s="26">
        <v>46128</v>
      </c>
      <c r="E238" s="35" t="s">
        <v>668</v>
      </c>
      <c r="H238" s="138">
        <v>16250</v>
      </c>
      <c r="I238" s="114"/>
      <c r="J238" s="115"/>
      <c r="K238" s="115"/>
      <c r="L238" s="115"/>
    </row>
    <row r="239" spans="2:12" ht="12" customHeight="1">
      <c r="B239" s="221">
        <v>221</v>
      </c>
      <c r="C239" s="26">
        <v>46128</v>
      </c>
      <c r="D239" s="26">
        <v>46128</v>
      </c>
      <c r="E239" s="35" t="s">
        <v>681</v>
      </c>
      <c r="H239" s="138">
        <v>43656.02</v>
      </c>
      <c r="I239" s="114"/>
      <c r="J239" s="115"/>
      <c r="K239" s="115"/>
      <c r="L239" s="115"/>
    </row>
    <row r="240" spans="2:12" ht="12" customHeight="1">
      <c r="B240" s="221">
        <v>222</v>
      </c>
      <c r="C240" s="26">
        <v>46128</v>
      </c>
      <c r="D240" s="26">
        <v>46128</v>
      </c>
      <c r="E240" s="35" t="s">
        <v>668</v>
      </c>
      <c r="H240" s="138">
        <v>59500</v>
      </c>
      <c r="I240" s="114"/>
      <c r="J240" s="115"/>
      <c r="K240" s="115"/>
      <c r="L240" s="115"/>
    </row>
    <row r="241" spans="2:12" ht="12" customHeight="1">
      <c r="B241" s="221">
        <v>223</v>
      </c>
      <c r="C241" s="26">
        <v>46128</v>
      </c>
      <c r="D241" s="26">
        <v>46128</v>
      </c>
      <c r="E241" s="35" t="s">
        <v>682</v>
      </c>
      <c r="H241" s="243">
        <v>281312</v>
      </c>
      <c r="I241" s="114"/>
      <c r="J241" s="115"/>
      <c r="K241" s="115"/>
      <c r="L241" s="115"/>
    </row>
    <row r="242" spans="2:12" ht="12" customHeight="1">
      <c r="B242" s="221">
        <v>224</v>
      </c>
      <c r="C242" s="26">
        <v>46128</v>
      </c>
      <c r="D242" s="26">
        <v>46128</v>
      </c>
      <c r="E242" s="35" t="s">
        <v>669</v>
      </c>
      <c r="H242" s="243">
        <v>299992</v>
      </c>
      <c r="I242" s="114"/>
      <c r="J242" s="115"/>
      <c r="K242" s="115"/>
      <c r="L242" s="115"/>
    </row>
    <row r="243" spans="2:12" ht="12" customHeight="1">
      <c r="B243" s="221">
        <v>225</v>
      </c>
      <c r="C243" s="26">
        <v>46128</v>
      </c>
      <c r="D243" s="26">
        <v>46128</v>
      </c>
      <c r="E243" s="35" t="s">
        <v>668</v>
      </c>
      <c r="H243" s="243">
        <v>336600</v>
      </c>
      <c r="I243" s="114"/>
      <c r="J243" s="115"/>
      <c r="K243" s="115"/>
      <c r="L243" s="115"/>
    </row>
    <row r="244" spans="2:12" ht="12" customHeight="1">
      <c r="B244" s="221">
        <v>226</v>
      </c>
      <c r="C244" s="26">
        <v>46128</v>
      </c>
      <c r="D244" s="26">
        <v>46128</v>
      </c>
      <c r="E244" s="35" t="s">
        <v>667</v>
      </c>
      <c r="H244" s="243">
        <v>387700</v>
      </c>
      <c r="I244" s="114"/>
      <c r="J244" s="115"/>
      <c r="K244" s="115"/>
      <c r="L244" s="115"/>
    </row>
    <row r="245" spans="2:12" ht="12" customHeight="1">
      <c r="B245" s="221">
        <v>227</v>
      </c>
      <c r="C245" s="26">
        <v>46128</v>
      </c>
      <c r="D245" s="26">
        <v>46128</v>
      </c>
      <c r="E245" s="35" t="s">
        <v>683</v>
      </c>
      <c r="H245" s="243">
        <v>443434</v>
      </c>
      <c r="I245" s="114"/>
      <c r="J245" s="115"/>
      <c r="K245" s="115"/>
      <c r="L245" s="115"/>
    </row>
    <row r="246" spans="2:12" ht="12" customHeight="1">
      <c r="B246" s="221">
        <v>228</v>
      </c>
      <c r="C246" s="26">
        <v>46128</v>
      </c>
      <c r="D246" s="26">
        <v>46128</v>
      </c>
      <c r="E246" s="35" t="s">
        <v>684</v>
      </c>
      <c r="H246" s="243">
        <v>565000</v>
      </c>
      <c r="I246" s="114"/>
      <c r="J246" s="115"/>
      <c r="K246" s="115"/>
      <c r="L246" s="115"/>
    </row>
    <row r="247" spans="2:12" ht="12" customHeight="1">
      <c r="B247" s="221">
        <v>229</v>
      </c>
      <c r="C247" s="26">
        <v>46129</v>
      </c>
      <c r="D247" s="26">
        <v>46129</v>
      </c>
      <c r="E247" s="35" t="s">
        <v>669</v>
      </c>
      <c r="H247" s="138">
        <v>17050</v>
      </c>
      <c r="I247" s="114"/>
      <c r="J247" s="115"/>
      <c r="K247" s="115"/>
      <c r="L247" s="115"/>
    </row>
    <row r="248" spans="2:12" ht="12" customHeight="1">
      <c r="B248" s="221">
        <v>230</v>
      </c>
      <c r="C248" s="26">
        <v>46129</v>
      </c>
      <c r="D248" s="26">
        <v>46129</v>
      </c>
      <c r="E248" s="35" t="s">
        <v>668</v>
      </c>
      <c r="H248" s="138">
        <v>40800</v>
      </c>
      <c r="I248" s="114"/>
      <c r="J248" s="115"/>
      <c r="K248" s="115"/>
      <c r="L248" s="115"/>
    </row>
    <row r="249" spans="2:12" ht="12" customHeight="1">
      <c r="B249" s="221">
        <v>231</v>
      </c>
      <c r="C249" s="26">
        <v>46129</v>
      </c>
      <c r="D249" s="26">
        <v>46129</v>
      </c>
      <c r="E249" s="35" t="s">
        <v>685</v>
      </c>
      <c r="H249" s="243">
        <v>119748</v>
      </c>
      <c r="I249" s="114"/>
      <c r="J249" s="115"/>
      <c r="K249" s="115"/>
      <c r="L249" s="115"/>
    </row>
    <row r="250" spans="2:12" ht="12" customHeight="1">
      <c r="B250" s="221">
        <v>232</v>
      </c>
      <c r="C250" s="26">
        <v>46129</v>
      </c>
      <c r="D250" s="26">
        <v>46129</v>
      </c>
      <c r="E250" s="35" t="s">
        <v>668</v>
      </c>
      <c r="H250" s="243">
        <v>139500</v>
      </c>
      <c r="I250" s="114"/>
      <c r="J250" s="115"/>
      <c r="K250" s="115"/>
      <c r="L250" s="115"/>
    </row>
    <row r="251" spans="2:12" ht="12" customHeight="1">
      <c r="B251" s="221">
        <v>233</v>
      </c>
      <c r="C251" s="26">
        <v>46129</v>
      </c>
      <c r="D251" s="26">
        <v>46129</v>
      </c>
      <c r="E251" s="35" t="s">
        <v>667</v>
      </c>
      <c r="H251" s="243">
        <v>162000</v>
      </c>
      <c r="I251" s="114"/>
      <c r="J251" s="115"/>
      <c r="K251" s="115"/>
      <c r="L251" s="115"/>
    </row>
    <row r="252" spans="2:12" ht="12" customHeight="1">
      <c r="B252" s="221">
        <v>234</v>
      </c>
      <c r="C252" s="26">
        <v>46129</v>
      </c>
      <c r="D252" s="26">
        <v>46129</v>
      </c>
      <c r="E252" s="35" t="s">
        <v>669</v>
      </c>
      <c r="H252" s="243">
        <v>346000</v>
      </c>
      <c r="I252" s="114"/>
      <c r="J252" s="115"/>
      <c r="K252" s="115"/>
      <c r="L252" s="115"/>
    </row>
    <row r="253" spans="2:12" ht="12" customHeight="1">
      <c r="B253" s="221">
        <v>235</v>
      </c>
      <c r="C253" s="26">
        <v>46129</v>
      </c>
      <c r="D253" s="26">
        <v>46129</v>
      </c>
      <c r="E253" s="35" t="s">
        <v>668</v>
      </c>
      <c r="H253" s="243">
        <v>370000</v>
      </c>
      <c r="I253" s="114"/>
      <c r="J253" s="115"/>
      <c r="K253" s="115"/>
      <c r="L253" s="115"/>
    </row>
    <row r="254" spans="2:12" ht="12" customHeight="1">
      <c r="B254" s="221">
        <v>236</v>
      </c>
      <c r="C254" s="26">
        <v>46129</v>
      </c>
      <c r="D254" s="26">
        <v>46129</v>
      </c>
      <c r="E254" s="35" t="s">
        <v>669</v>
      </c>
      <c r="H254" s="243">
        <v>414754</v>
      </c>
      <c r="I254" s="114"/>
      <c r="J254" s="115"/>
      <c r="K254" s="115"/>
      <c r="L254" s="115"/>
    </row>
    <row r="255" spans="2:12" ht="12" customHeight="1">
      <c r="B255" s="221">
        <v>237</v>
      </c>
      <c r="C255" s="26">
        <v>46129</v>
      </c>
      <c r="D255" s="26">
        <v>46129</v>
      </c>
      <c r="E255" s="35" t="s">
        <v>674</v>
      </c>
      <c r="H255" s="243">
        <v>496800</v>
      </c>
      <c r="I255" s="114"/>
      <c r="J255" s="115"/>
      <c r="K255" s="115"/>
      <c r="L255" s="115"/>
    </row>
    <row r="256" spans="2:12" ht="12" customHeight="1">
      <c r="B256" s="221">
        <v>238</v>
      </c>
      <c r="C256" s="26">
        <v>46129</v>
      </c>
      <c r="D256" s="26">
        <v>46129</v>
      </c>
      <c r="E256" s="35" t="s">
        <v>669</v>
      </c>
      <c r="H256" s="243">
        <v>528700</v>
      </c>
      <c r="I256" s="114"/>
      <c r="J256" s="115"/>
      <c r="K256" s="115"/>
      <c r="L256" s="115"/>
    </row>
    <row r="257" spans="2:12" ht="12" customHeight="1">
      <c r="B257" s="221">
        <v>239</v>
      </c>
      <c r="C257" s="26">
        <v>46129</v>
      </c>
      <c r="D257" s="26">
        <v>46129</v>
      </c>
      <c r="E257" s="35" t="s">
        <v>668</v>
      </c>
      <c r="H257" s="243">
        <v>529000</v>
      </c>
      <c r="I257" s="114"/>
      <c r="J257" s="115"/>
      <c r="K257" s="115"/>
      <c r="L257" s="115"/>
    </row>
    <row r="258" spans="2:12" ht="12" customHeight="1">
      <c r="B258" s="221">
        <v>240</v>
      </c>
      <c r="C258" s="26">
        <v>46129</v>
      </c>
      <c r="D258" s="26">
        <v>46129</v>
      </c>
      <c r="E258" s="35" t="s">
        <v>668</v>
      </c>
      <c r="H258" s="243">
        <v>696150</v>
      </c>
      <c r="I258" s="114"/>
      <c r="J258" s="115"/>
      <c r="K258" s="115"/>
      <c r="L258" s="115"/>
    </row>
    <row r="259" spans="2:12" ht="12" customHeight="1">
      <c r="B259" s="221">
        <v>241</v>
      </c>
      <c r="C259" s="26">
        <v>46129</v>
      </c>
      <c r="D259" s="26">
        <v>46129</v>
      </c>
      <c r="E259" s="35" t="s">
        <v>672</v>
      </c>
      <c r="H259" s="243">
        <v>14208628</v>
      </c>
      <c r="I259" s="114"/>
      <c r="J259" s="115"/>
      <c r="K259" s="115"/>
      <c r="L259" s="115"/>
    </row>
    <row r="260" spans="2:12" ht="12" customHeight="1">
      <c r="B260" s="221">
        <v>242</v>
      </c>
      <c r="C260" s="26">
        <v>46130</v>
      </c>
      <c r="D260" s="26">
        <v>46130</v>
      </c>
      <c r="E260" s="35" t="s">
        <v>668</v>
      </c>
      <c r="H260" s="138">
        <v>65950</v>
      </c>
      <c r="I260" s="114"/>
      <c r="J260" s="115"/>
      <c r="K260" s="115"/>
      <c r="L260" s="115"/>
    </row>
    <row r="261" spans="2:12" ht="12" customHeight="1">
      <c r="B261" s="221">
        <v>243</v>
      </c>
      <c r="C261" s="26">
        <v>46130</v>
      </c>
      <c r="D261" s="26">
        <v>46130</v>
      </c>
      <c r="E261" s="35" t="s">
        <v>668</v>
      </c>
      <c r="H261" s="243">
        <v>119050</v>
      </c>
      <c r="I261" s="114"/>
      <c r="J261" s="115"/>
      <c r="K261" s="115"/>
      <c r="L261" s="115"/>
    </row>
    <row r="262" spans="2:12" ht="12" customHeight="1">
      <c r="B262" s="221">
        <v>244</v>
      </c>
      <c r="C262" s="26">
        <v>46130</v>
      </c>
      <c r="D262" s="26">
        <v>46130</v>
      </c>
      <c r="E262" s="35" t="s">
        <v>669</v>
      </c>
      <c r="H262" s="243">
        <v>148750</v>
      </c>
      <c r="I262" s="114"/>
      <c r="J262" s="115"/>
      <c r="K262" s="115"/>
      <c r="L262" s="115"/>
    </row>
    <row r="263" spans="2:12" ht="12" customHeight="1">
      <c r="B263" s="221">
        <v>245</v>
      </c>
      <c r="C263" s="26">
        <v>46130</v>
      </c>
      <c r="D263" s="26">
        <v>46130</v>
      </c>
      <c r="E263" s="35" t="s">
        <v>669</v>
      </c>
      <c r="H263" s="243">
        <v>231750</v>
      </c>
      <c r="I263" s="114"/>
      <c r="J263" s="115"/>
      <c r="K263" s="115"/>
      <c r="L263" s="115"/>
    </row>
    <row r="264" spans="2:12" ht="12" customHeight="1">
      <c r="B264" s="221">
        <v>246</v>
      </c>
      <c r="C264" s="26">
        <v>46130</v>
      </c>
      <c r="D264" s="26">
        <v>46130</v>
      </c>
      <c r="E264" s="35" t="s">
        <v>686</v>
      </c>
      <c r="H264" s="243">
        <v>876329</v>
      </c>
      <c r="I264" s="114"/>
      <c r="J264" s="115"/>
      <c r="K264" s="115"/>
      <c r="L264" s="115"/>
    </row>
    <row r="265" spans="2:12" ht="12" customHeight="1">
      <c r="B265" s="221">
        <v>247</v>
      </c>
      <c r="C265" s="26">
        <v>46130</v>
      </c>
      <c r="D265" s="26">
        <v>46130</v>
      </c>
      <c r="E265" s="35" t="s">
        <v>687</v>
      </c>
      <c r="H265" s="243">
        <v>3094004</v>
      </c>
      <c r="I265" s="114"/>
      <c r="J265" s="115"/>
      <c r="K265" s="115"/>
      <c r="L265" s="115"/>
    </row>
    <row r="266" spans="2:12" ht="12" customHeight="1">
      <c r="B266" s="221">
        <v>248</v>
      </c>
      <c r="C266" s="26">
        <v>46132</v>
      </c>
      <c r="D266" s="26">
        <v>46132</v>
      </c>
      <c r="E266" s="35" t="s">
        <v>668</v>
      </c>
      <c r="H266" s="138">
        <v>41256</v>
      </c>
      <c r="I266" s="114"/>
      <c r="J266" s="115"/>
      <c r="K266" s="115"/>
      <c r="L266" s="115"/>
    </row>
    <row r="267" spans="2:12" ht="12" customHeight="1">
      <c r="B267" s="221">
        <v>249</v>
      </c>
      <c r="C267" s="26">
        <v>46132</v>
      </c>
      <c r="D267" s="26">
        <v>46132</v>
      </c>
      <c r="E267" s="35" t="s">
        <v>668</v>
      </c>
      <c r="H267" s="243">
        <v>220000</v>
      </c>
      <c r="I267" s="114"/>
      <c r="J267" s="115"/>
      <c r="K267" s="115"/>
      <c r="L267" s="115"/>
    </row>
    <row r="268" spans="2:12" ht="12" customHeight="1">
      <c r="B268" s="221">
        <v>250</v>
      </c>
      <c r="C268" s="26">
        <v>46132</v>
      </c>
      <c r="D268" s="26">
        <v>46132</v>
      </c>
      <c r="E268" s="35" t="s">
        <v>668</v>
      </c>
      <c r="H268" s="243">
        <v>252500</v>
      </c>
      <c r="I268" s="114"/>
      <c r="J268" s="115"/>
      <c r="K268" s="115"/>
      <c r="L268" s="115"/>
    </row>
    <row r="269" spans="2:12" ht="12" customHeight="1">
      <c r="B269" s="221">
        <v>251</v>
      </c>
      <c r="C269" s="26">
        <v>46132</v>
      </c>
      <c r="D269" s="26">
        <v>46132</v>
      </c>
      <c r="E269" s="35" t="s">
        <v>667</v>
      </c>
      <c r="H269" s="243">
        <v>372500</v>
      </c>
      <c r="I269" s="114"/>
      <c r="J269" s="115"/>
      <c r="K269" s="115"/>
      <c r="L269" s="115"/>
    </row>
    <row r="270" spans="2:12" ht="12" customHeight="1">
      <c r="B270" s="221">
        <v>252</v>
      </c>
      <c r="C270" s="26">
        <v>46132</v>
      </c>
      <c r="D270" s="26">
        <v>46132</v>
      </c>
      <c r="E270" s="35" t="s">
        <v>667</v>
      </c>
      <c r="H270" s="243">
        <v>1087500</v>
      </c>
      <c r="I270" s="114"/>
      <c r="J270" s="115"/>
      <c r="K270" s="115"/>
      <c r="L270" s="115"/>
    </row>
    <row r="271" spans="2:12" ht="12" customHeight="1">
      <c r="B271" s="221">
        <v>253</v>
      </c>
      <c r="C271" s="26">
        <v>46132</v>
      </c>
      <c r="D271" s="26">
        <v>46132</v>
      </c>
      <c r="E271" s="35" t="s">
        <v>668</v>
      </c>
      <c r="H271" s="138">
        <v>1300000</v>
      </c>
      <c r="I271" s="114"/>
      <c r="J271" s="115"/>
      <c r="K271" s="115"/>
      <c r="L271" s="115"/>
    </row>
    <row r="272" spans="2:12" ht="12" customHeight="1">
      <c r="B272" s="221">
        <v>254</v>
      </c>
      <c r="C272" s="26">
        <v>46132</v>
      </c>
      <c r="D272" s="26">
        <v>46132</v>
      </c>
      <c r="E272" s="35" t="s">
        <v>667</v>
      </c>
      <c r="H272" s="243">
        <v>3000000</v>
      </c>
      <c r="I272" s="114"/>
      <c r="J272" s="115"/>
      <c r="K272" s="115"/>
      <c r="L272" s="115"/>
    </row>
    <row r="273" spans="2:12" ht="12" customHeight="1">
      <c r="B273" s="221">
        <v>255</v>
      </c>
      <c r="C273" s="26">
        <v>46133</v>
      </c>
      <c r="D273" s="26">
        <v>46133</v>
      </c>
      <c r="E273" s="35" t="s">
        <v>667</v>
      </c>
      <c r="H273" s="138">
        <v>32400</v>
      </c>
      <c r="I273" s="114"/>
      <c r="J273" s="115"/>
      <c r="K273" s="115"/>
      <c r="L273" s="115"/>
    </row>
    <row r="274" spans="2:12" ht="12" customHeight="1">
      <c r="B274" s="221">
        <v>256</v>
      </c>
      <c r="C274" s="26">
        <v>46133</v>
      </c>
      <c r="D274" s="26">
        <v>46133</v>
      </c>
      <c r="E274" s="35" t="s">
        <v>669</v>
      </c>
      <c r="H274" s="138">
        <v>64000</v>
      </c>
      <c r="I274" s="114"/>
      <c r="J274" s="115"/>
      <c r="K274" s="115"/>
      <c r="L274" s="115"/>
    </row>
    <row r="275" spans="2:12" ht="12" customHeight="1">
      <c r="B275" s="221">
        <v>257</v>
      </c>
      <c r="C275" s="26">
        <v>46133</v>
      </c>
      <c r="D275" s="26">
        <v>46133</v>
      </c>
      <c r="E275" s="35" t="s">
        <v>667</v>
      </c>
      <c r="H275" s="243">
        <v>116550</v>
      </c>
      <c r="I275" s="114"/>
      <c r="J275" s="115"/>
      <c r="K275" s="115"/>
      <c r="L275" s="115"/>
    </row>
    <row r="276" spans="2:12" ht="12" customHeight="1">
      <c r="B276" s="221">
        <v>258</v>
      </c>
      <c r="C276" s="26">
        <v>46133</v>
      </c>
      <c r="D276" s="26">
        <v>46133</v>
      </c>
      <c r="E276" s="35" t="s">
        <v>669</v>
      </c>
      <c r="H276" s="243">
        <v>368418</v>
      </c>
      <c r="I276" s="114"/>
      <c r="J276" s="115"/>
      <c r="K276" s="115"/>
      <c r="L276" s="115"/>
    </row>
    <row r="277" spans="2:12" ht="12" customHeight="1">
      <c r="B277" s="221">
        <v>259</v>
      </c>
      <c r="C277" s="26">
        <v>46133</v>
      </c>
      <c r="D277" s="26">
        <v>46133</v>
      </c>
      <c r="E277" s="35" t="s">
        <v>669</v>
      </c>
      <c r="H277" s="243">
        <v>707400</v>
      </c>
      <c r="I277" s="114"/>
      <c r="J277" s="115"/>
      <c r="K277" s="115"/>
      <c r="L277" s="115"/>
    </row>
    <row r="278" spans="2:12" ht="12" customHeight="1">
      <c r="B278" s="221">
        <v>260</v>
      </c>
      <c r="C278" s="26">
        <v>46133</v>
      </c>
      <c r="D278" s="26">
        <v>46133</v>
      </c>
      <c r="E278" s="35" t="s">
        <v>672</v>
      </c>
      <c r="H278" s="138">
        <v>1464700</v>
      </c>
      <c r="I278" s="114"/>
      <c r="J278" s="115"/>
      <c r="K278" s="115"/>
      <c r="L278" s="115"/>
    </row>
    <row r="279" spans="2:12" ht="12" customHeight="1">
      <c r="B279" s="221">
        <v>261</v>
      </c>
      <c r="C279" s="26">
        <v>46133</v>
      </c>
      <c r="D279" s="26">
        <v>46133</v>
      </c>
      <c r="E279" s="35" t="s">
        <v>677</v>
      </c>
      <c r="H279" s="243">
        <v>5218802.6500000004</v>
      </c>
      <c r="I279" s="114"/>
      <c r="J279" s="115"/>
      <c r="K279" s="115"/>
      <c r="L279" s="115"/>
    </row>
    <row r="280" spans="2:12" ht="12" customHeight="1">
      <c r="B280" s="221">
        <v>262</v>
      </c>
      <c r="C280" s="26">
        <v>46133</v>
      </c>
      <c r="D280" s="26">
        <v>46133</v>
      </c>
      <c r="E280" s="35" t="s">
        <v>688</v>
      </c>
      <c r="H280" s="243">
        <v>10013062</v>
      </c>
      <c r="I280" s="114"/>
      <c r="J280" s="115"/>
      <c r="K280" s="115"/>
      <c r="L280" s="115"/>
    </row>
    <row r="281" spans="2:12" ht="12" customHeight="1">
      <c r="B281" s="221">
        <v>263</v>
      </c>
      <c r="C281" s="26">
        <v>46134</v>
      </c>
      <c r="D281" s="26">
        <v>46134</v>
      </c>
      <c r="E281" s="35" t="s">
        <v>670</v>
      </c>
      <c r="H281" s="138">
        <v>43050</v>
      </c>
      <c r="I281" s="114"/>
      <c r="J281" s="115"/>
      <c r="K281" s="115"/>
      <c r="L281" s="115"/>
    </row>
    <row r="282" spans="2:12" ht="12" customHeight="1">
      <c r="B282" s="221">
        <v>264</v>
      </c>
      <c r="C282" s="26">
        <v>46134</v>
      </c>
      <c r="D282" s="26">
        <v>46134</v>
      </c>
      <c r="E282" s="35" t="s">
        <v>668</v>
      </c>
      <c r="H282" s="138">
        <v>48000</v>
      </c>
      <c r="I282" s="114"/>
      <c r="J282" s="115"/>
      <c r="K282" s="115"/>
      <c r="L282" s="115"/>
    </row>
    <row r="283" spans="2:12" ht="12" customHeight="1">
      <c r="B283" s="221">
        <v>265</v>
      </c>
      <c r="C283" s="26">
        <v>46134</v>
      </c>
      <c r="D283" s="26">
        <v>46134</v>
      </c>
      <c r="E283" s="35" t="s">
        <v>667</v>
      </c>
      <c r="H283" s="243">
        <v>295300</v>
      </c>
      <c r="I283" s="114"/>
      <c r="J283" s="115"/>
      <c r="K283" s="115"/>
      <c r="L283" s="115"/>
    </row>
    <row r="284" spans="2:12" ht="12" customHeight="1">
      <c r="B284" s="221">
        <v>266</v>
      </c>
      <c r="C284" s="26">
        <v>46134</v>
      </c>
      <c r="D284" s="26">
        <v>46134</v>
      </c>
      <c r="E284" s="35" t="s">
        <v>668</v>
      </c>
      <c r="H284" s="243">
        <v>650000</v>
      </c>
      <c r="I284" s="114"/>
      <c r="J284" s="115"/>
      <c r="K284" s="115"/>
      <c r="L284" s="115"/>
    </row>
    <row r="285" spans="2:12" ht="12" customHeight="1">
      <c r="B285" s="221">
        <v>267</v>
      </c>
      <c r="C285" s="26">
        <v>46134</v>
      </c>
      <c r="D285" s="26">
        <v>46134</v>
      </c>
      <c r="E285" s="35" t="s">
        <v>669</v>
      </c>
      <c r="H285" s="243">
        <v>2091891</v>
      </c>
      <c r="I285" s="114"/>
      <c r="J285" s="115"/>
      <c r="K285" s="115"/>
      <c r="L285" s="115"/>
    </row>
    <row r="286" spans="2:12" ht="12" customHeight="1">
      <c r="B286" s="221">
        <v>268</v>
      </c>
      <c r="C286" s="26">
        <v>46134</v>
      </c>
      <c r="D286" s="26">
        <v>46134</v>
      </c>
      <c r="E286" s="35" t="s">
        <v>669</v>
      </c>
      <c r="H286" s="243">
        <v>2750000</v>
      </c>
      <c r="I286" s="114"/>
      <c r="J286" s="115"/>
      <c r="K286" s="115"/>
      <c r="L286" s="115"/>
    </row>
    <row r="287" spans="2:12" ht="12" customHeight="1">
      <c r="B287" s="221">
        <v>269</v>
      </c>
      <c r="C287" s="26">
        <v>46135</v>
      </c>
      <c r="D287" s="26">
        <v>46135</v>
      </c>
      <c r="E287" s="35" t="s">
        <v>668</v>
      </c>
      <c r="H287" s="138">
        <v>22700</v>
      </c>
      <c r="I287" s="114"/>
      <c r="J287" s="115"/>
      <c r="K287" s="115"/>
      <c r="L287" s="115"/>
    </row>
    <row r="288" spans="2:12" ht="12" customHeight="1">
      <c r="B288" s="221">
        <v>270</v>
      </c>
      <c r="C288" s="26">
        <v>46135</v>
      </c>
      <c r="D288" s="26">
        <v>46135</v>
      </c>
      <c r="E288" s="35" t="s">
        <v>689</v>
      </c>
      <c r="H288" s="138">
        <v>69200</v>
      </c>
      <c r="I288" s="114"/>
      <c r="J288" s="115"/>
      <c r="K288" s="115"/>
      <c r="L288" s="115"/>
    </row>
    <row r="289" spans="2:12" ht="12" customHeight="1">
      <c r="B289" s="221">
        <v>271</v>
      </c>
      <c r="C289" s="26">
        <v>46135</v>
      </c>
      <c r="D289" s="26">
        <v>46135</v>
      </c>
      <c r="E289" s="35" t="s">
        <v>668</v>
      </c>
      <c r="H289" s="243">
        <v>157500</v>
      </c>
      <c r="I289" s="114"/>
      <c r="J289" s="115"/>
      <c r="K289" s="115"/>
      <c r="L289" s="115"/>
    </row>
    <row r="290" spans="2:12" ht="12" customHeight="1">
      <c r="B290" s="221">
        <v>272</v>
      </c>
      <c r="C290" s="26">
        <v>46135</v>
      </c>
      <c r="D290" s="26">
        <v>46135</v>
      </c>
      <c r="E290" s="35" t="s">
        <v>669</v>
      </c>
      <c r="H290" s="243">
        <v>439000</v>
      </c>
      <c r="I290" s="114"/>
      <c r="J290" s="115"/>
      <c r="K290" s="115"/>
      <c r="L290" s="115"/>
    </row>
    <row r="291" spans="2:12" ht="12" customHeight="1">
      <c r="B291" s="221">
        <v>273</v>
      </c>
      <c r="C291" s="26">
        <v>46135</v>
      </c>
      <c r="D291" s="26">
        <v>46135</v>
      </c>
      <c r="E291" s="35" t="s">
        <v>690</v>
      </c>
      <c r="H291" s="243">
        <v>458000</v>
      </c>
      <c r="I291" s="114"/>
      <c r="J291" s="115"/>
      <c r="K291" s="115"/>
      <c r="L291" s="115"/>
    </row>
    <row r="292" spans="2:12" ht="12" customHeight="1">
      <c r="B292" s="221">
        <v>274</v>
      </c>
      <c r="C292" s="26">
        <v>46135</v>
      </c>
      <c r="D292" s="26">
        <v>46135</v>
      </c>
      <c r="E292" s="35" t="s">
        <v>691</v>
      </c>
      <c r="H292" s="138">
        <v>733501</v>
      </c>
      <c r="I292" s="114"/>
      <c r="J292" s="115"/>
      <c r="K292" s="115"/>
      <c r="L292" s="115"/>
    </row>
    <row r="293" spans="2:12" ht="12" customHeight="1">
      <c r="B293" s="221">
        <v>275</v>
      </c>
      <c r="C293" s="26">
        <v>46135</v>
      </c>
      <c r="D293" s="26">
        <v>46135</v>
      </c>
      <c r="E293" s="35" t="s">
        <v>692</v>
      </c>
      <c r="H293" s="243">
        <v>1584000</v>
      </c>
      <c r="I293" s="114"/>
      <c r="J293" s="115"/>
      <c r="K293" s="115"/>
      <c r="L293" s="115"/>
    </row>
    <row r="294" spans="2:12" ht="12" customHeight="1">
      <c r="B294" s="221">
        <v>276</v>
      </c>
      <c r="C294" s="26">
        <v>46135</v>
      </c>
      <c r="D294" s="26">
        <v>46135</v>
      </c>
      <c r="E294" s="35" t="s">
        <v>693</v>
      </c>
      <c r="H294" s="243">
        <v>1793250</v>
      </c>
      <c r="I294" s="114"/>
      <c r="J294" s="115"/>
      <c r="K294" s="115"/>
      <c r="L294" s="115"/>
    </row>
    <row r="295" spans="2:12" ht="12" customHeight="1">
      <c r="B295" s="221">
        <v>277</v>
      </c>
      <c r="C295" s="26">
        <v>46135</v>
      </c>
      <c r="D295" s="26">
        <v>46135</v>
      </c>
      <c r="E295" s="35" t="s">
        <v>669</v>
      </c>
      <c r="H295" s="243">
        <v>1887000</v>
      </c>
      <c r="I295" s="114"/>
      <c r="J295" s="115"/>
      <c r="K295" s="115"/>
      <c r="L295" s="115"/>
    </row>
    <row r="296" spans="2:12" ht="12" customHeight="1">
      <c r="B296" s="221">
        <v>278</v>
      </c>
      <c r="C296" s="26">
        <v>46135</v>
      </c>
      <c r="D296" s="26">
        <v>46135</v>
      </c>
      <c r="E296" s="35" t="s">
        <v>669</v>
      </c>
      <c r="H296" s="243">
        <v>2440000</v>
      </c>
      <c r="I296" s="114"/>
      <c r="J296" s="115"/>
      <c r="K296" s="115"/>
      <c r="L296" s="115"/>
    </row>
    <row r="297" spans="2:12" ht="12" customHeight="1">
      <c r="B297" s="221">
        <v>279</v>
      </c>
      <c r="C297" s="26">
        <v>46135</v>
      </c>
      <c r="D297" s="26">
        <v>46135</v>
      </c>
      <c r="E297" s="35" t="s">
        <v>694</v>
      </c>
      <c r="H297" s="243">
        <v>4434945.6100000003</v>
      </c>
      <c r="I297" s="114"/>
      <c r="J297" s="115"/>
      <c r="K297" s="115"/>
      <c r="L297" s="115"/>
    </row>
    <row r="298" spans="2:12" ht="12" customHeight="1">
      <c r="B298" s="221">
        <v>280</v>
      </c>
      <c r="C298" s="26">
        <v>46136</v>
      </c>
      <c r="D298" s="26">
        <v>46136</v>
      </c>
      <c r="E298" s="35" t="s">
        <v>668</v>
      </c>
      <c r="H298" s="138">
        <v>29500</v>
      </c>
      <c r="I298" s="114"/>
      <c r="J298" s="115"/>
      <c r="K298" s="115"/>
      <c r="L298" s="115"/>
    </row>
    <row r="299" spans="2:12" ht="12" customHeight="1">
      <c r="B299" s="221">
        <v>281</v>
      </c>
      <c r="C299" s="26">
        <v>46136</v>
      </c>
      <c r="D299" s="26">
        <v>46136</v>
      </c>
      <c r="E299" s="35" t="s">
        <v>668</v>
      </c>
      <c r="H299" s="138">
        <v>55600</v>
      </c>
      <c r="I299" s="114"/>
      <c r="J299" s="115"/>
      <c r="K299" s="115"/>
      <c r="L299" s="115"/>
    </row>
    <row r="300" spans="2:12" ht="12" customHeight="1">
      <c r="B300" s="221">
        <v>282</v>
      </c>
      <c r="C300" s="26">
        <v>46136</v>
      </c>
      <c r="D300" s="26">
        <v>46136</v>
      </c>
      <c r="E300" s="35" t="s">
        <v>668</v>
      </c>
      <c r="H300" s="138">
        <v>66000</v>
      </c>
      <c r="I300" s="114"/>
      <c r="J300" s="115"/>
      <c r="K300" s="115"/>
      <c r="L300" s="115"/>
    </row>
    <row r="301" spans="2:12" ht="12" customHeight="1">
      <c r="B301" s="221">
        <v>283</v>
      </c>
      <c r="C301" s="26">
        <v>46136</v>
      </c>
      <c r="D301" s="26">
        <v>46136</v>
      </c>
      <c r="E301" s="35" t="s">
        <v>669</v>
      </c>
      <c r="H301" s="243">
        <v>138730</v>
      </c>
      <c r="I301" s="114"/>
      <c r="J301" s="115"/>
      <c r="K301" s="115"/>
      <c r="L301" s="115"/>
    </row>
    <row r="302" spans="2:12" ht="12" customHeight="1">
      <c r="B302" s="221">
        <v>284</v>
      </c>
      <c r="C302" s="26">
        <v>46136</v>
      </c>
      <c r="D302" s="26">
        <v>46136</v>
      </c>
      <c r="E302" s="35" t="s">
        <v>667</v>
      </c>
      <c r="H302" s="243">
        <v>146000</v>
      </c>
      <c r="I302" s="114"/>
      <c r="J302" s="115"/>
      <c r="K302" s="115"/>
      <c r="L302" s="115"/>
    </row>
    <row r="303" spans="2:12" ht="12" customHeight="1">
      <c r="B303" s="221">
        <v>285</v>
      </c>
      <c r="C303" s="26">
        <v>46136</v>
      </c>
      <c r="D303" s="26">
        <v>46136</v>
      </c>
      <c r="E303" s="35" t="s">
        <v>669</v>
      </c>
      <c r="H303" s="138">
        <v>327500</v>
      </c>
      <c r="I303" s="114"/>
      <c r="J303" s="115"/>
      <c r="K303" s="115"/>
      <c r="L303" s="115"/>
    </row>
    <row r="304" spans="2:12" ht="12" customHeight="1">
      <c r="B304" s="221">
        <v>286</v>
      </c>
      <c r="C304" s="26">
        <v>46136</v>
      </c>
      <c r="D304" s="26">
        <v>46136</v>
      </c>
      <c r="E304" s="35" t="s">
        <v>668</v>
      </c>
      <c r="H304" s="243">
        <v>610000</v>
      </c>
      <c r="I304" s="114"/>
      <c r="J304" s="115"/>
      <c r="K304" s="115"/>
      <c r="L304" s="115"/>
    </row>
    <row r="305" spans="2:12" ht="12" customHeight="1">
      <c r="B305" s="221">
        <v>287</v>
      </c>
      <c r="C305" s="26">
        <v>46136</v>
      </c>
      <c r="D305" s="26">
        <v>46136</v>
      </c>
      <c r="E305" s="35" t="s">
        <v>667</v>
      </c>
      <c r="H305" s="243">
        <v>649400</v>
      </c>
      <c r="I305" s="114"/>
      <c r="J305" s="115"/>
      <c r="K305" s="115"/>
      <c r="L305" s="115"/>
    </row>
    <row r="306" spans="2:12" ht="12" customHeight="1">
      <c r="B306" s="221">
        <v>288</v>
      </c>
      <c r="C306" s="26">
        <v>46136</v>
      </c>
      <c r="D306" s="26">
        <v>46136</v>
      </c>
      <c r="E306" s="35" t="s">
        <v>670</v>
      </c>
      <c r="H306" s="243">
        <v>660454</v>
      </c>
      <c r="I306" s="114"/>
      <c r="J306" s="115"/>
      <c r="K306" s="115"/>
      <c r="L306" s="115"/>
    </row>
    <row r="307" spans="2:12" ht="12" customHeight="1">
      <c r="B307" s="221">
        <v>289</v>
      </c>
      <c r="C307" s="26">
        <v>46136</v>
      </c>
      <c r="D307" s="26">
        <v>46136</v>
      </c>
      <c r="E307" s="35" t="s">
        <v>669</v>
      </c>
      <c r="H307" s="243">
        <v>1089088</v>
      </c>
      <c r="I307" s="114"/>
      <c r="J307" s="115"/>
      <c r="K307" s="115"/>
      <c r="L307" s="115"/>
    </row>
    <row r="308" spans="2:12" ht="12" customHeight="1">
      <c r="B308" s="221">
        <v>290</v>
      </c>
      <c r="C308" s="26">
        <v>46136</v>
      </c>
      <c r="D308" s="26">
        <v>46136</v>
      </c>
      <c r="E308" s="35" t="s">
        <v>695</v>
      </c>
      <c r="H308" s="243">
        <v>1748700</v>
      </c>
      <c r="I308" s="114"/>
      <c r="J308" s="115"/>
      <c r="K308" s="115"/>
      <c r="L308" s="115"/>
    </row>
    <row r="309" spans="2:12" ht="12" customHeight="1">
      <c r="B309" s="221">
        <v>291</v>
      </c>
      <c r="C309" s="26">
        <v>46136</v>
      </c>
      <c r="D309" s="26">
        <v>46136</v>
      </c>
      <c r="E309" s="35" t="s">
        <v>669</v>
      </c>
      <c r="H309" s="243">
        <v>1839000</v>
      </c>
      <c r="I309" s="114"/>
      <c r="J309" s="115"/>
      <c r="K309" s="115"/>
      <c r="L309" s="115"/>
    </row>
    <row r="310" spans="2:12" ht="12" customHeight="1">
      <c r="B310" s="221">
        <v>292</v>
      </c>
      <c r="C310" s="26">
        <v>46136</v>
      </c>
      <c r="D310" s="26">
        <v>46136</v>
      </c>
      <c r="E310" s="35" t="s">
        <v>696</v>
      </c>
      <c r="H310" s="243">
        <v>2167101</v>
      </c>
      <c r="I310" s="114"/>
      <c r="J310" s="115"/>
      <c r="K310" s="115"/>
      <c r="L310" s="115"/>
    </row>
    <row r="311" spans="2:12" ht="12" customHeight="1">
      <c r="B311" s="221">
        <v>293</v>
      </c>
      <c r="C311" s="26">
        <v>46136</v>
      </c>
      <c r="D311" s="26">
        <v>46136</v>
      </c>
      <c r="E311" s="35" t="s">
        <v>668</v>
      </c>
      <c r="H311" s="243">
        <v>2471120</v>
      </c>
      <c r="I311" s="114"/>
      <c r="J311" s="115"/>
      <c r="K311" s="115"/>
      <c r="L311" s="115"/>
    </row>
    <row r="312" spans="2:12" ht="12" customHeight="1">
      <c r="B312" s="221">
        <v>294</v>
      </c>
      <c r="C312" s="26">
        <v>46136</v>
      </c>
      <c r="D312" s="26">
        <v>46136</v>
      </c>
      <c r="E312" s="35" t="s">
        <v>696</v>
      </c>
      <c r="H312" s="243">
        <v>2974680</v>
      </c>
      <c r="I312" s="114"/>
      <c r="J312" s="115"/>
      <c r="K312" s="115"/>
      <c r="L312" s="115"/>
    </row>
    <row r="313" spans="2:12" ht="12" customHeight="1">
      <c r="B313" s="221">
        <v>295</v>
      </c>
      <c r="C313" s="26">
        <v>46136</v>
      </c>
      <c r="D313" s="26">
        <v>46136</v>
      </c>
      <c r="E313" s="35" t="s">
        <v>697</v>
      </c>
      <c r="H313" s="243">
        <v>3028211</v>
      </c>
      <c r="I313" s="114"/>
      <c r="J313" s="115"/>
      <c r="K313" s="115"/>
      <c r="L313" s="115"/>
    </row>
    <row r="314" spans="2:12" ht="12" customHeight="1">
      <c r="B314" s="221">
        <v>296</v>
      </c>
      <c r="C314" s="26">
        <v>46136</v>
      </c>
      <c r="D314" s="26">
        <v>46136</v>
      </c>
      <c r="E314" s="35" t="s">
        <v>698</v>
      </c>
      <c r="H314" s="243">
        <v>3589498</v>
      </c>
      <c r="I314" s="114"/>
      <c r="J314" s="115"/>
      <c r="K314" s="115"/>
      <c r="L314" s="115"/>
    </row>
    <row r="315" spans="2:12" ht="12" customHeight="1">
      <c r="B315" s="221">
        <v>297</v>
      </c>
      <c r="C315" s="26">
        <v>46136</v>
      </c>
      <c r="D315" s="26">
        <v>46136</v>
      </c>
      <c r="E315" s="35" t="s">
        <v>699</v>
      </c>
      <c r="H315" s="243">
        <v>13969843</v>
      </c>
      <c r="I315" s="114"/>
      <c r="J315" s="115"/>
      <c r="K315" s="115"/>
      <c r="L315" s="115"/>
    </row>
    <row r="316" spans="2:12" ht="12" customHeight="1">
      <c r="B316" s="221">
        <v>298</v>
      </c>
      <c r="C316" s="26">
        <v>46136</v>
      </c>
      <c r="D316" s="26">
        <v>46136</v>
      </c>
      <c r="E316" s="35" t="s">
        <v>700</v>
      </c>
      <c r="H316" s="243">
        <v>18551657.899999999</v>
      </c>
      <c r="I316" s="114"/>
      <c r="J316" s="115"/>
      <c r="K316" s="115"/>
      <c r="L316" s="115"/>
    </row>
    <row r="317" spans="2:12" ht="12" customHeight="1">
      <c r="B317" s="221">
        <v>299</v>
      </c>
      <c r="C317" s="26">
        <v>46137</v>
      </c>
      <c r="D317" s="26">
        <v>46137</v>
      </c>
      <c r="E317" s="35" t="s">
        <v>667</v>
      </c>
      <c r="H317" s="243">
        <v>296400</v>
      </c>
      <c r="I317" s="114"/>
      <c r="J317" s="115"/>
      <c r="K317" s="115"/>
      <c r="L317" s="115"/>
    </row>
    <row r="318" spans="2:12" ht="12" customHeight="1">
      <c r="B318" s="221">
        <v>300</v>
      </c>
      <c r="C318" s="26">
        <v>46137</v>
      </c>
      <c r="D318" s="26">
        <v>46137</v>
      </c>
      <c r="E318" s="35" t="s">
        <v>669</v>
      </c>
      <c r="H318" s="243">
        <v>1263583</v>
      </c>
      <c r="I318" s="114"/>
      <c r="J318" s="115"/>
      <c r="K318" s="115"/>
      <c r="L318" s="115"/>
    </row>
    <row r="319" spans="2:12" ht="12" customHeight="1">
      <c r="B319" s="221">
        <v>301</v>
      </c>
      <c r="C319" s="26">
        <v>46137</v>
      </c>
      <c r="D319" s="26">
        <v>46137</v>
      </c>
      <c r="E319" s="35" t="s">
        <v>669</v>
      </c>
      <c r="H319" s="243">
        <v>1515262</v>
      </c>
      <c r="I319" s="114"/>
      <c r="J319" s="115"/>
      <c r="K319" s="115"/>
      <c r="L319" s="115"/>
    </row>
    <row r="320" spans="2:12" ht="12" customHeight="1">
      <c r="B320" s="221">
        <v>302</v>
      </c>
      <c r="C320" s="26">
        <v>46137</v>
      </c>
      <c r="D320" s="26">
        <v>46137</v>
      </c>
      <c r="E320" s="35" t="s">
        <v>669</v>
      </c>
      <c r="H320" s="243">
        <v>1830000</v>
      </c>
      <c r="I320" s="114"/>
      <c r="J320" s="115"/>
      <c r="K320" s="115"/>
      <c r="L320" s="115"/>
    </row>
    <row r="321" spans="2:12" ht="12" customHeight="1">
      <c r="B321" s="221">
        <v>303</v>
      </c>
      <c r="C321" s="26">
        <v>46137</v>
      </c>
      <c r="D321" s="26">
        <v>46137</v>
      </c>
      <c r="E321" s="35" t="s">
        <v>669</v>
      </c>
      <c r="H321" s="243">
        <v>8840000</v>
      </c>
      <c r="I321" s="114"/>
      <c r="J321" s="115"/>
      <c r="K321" s="115"/>
      <c r="L321" s="115"/>
    </row>
    <row r="322" spans="2:12" ht="12" customHeight="1">
      <c r="B322" s="221">
        <v>304</v>
      </c>
      <c r="C322" s="26">
        <v>46139</v>
      </c>
      <c r="D322" s="26">
        <v>46139</v>
      </c>
      <c r="E322" s="35" t="s">
        <v>672</v>
      </c>
      <c r="H322" s="243">
        <v>364695</v>
      </c>
      <c r="I322" s="114"/>
      <c r="J322" s="115"/>
      <c r="K322" s="115"/>
      <c r="L322" s="115"/>
    </row>
    <row r="323" spans="2:12" ht="12" customHeight="1">
      <c r="B323" s="221">
        <v>305</v>
      </c>
      <c r="C323" s="26">
        <v>46139</v>
      </c>
      <c r="D323" s="26">
        <v>46139</v>
      </c>
      <c r="E323" s="35" t="s">
        <v>667</v>
      </c>
      <c r="H323" s="243">
        <v>391000</v>
      </c>
      <c r="I323" s="114"/>
      <c r="J323" s="115"/>
      <c r="K323" s="115"/>
      <c r="L323" s="115"/>
    </row>
    <row r="324" spans="2:12" ht="12" customHeight="1">
      <c r="B324" s="221">
        <v>306</v>
      </c>
      <c r="C324" s="26">
        <v>46139</v>
      </c>
      <c r="D324" s="26">
        <v>46139</v>
      </c>
      <c r="E324" s="35" t="s">
        <v>701</v>
      </c>
      <c r="H324" s="243">
        <v>480000</v>
      </c>
      <c r="I324" s="114"/>
      <c r="J324" s="115"/>
      <c r="K324" s="115"/>
      <c r="L324" s="115"/>
    </row>
    <row r="325" spans="2:12" ht="12" customHeight="1">
      <c r="B325" s="221">
        <v>307</v>
      </c>
      <c r="C325" s="26">
        <v>46139</v>
      </c>
      <c r="D325" s="26">
        <v>46139</v>
      </c>
      <c r="E325" s="35" t="s">
        <v>669</v>
      </c>
      <c r="H325" s="243">
        <v>842500</v>
      </c>
      <c r="I325" s="114"/>
      <c r="J325" s="115"/>
      <c r="K325" s="115"/>
      <c r="L325" s="115"/>
    </row>
    <row r="326" spans="2:12" ht="12" customHeight="1">
      <c r="B326" s="221">
        <v>308</v>
      </c>
      <c r="C326" s="26">
        <v>46139</v>
      </c>
      <c r="D326" s="26">
        <v>46139</v>
      </c>
      <c r="E326" s="35" t="s">
        <v>667</v>
      </c>
      <c r="H326" s="243">
        <v>1020000</v>
      </c>
      <c r="I326" s="114"/>
      <c r="J326" s="115"/>
      <c r="K326" s="115"/>
      <c r="L326" s="115"/>
    </row>
    <row r="327" spans="2:12" ht="12" customHeight="1">
      <c r="B327" s="221">
        <v>309</v>
      </c>
      <c r="C327" s="26">
        <v>46139</v>
      </c>
      <c r="D327" s="26">
        <v>46139</v>
      </c>
      <c r="E327" s="35" t="s">
        <v>702</v>
      </c>
      <c r="H327" s="243">
        <v>1521323</v>
      </c>
      <c r="I327" s="114"/>
      <c r="J327" s="115"/>
      <c r="K327" s="115"/>
      <c r="L327" s="115"/>
    </row>
    <row r="328" spans="2:12" ht="12" customHeight="1">
      <c r="B328" s="221">
        <v>310</v>
      </c>
      <c r="C328" s="26">
        <v>46139</v>
      </c>
      <c r="D328" s="26">
        <v>46139</v>
      </c>
      <c r="E328" s="35" t="s">
        <v>674</v>
      </c>
      <c r="H328" s="243">
        <v>2545861</v>
      </c>
      <c r="I328" s="114"/>
      <c r="J328" s="115"/>
      <c r="K328" s="115"/>
      <c r="L328" s="115"/>
    </row>
    <row r="329" spans="2:12" ht="12" customHeight="1">
      <c r="B329" s="221">
        <v>311</v>
      </c>
      <c r="C329" s="26">
        <v>46139</v>
      </c>
      <c r="D329" s="26">
        <v>46139</v>
      </c>
      <c r="E329" s="35" t="s">
        <v>672</v>
      </c>
      <c r="H329" s="243">
        <v>4768643</v>
      </c>
      <c r="I329" s="114"/>
      <c r="J329" s="115"/>
      <c r="K329" s="115"/>
      <c r="L329" s="115"/>
    </row>
    <row r="330" spans="2:12" ht="12" customHeight="1">
      <c r="B330" s="221">
        <v>312</v>
      </c>
      <c r="C330" s="26">
        <v>46139</v>
      </c>
      <c r="D330" s="26">
        <v>46139</v>
      </c>
      <c r="E330" s="35" t="s">
        <v>703</v>
      </c>
      <c r="H330" s="243">
        <v>9791999</v>
      </c>
      <c r="I330" s="114"/>
      <c r="J330" s="115"/>
      <c r="K330" s="115"/>
      <c r="L330" s="115"/>
    </row>
    <row r="331" spans="2:12" ht="12" customHeight="1">
      <c r="B331" s="221">
        <v>313</v>
      </c>
      <c r="C331" s="26">
        <v>46139</v>
      </c>
      <c r="D331" s="26">
        <v>46139</v>
      </c>
      <c r="E331" s="35" t="s">
        <v>704</v>
      </c>
      <c r="H331" s="243">
        <v>19000000</v>
      </c>
      <c r="I331" s="114"/>
      <c r="J331" s="115"/>
      <c r="K331" s="115"/>
      <c r="L331" s="115"/>
    </row>
    <row r="332" spans="2:12" ht="12" customHeight="1">
      <c r="B332" s="221">
        <v>314</v>
      </c>
      <c r="C332" s="26">
        <v>46139</v>
      </c>
      <c r="D332" s="26">
        <v>46139</v>
      </c>
      <c r="E332" s="35" t="s">
        <v>704</v>
      </c>
      <c r="H332" s="243">
        <v>19000000</v>
      </c>
      <c r="I332" s="114"/>
      <c r="J332" s="115"/>
      <c r="K332" s="115"/>
      <c r="L332" s="115"/>
    </row>
    <row r="333" spans="2:12" ht="12" customHeight="1">
      <c r="B333" s="221">
        <v>315</v>
      </c>
      <c r="C333" s="26">
        <v>46140</v>
      </c>
      <c r="D333" s="26">
        <v>46140</v>
      </c>
      <c r="E333" s="35" t="s">
        <v>668</v>
      </c>
      <c r="H333" s="243">
        <v>106450</v>
      </c>
      <c r="I333" s="114"/>
      <c r="J333" s="115"/>
      <c r="K333" s="115"/>
      <c r="L333" s="115"/>
    </row>
    <row r="334" spans="2:12" ht="12" customHeight="1">
      <c r="B334" s="221">
        <v>316</v>
      </c>
      <c r="C334" s="26">
        <v>46140</v>
      </c>
      <c r="D334" s="26">
        <v>46140</v>
      </c>
      <c r="E334" s="35" t="s">
        <v>669</v>
      </c>
      <c r="H334" s="243">
        <v>200000</v>
      </c>
      <c r="I334" s="114"/>
      <c r="J334" s="115"/>
      <c r="K334" s="115"/>
      <c r="L334" s="115"/>
    </row>
    <row r="335" spans="2:12" ht="12" customHeight="1">
      <c r="B335" s="221">
        <v>317</v>
      </c>
      <c r="C335" s="26">
        <v>46140</v>
      </c>
      <c r="D335" s="26">
        <v>46140</v>
      </c>
      <c r="E335" s="35" t="s">
        <v>667</v>
      </c>
      <c r="H335" s="243">
        <v>331150</v>
      </c>
      <c r="I335" s="114"/>
      <c r="J335" s="115"/>
      <c r="K335" s="115"/>
      <c r="L335" s="115"/>
    </row>
    <row r="336" spans="2:12" ht="12" customHeight="1">
      <c r="B336" s="221">
        <v>318</v>
      </c>
      <c r="C336" s="26">
        <v>46140</v>
      </c>
      <c r="D336" s="26">
        <v>46140</v>
      </c>
      <c r="E336" s="35" t="s">
        <v>705</v>
      </c>
      <c r="H336" s="243">
        <v>380600</v>
      </c>
      <c r="I336" s="114"/>
      <c r="J336" s="115"/>
      <c r="K336" s="115"/>
      <c r="L336" s="115"/>
    </row>
    <row r="337" spans="2:12" ht="12" customHeight="1">
      <c r="B337" s="221">
        <v>319</v>
      </c>
      <c r="C337" s="26">
        <v>46140</v>
      </c>
      <c r="D337" s="26">
        <v>46140</v>
      </c>
      <c r="E337" s="35" t="s">
        <v>669</v>
      </c>
      <c r="H337" s="243">
        <v>680000</v>
      </c>
      <c r="I337" s="114"/>
      <c r="J337" s="115"/>
      <c r="K337" s="115"/>
      <c r="L337" s="115"/>
    </row>
    <row r="338" spans="2:12" ht="12" customHeight="1">
      <c r="B338" s="221">
        <v>320</v>
      </c>
      <c r="C338" s="26">
        <v>46140</v>
      </c>
      <c r="D338" s="26">
        <v>46140</v>
      </c>
      <c r="E338" s="35" t="s">
        <v>668</v>
      </c>
      <c r="H338" s="243">
        <v>907150</v>
      </c>
      <c r="I338" s="114"/>
      <c r="J338" s="115"/>
      <c r="K338" s="115"/>
      <c r="L338" s="115"/>
    </row>
    <row r="339" spans="2:12" ht="12" customHeight="1">
      <c r="B339" s="221">
        <v>321</v>
      </c>
      <c r="C339" s="26">
        <v>46140</v>
      </c>
      <c r="D339" s="26">
        <v>46140</v>
      </c>
      <c r="E339" s="35" t="s">
        <v>667</v>
      </c>
      <c r="H339" s="243">
        <v>975793</v>
      </c>
      <c r="I339" s="114"/>
      <c r="J339" s="115"/>
      <c r="K339" s="115"/>
      <c r="L339" s="115"/>
    </row>
    <row r="340" spans="2:12" ht="12" customHeight="1">
      <c r="B340" s="221">
        <v>322</v>
      </c>
      <c r="C340" s="26">
        <v>46140</v>
      </c>
      <c r="D340" s="26">
        <v>46140</v>
      </c>
      <c r="E340" s="35" t="s">
        <v>669</v>
      </c>
      <c r="H340" s="138">
        <v>1080000</v>
      </c>
      <c r="I340" s="114"/>
      <c r="J340" s="115"/>
      <c r="K340" s="115"/>
      <c r="L340" s="115"/>
    </row>
    <row r="341" spans="2:12" ht="12" customHeight="1">
      <c r="B341" s="221">
        <v>323</v>
      </c>
      <c r="C341" s="26">
        <v>46140</v>
      </c>
      <c r="D341" s="26">
        <v>46140</v>
      </c>
      <c r="E341" s="35" t="s">
        <v>677</v>
      </c>
      <c r="H341" s="243">
        <v>1105000</v>
      </c>
      <c r="I341" s="114"/>
      <c r="J341" s="115"/>
      <c r="K341" s="115"/>
      <c r="L341" s="115"/>
    </row>
    <row r="342" spans="2:12" ht="12" customHeight="1">
      <c r="B342" s="221">
        <v>324</v>
      </c>
      <c r="C342" s="26">
        <v>46140</v>
      </c>
      <c r="D342" s="26">
        <v>46140</v>
      </c>
      <c r="E342" s="35" t="s">
        <v>669</v>
      </c>
      <c r="H342" s="243">
        <v>1399999</v>
      </c>
      <c r="I342" s="114"/>
      <c r="J342" s="115"/>
      <c r="K342" s="115"/>
      <c r="L342" s="115"/>
    </row>
    <row r="343" spans="2:12" ht="12" customHeight="1">
      <c r="B343" s="221">
        <v>325</v>
      </c>
      <c r="C343" s="26">
        <v>46140</v>
      </c>
      <c r="D343" s="26">
        <v>46140</v>
      </c>
      <c r="E343" s="35" t="s">
        <v>669</v>
      </c>
      <c r="H343" s="243">
        <v>3000000</v>
      </c>
      <c r="I343" s="114"/>
      <c r="J343" s="115"/>
      <c r="K343" s="115"/>
      <c r="L343" s="115"/>
    </row>
    <row r="344" spans="2:12" ht="12" customHeight="1">
      <c r="B344" s="221">
        <v>326</v>
      </c>
      <c r="C344" s="26">
        <v>46140</v>
      </c>
      <c r="D344" s="26">
        <v>46140</v>
      </c>
      <c r="E344" s="35" t="s">
        <v>674</v>
      </c>
      <c r="H344" s="243">
        <v>4340310</v>
      </c>
      <c r="I344" s="114"/>
      <c r="J344" s="115"/>
      <c r="K344" s="115"/>
      <c r="L344" s="115"/>
    </row>
    <row r="345" spans="2:12" ht="12" customHeight="1">
      <c r="B345" s="221">
        <v>327</v>
      </c>
      <c r="C345" s="26">
        <v>46140</v>
      </c>
      <c r="D345" s="26">
        <v>46140</v>
      </c>
      <c r="E345" s="35" t="s">
        <v>680</v>
      </c>
      <c r="H345" s="243">
        <v>18606819</v>
      </c>
      <c r="I345" s="114"/>
      <c r="J345" s="115"/>
      <c r="K345" s="115"/>
      <c r="L345" s="115"/>
    </row>
    <row r="346" spans="2:12" ht="12" customHeight="1">
      <c r="B346" s="221">
        <v>328</v>
      </c>
      <c r="C346" s="26">
        <v>46141</v>
      </c>
      <c r="D346" s="26">
        <v>46141</v>
      </c>
      <c r="E346" s="35" t="s">
        <v>668</v>
      </c>
      <c r="H346" s="138">
        <v>12800</v>
      </c>
      <c r="I346" s="114"/>
      <c r="J346" s="115"/>
      <c r="K346" s="115"/>
      <c r="L346" s="115"/>
    </row>
    <row r="347" spans="2:12" ht="12" customHeight="1">
      <c r="B347" s="221">
        <v>329</v>
      </c>
      <c r="C347" s="26">
        <v>46141</v>
      </c>
      <c r="D347" s="26">
        <v>46141</v>
      </c>
      <c r="E347" s="35" t="s">
        <v>667</v>
      </c>
      <c r="H347" s="138">
        <v>39500</v>
      </c>
      <c r="I347" s="114"/>
      <c r="J347" s="115"/>
      <c r="K347" s="115"/>
      <c r="L347" s="115"/>
    </row>
    <row r="348" spans="2:12" ht="12" customHeight="1">
      <c r="B348" s="221">
        <v>330</v>
      </c>
      <c r="C348" s="26">
        <v>46141</v>
      </c>
      <c r="D348" s="26">
        <v>46141</v>
      </c>
      <c r="E348" s="35" t="s">
        <v>667</v>
      </c>
      <c r="H348" s="138">
        <v>58650</v>
      </c>
      <c r="I348" s="114"/>
      <c r="J348" s="115"/>
      <c r="K348" s="115"/>
      <c r="L348" s="115"/>
    </row>
    <row r="349" spans="2:12" ht="12" customHeight="1">
      <c r="B349" s="221">
        <v>331</v>
      </c>
      <c r="C349" s="26">
        <v>46141</v>
      </c>
      <c r="D349" s="26">
        <v>46141</v>
      </c>
      <c r="E349" s="35" t="s">
        <v>706</v>
      </c>
      <c r="H349" s="138">
        <v>86840</v>
      </c>
      <c r="I349" s="114"/>
      <c r="J349" s="115"/>
      <c r="K349" s="115"/>
      <c r="L349" s="115"/>
    </row>
    <row r="350" spans="2:12" ht="12" customHeight="1">
      <c r="B350" s="221">
        <v>332</v>
      </c>
      <c r="C350" s="26">
        <v>46141</v>
      </c>
      <c r="D350" s="26">
        <v>46141</v>
      </c>
      <c r="E350" s="35" t="s">
        <v>669</v>
      </c>
      <c r="H350" s="243">
        <v>341250</v>
      </c>
      <c r="I350" s="114"/>
      <c r="J350" s="115"/>
      <c r="K350" s="115"/>
      <c r="L350" s="115"/>
    </row>
    <row r="351" spans="2:12" ht="12" customHeight="1">
      <c r="B351" s="221">
        <v>333</v>
      </c>
      <c r="C351" s="26">
        <v>46141</v>
      </c>
      <c r="D351" s="26">
        <v>46141</v>
      </c>
      <c r="E351" s="35" t="s">
        <v>677</v>
      </c>
      <c r="H351" s="243">
        <v>360000</v>
      </c>
      <c r="I351" s="114"/>
      <c r="J351" s="115"/>
      <c r="K351" s="115"/>
      <c r="L351" s="115"/>
    </row>
    <row r="352" spans="2:12" ht="12" customHeight="1">
      <c r="B352" s="221">
        <v>334</v>
      </c>
      <c r="C352" s="26">
        <v>46141</v>
      </c>
      <c r="D352" s="26">
        <v>46141</v>
      </c>
      <c r="E352" s="35" t="s">
        <v>707</v>
      </c>
      <c r="H352" s="243">
        <v>445000</v>
      </c>
      <c r="I352" s="114"/>
      <c r="J352" s="115"/>
      <c r="K352" s="115"/>
      <c r="L352" s="115"/>
    </row>
    <row r="353" spans="2:12" ht="12" customHeight="1">
      <c r="B353" s="221">
        <v>335</v>
      </c>
      <c r="C353" s="26">
        <v>46141</v>
      </c>
      <c r="D353" s="26">
        <v>46141</v>
      </c>
      <c r="E353" s="35" t="s">
        <v>708</v>
      </c>
      <c r="H353" s="243">
        <v>674248</v>
      </c>
      <c r="I353" s="114"/>
      <c r="J353" s="115"/>
      <c r="K353" s="115"/>
      <c r="L353" s="115"/>
    </row>
    <row r="354" spans="2:12" ht="12" customHeight="1">
      <c r="B354" s="221">
        <v>336</v>
      </c>
      <c r="C354" s="26">
        <v>46141</v>
      </c>
      <c r="D354" s="26">
        <v>46141</v>
      </c>
      <c r="E354" s="35" t="s">
        <v>667</v>
      </c>
      <c r="H354" s="243">
        <v>710000</v>
      </c>
      <c r="I354" s="114"/>
      <c r="J354" s="115"/>
      <c r="K354" s="115"/>
      <c r="L354" s="115"/>
    </row>
    <row r="355" spans="2:12" ht="12" customHeight="1">
      <c r="B355" s="221">
        <v>337</v>
      </c>
      <c r="C355" s="26">
        <v>46141</v>
      </c>
      <c r="D355" s="26">
        <v>46141</v>
      </c>
      <c r="E355" s="35" t="s">
        <v>669</v>
      </c>
      <c r="H355" s="243">
        <v>796000</v>
      </c>
      <c r="I355" s="114"/>
      <c r="J355" s="115"/>
      <c r="K355" s="115"/>
      <c r="L355" s="115"/>
    </row>
    <row r="356" spans="2:12" ht="12" customHeight="1">
      <c r="B356" s="221">
        <v>338</v>
      </c>
      <c r="C356" s="26">
        <v>46141</v>
      </c>
      <c r="D356" s="26">
        <v>46141</v>
      </c>
      <c r="E356" s="35" t="s">
        <v>667</v>
      </c>
      <c r="H356" s="243">
        <v>800000</v>
      </c>
      <c r="I356" s="114"/>
      <c r="J356" s="115"/>
      <c r="K356" s="115"/>
      <c r="L356" s="115"/>
    </row>
    <row r="357" spans="2:12" ht="12" customHeight="1">
      <c r="B357" s="221">
        <v>339</v>
      </c>
      <c r="C357" s="26">
        <v>46141</v>
      </c>
      <c r="D357" s="26">
        <v>46141</v>
      </c>
      <c r="E357" s="35" t="s">
        <v>709</v>
      </c>
      <c r="H357" s="243">
        <v>802500</v>
      </c>
      <c r="I357" s="114"/>
      <c r="J357" s="115"/>
      <c r="K357" s="115"/>
      <c r="L357" s="115"/>
    </row>
    <row r="358" spans="2:12" ht="12" customHeight="1">
      <c r="B358" s="221">
        <v>340</v>
      </c>
      <c r="C358" s="26">
        <v>46141</v>
      </c>
      <c r="D358" s="26">
        <v>46141</v>
      </c>
      <c r="E358" s="35" t="s">
        <v>680</v>
      </c>
      <c r="H358" s="243">
        <v>886520</v>
      </c>
      <c r="I358" s="114"/>
      <c r="J358" s="115"/>
      <c r="K358" s="115"/>
      <c r="L358" s="115"/>
    </row>
    <row r="359" spans="2:12" ht="12" customHeight="1">
      <c r="B359" s="221">
        <v>341</v>
      </c>
      <c r="C359" s="26">
        <v>46141</v>
      </c>
      <c r="D359" s="26">
        <v>46141</v>
      </c>
      <c r="E359" s="35" t="s">
        <v>672</v>
      </c>
      <c r="H359" s="138">
        <v>954660</v>
      </c>
      <c r="I359" s="114"/>
      <c r="J359" s="115"/>
      <c r="K359" s="115"/>
      <c r="L359" s="115"/>
    </row>
    <row r="360" spans="2:12" ht="12" customHeight="1">
      <c r="B360" s="221">
        <v>342</v>
      </c>
      <c r="C360" s="26">
        <v>46141</v>
      </c>
      <c r="D360" s="26">
        <v>46141</v>
      </c>
      <c r="E360" s="35" t="s">
        <v>676</v>
      </c>
      <c r="H360" s="243">
        <v>1200000</v>
      </c>
      <c r="I360" s="114"/>
      <c r="J360" s="115"/>
      <c r="K360" s="115"/>
      <c r="L360" s="115"/>
    </row>
    <row r="361" spans="2:12" ht="12" customHeight="1">
      <c r="B361" s="221">
        <v>343</v>
      </c>
      <c r="C361" s="26">
        <v>46141</v>
      </c>
      <c r="D361" s="26">
        <v>46141</v>
      </c>
      <c r="E361" s="35" t="s">
        <v>700</v>
      </c>
      <c r="H361" s="243">
        <v>2007768</v>
      </c>
      <c r="I361" s="114"/>
      <c r="J361" s="115"/>
      <c r="K361" s="115"/>
      <c r="L361" s="115"/>
    </row>
    <row r="362" spans="2:12" ht="12" customHeight="1">
      <c r="B362" s="221">
        <v>344</v>
      </c>
      <c r="C362" s="26">
        <v>46141</v>
      </c>
      <c r="D362" s="26">
        <v>46141</v>
      </c>
      <c r="E362" s="35" t="s">
        <v>669</v>
      </c>
      <c r="H362" s="243">
        <v>2119300</v>
      </c>
      <c r="I362" s="114"/>
      <c r="J362" s="115"/>
      <c r="K362" s="115"/>
      <c r="L362" s="115"/>
    </row>
    <row r="363" spans="2:12" ht="12" customHeight="1">
      <c r="B363" s="221">
        <v>345</v>
      </c>
      <c r="C363" s="26">
        <v>46141</v>
      </c>
      <c r="D363" s="26">
        <v>46141</v>
      </c>
      <c r="E363" s="35" t="s">
        <v>667</v>
      </c>
      <c r="H363" s="243">
        <v>2164515</v>
      </c>
      <c r="I363" s="114"/>
      <c r="J363" s="115"/>
      <c r="K363" s="115"/>
      <c r="L363" s="115"/>
    </row>
    <row r="364" spans="2:12" ht="12" customHeight="1">
      <c r="B364" s="221">
        <v>346</v>
      </c>
      <c r="C364" s="26">
        <v>46141</v>
      </c>
      <c r="D364" s="26">
        <v>46141</v>
      </c>
      <c r="E364" s="35" t="s">
        <v>667</v>
      </c>
      <c r="H364" s="243">
        <v>3000000</v>
      </c>
      <c r="I364" s="114"/>
      <c r="J364" s="115"/>
      <c r="K364" s="115"/>
      <c r="L364" s="115"/>
    </row>
    <row r="365" spans="2:12" ht="12" customHeight="1">
      <c r="B365" s="221">
        <v>347</v>
      </c>
      <c r="C365" s="26">
        <v>46141</v>
      </c>
      <c r="D365" s="26">
        <v>46141</v>
      </c>
      <c r="E365" s="35" t="s">
        <v>669</v>
      </c>
      <c r="H365" s="243">
        <v>3000000</v>
      </c>
      <c r="I365" s="114"/>
      <c r="J365" s="115"/>
      <c r="K365" s="115"/>
      <c r="L365" s="115"/>
    </row>
    <row r="366" spans="2:12" ht="12" customHeight="1">
      <c r="B366" s="221">
        <v>348</v>
      </c>
      <c r="C366" s="26">
        <v>46141</v>
      </c>
      <c r="D366" s="26">
        <v>46141</v>
      </c>
      <c r="E366" s="35" t="s">
        <v>710</v>
      </c>
      <c r="H366" s="138">
        <v>3042690</v>
      </c>
      <c r="I366" s="114"/>
      <c r="J366" s="115"/>
      <c r="K366" s="115"/>
      <c r="L366" s="115"/>
    </row>
    <row r="367" spans="2:12" ht="12" customHeight="1">
      <c r="B367" s="221">
        <v>349</v>
      </c>
      <c r="C367" s="26">
        <v>46141</v>
      </c>
      <c r="D367" s="26">
        <v>46141</v>
      </c>
      <c r="E367" s="35" t="s">
        <v>711</v>
      </c>
      <c r="H367" s="243">
        <v>3300963</v>
      </c>
      <c r="I367" s="114"/>
      <c r="J367" s="115"/>
      <c r="K367" s="115"/>
      <c r="L367" s="115"/>
    </row>
    <row r="368" spans="2:12" ht="12" customHeight="1">
      <c r="B368" s="221">
        <v>350</v>
      </c>
      <c r="C368" s="26">
        <v>46141</v>
      </c>
      <c r="D368" s="26">
        <v>46141</v>
      </c>
      <c r="E368" s="35" t="s">
        <v>677</v>
      </c>
      <c r="H368" s="243">
        <v>16382190.77</v>
      </c>
      <c r="I368" s="114"/>
      <c r="J368" s="115"/>
      <c r="K368" s="115"/>
      <c r="L368" s="115"/>
    </row>
    <row r="369" spans="2:12" ht="12" customHeight="1">
      <c r="B369" s="221">
        <v>351</v>
      </c>
      <c r="C369" s="26">
        <v>46142</v>
      </c>
      <c r="D369" s="26">
        <v>46142</v>
      </c>
      <c r="E369" s="35" t="s">
        <v>667</v>
      </c>
      <c r="H369" s="138">
        <v>20000</v>
      </c>
      <c r="I369" s="114"/>
      <c r="J369" s="115"/>
      <c r="K369" s="115"/>
      <c r="L369" s="115"/>
    </row>
    <row r="370" spans="2:12" ht="12" customHeight="1">
      <c r="B370" s="221">
        <v>352</v>
      </c>
      <c r="C370" s="26">
        <v>46142</v>
      </c>
      <c r="D370" s="26">
        <v>46142</v>
      </c>
      <c r="E370" s="35" t="s">
        <v>668</v>
      </c>
      <c r="H370" s="138">
        <v>28500</v>
      </c>
      <c r="I370" s="114"/>
      <c r="J370" s="115"/>
      <c r="K370" s="115"/>
      <c r="L370" s="115"/>
    </row>
    <row r="371" spans="2:12" ht="12" customHeight="1">
      <c r="B371" s="221">
        <v>353</v>
      </c>
      <c r="C371" s="26">
        <v>46142</v>
      </c>
      <c r="D371" s="26">
        <v>46142</v>
      </c>
      <c r="E371" s="35" t="s">
        <v>669</v>
      </c>
      <c r="H371" s="138">
        <v>40000</v>
      </c>
      <c r="I371" s="114"/>
      <c r="J371" s="115"/>
      <c r="K371" s="115"/>
      <c r="L371" s="115"/>
    </row>
    <row r="372" spans="2:12" ht="12" customHeight="1">
      <c r="B372" s="221">
        <v>354</v>
      </c>
      <c r="C372" s="26">
        <v>46142</v>
      </c>
      <c r="D372" s="26">
        <v>46142</v>
      </c>
      <c r="E372" s="35" t="s">
        <v>669</v>
      </c>
      <c r="H372" s="138">
        <v>42000</v>
      </c>
      <c r="I372" s="114"/>
      <c r="J372" s="115"/>
      <c r="K372" s="115"/>
      <c r="L372" s="115"/>
    </row>
    <row r="373" spans="2:12" ht="12" customHeight="1">
      <c r="B373" s="221">
        <v>355</v>
      </c>
      <c r="C373" s="26">
        <v>46142</v>
      </c>
      <c r="D373" s="26">
        <v>46142</v>
      </c>
      <c r="E373" s="35" t="s">
        <v>712</v>
      </c>
      <c r="H373" s="138">
        <v>72200</v>
      </c>
      <c r="I373" s="114"/>
      <c r="J373" s="115"/>
      <c r="K373" s="115"/>
      <c r="L373" s="115"/>
    </row>
    <row r="374" spans="2:12" ht="12" customHeight="1">
      <c r="B374" s="221">
        <v>356</v>
      </c>
      <c r="C374" s="26">
        <v>46142</v>
      </c>
      <c r="D374" s="26">
        <v>46142</v>
      </c>
      <c r="E374" s="35" t="s">
        <v>713</v>
      </c>
      <c r="H374" s="138">
        <v>85500</v>
      </c>
      <c r="I374" s="114"/>
      <c r="J374" s="115"/>
      <c r="K374" s="115"/>
      <c r="L374" s="115"/>
    </row>
    <row r="375" spans="2:12" ht="12" customHeight="1">
      <c r="B375" s="221">
        <v>357</v>
      </c>
      <c r="C375" s="26">
        <v>46142</v>
      </c>
      <c r="D375" s="26">
        <v>46142</v>
      </c>
      <c r="E375" s="35" t="s">
        <v>668</v>
      </c>
      <c r="H375" s="243">
        <v>115500</v>
      </c>
      <c r="I375" s="114"/>
      <c r="J375" s="115"/>
      <c r="K375" s="115"/>
      <c r="L375" s="115"/>
    </row>
    <row r="376" spans="2:12" ht="12" customHeight="1">
      <c r="B376" s="221">
        <v>358</v>
      </c>
      <c r="C376" s="26">
        <v>46142</v>
      </c>
      <c r="D376" s="26">
        <v>46142</v>
      </c>
      <c r="E376" s="35" t="s">
        <v>669</v>
      </c>
      <c r="H376" s="243">
        <v>162576</v>
      </c>
      <c r="I376" s="114"/>
      <c r="J376" s="115"/>
      <c r="K376" s="115"/>
      <c r="L376" s="115"/>
    </row>
    <row r="377" spans="2:12" ht="12" customHeight="1">
      <c r="B377" s="221">
        <v>359</v>
      </c>
      <c r="C377" s="26">
        <v>46142</v>
      </c>
      <c r="D377" s="26">
        <v>46142</v>
      </c>
      <c r="E377" s="35" t="s">
        <v>667</v>
      </c>
      <c r="H377" s="243">
        <v>196200</v>
      </c>
      <c r="I377" s="114"/>
      <c r="J377" s="115"/>
      <c r="K377" s="115"/>
      <c r="L377" s="115"/>
    </row>
    <row r="378" spans="2:12" ht="12" customHeight="1">
      <c r="B378" s="221">
        <v>360</v>
      </c>
      <c r="C378" s="26">
        <v>46142</v>
      </c>
      <c r="D378" s="26">
        <v>46142</v>
      </c>
      <c r="E378" s="35" t="s">
        <v>667</v>
      </c>
      <c r="H378" s="243">
        <v>199970</v>
      </c>
      <c r="I378" s="114"/>
      <c r="J378" s="115"/>
      <c r="K378" s="115"/>
      <c r="L378" s="115"/>
    </row>
    <row r="379" spans="2:12" ht="12" customHeight="1">
      <c r="B379" s="221">
        <v>361</v>
      </c>
      <c r="C379" s="26">
        <v>46142</v>
      </c>
      <c r="D379" s="26">
        <v>46142</v>
      </c>
      <c r="E379" s="35" t="s">
        <v>669</v>
      </c>
      <c r="H379" s="243">
        <v>200000</v>
      </c>
      <c r="I379" s="114"/>
      <c r="J379" s="115"/>
      <c r="K379" s="115"/>
      <c r="L379" s="115"/>
    </row>
    <row r="380" spans="2:12" ht="12" customHeight="1">
      <c r="B380" s="221">
        <v>362</v>
      </c>
      <c r="C380" s="26">
        <v>46142</v>
      </c>
      <c r="D380" s="26">
        <v>46142</v>
      </c>
      <c r="E380" s="35" t="s">
        <v>669</v>
      </c>
      <c r="H380" s="243">
        <v>211640</v>
      </c>
      <c r="I380" s="114"/>
      <c r="J380" s="115"/>
      <c r="K380" s="115"/>
      <c r="L380" s="115"/>
    </row>
    <row r="381" spans="2:12" ht="12" customHeight="1">
      <c r="B381" s="221">
        <v>363</v>
      </c>
      <c r="C381" s="26">
        <v>46142</v>
      </c>
      <c r="D381" s="26">
        <v>46142</v>
      </c>
      <c r="E381" s="35" t="s">
        <v>714</v>
      </c>
      <c r="H381" s="243">
        <v>216500</v>
      </c>
      <c r="I381" s="114"/>
      <c r="J381" s="115"/>
      <c r="K381" s="115"/>
      <c r="L381" s="115"/>
    </row>
    <row r="382" spans="2:12" ht="12" customHeight="1">
      <c r="B382" s="221">
        <v>364</v>
      </c>
      <c r="C382" s="26">
        <v>46142</v>
      </c>
      <c r="D382" s="26">
        <v>46142</v>
      </c>
      <c r="E382" s="35" t="s">
        <v>714</v>
      </c>
      <c r="H382" s="243">
        <v>216500</v>
      </c>
      <c r="I382" s="114"/>
      <c r="J382" s="115"/>
      <c r="K382" s="115"/>
      <c r="L382" s="115"/>
    </row>
    <row r="383" spans="2:12" ht="12" customHeight="1">
      <c r="B383" s="221">
        <v>365</v>
      </c>
      <c r="C383" s="26">
        <v>46142</v>
      </c>
      <c r="D383" s="26">
        <v>46142</v>
      </c>
      <c r="E383" s="35" t="s">
        <v>669</v>
      </c>
      <c r="H383" s="138">
        <v>217620</v>
      </c>
      <c r="I383" s="114"/>
      <c r="J383" s="115"/>
      <c r="K383" s="115"/>
      <c r="L383" s="115"/>
    </row>
    <row r="384" spans="2:12" ht="12" customHeight="1">
      <c r="B384" s="221">
        <v>366</v>
      </c>
      <c r="C384" s="26">
        <v>46142</v>
      </c>
      <c r="D384" s="26">
        <v>46142</v>
      </c>
      <c r="E384" s="35" t="s">
        <v>667</v>
      </c>
      <c r="H384" s="243">
        <v>239000</v>
      </c>
      <c r="I384" s="114"/>
      <c r="J384" s="115"/>
      <c r="K384" s="115"/>
      <c r="L384" s="115"/>
    </row>
    <row r="385" spans="2:12" ht="12" customHeight="1">
      <c r="B385" s="221">
        <v>367</v>
      </c>
      <c r="C385" s="26">
        <v>46142</v>
      </c>
      <c r="D385" s="26">
        <v>46142</v>
      </c>
      <c r="E385" s="35" t="s">
        <v>715</v>
      </c>
      <c r="H385" s="243">
        <v>301050</v>
      </c>
      <c r="I385" s="114"/>
      <c r="J385" s="115"/>
      <c r="K385" s="115"/>
      <c r="L385" s="115"/>
    </row>
    <row r="386" spans="2:12" ht="12" customHeight="1">
      <c r="B386" s="221">
        <v>368</v>
      </c>
      <c r="C386" s="26">
        <v>46142</v>
      </c>
      <c r="D386" s="26">
        <v>46142</v>
      </c>
      <c r="E386" s="35" t="s">
        <v>716</v>
      </c>
      <c r="H386" s="243">
        <v>330000</v>
      </c>
      <c r="I386" s="114"/>
      <c r="J386" s="115"/>
      <c r="K386" s="115"/>
      <c r="L386" s="115"/>
    </row>
    <row r="387" spans="2:12" ht="12" customHeight="1">
      <c r="B387" s="221">
        <v>369</v>
      </c>
      <c r="C387" s="26">
        <v>46142</v>
      </c>
      <c r="D387" s="26">
        <v>46142</v>
      </c>
      <c r="E387" s="35" t="s">
        <v>717</v>
      </c>
      <c r="H387" s="243">
        <v>334200</v>
      </c>
      <c r="I387" s="114"/>
      <c r="J387" s="115"/>
      <c r="K387" s="115"/>
      <c r="L387" s="115"/>
    </row>
    <row r="388" spans="2:12" ht="12" customHeight="1">
      <c r="B388" s="221">
        <v>370</v>
      </c>
      <c r="C388" s="26">
        <v>46142</v>
      </c>
      <c r="D388" s="26">
        <v>46142</v>
      </c>
      <c r="E388" s="35" t="s">
        <v>718</v>
      </c>
      <c r="H388" s="243">
        <v>335000</v>
      </c>
      <c r="I388" s="114"/>
      <c r="J388" s="115"/>
      <c r="K388" s="115"/>
      <c r="L388" s="115"/>
    </row>
    <row r="389" spans="2:12" ht="12" customHeight="1">
      <c r="B389" s="221">
        <v>371</v>
      </c>
      <c r="C389" s="26">
        <v>46142</v>
      </c>
      <c r="D389" s="26">
        <v>46142</v>
      </c>
      <c r="E389" s="35" t="s">
        <v>668</v>
      </c>
      <c r="H389" s="243">
        <v>347700</v>
      </c>
      <c r="I389" s="114"/>
      <c r="J389" s="115"/>
      <c r="K389" s="115"/>
      <c r="L389" s="115"/>
    </row>
    <row r="390" spans="2:12" ht="12" customHeight="1">
      <c r="B390" s="221">
        <v>372</v>
      </c>
      <c r="C390" s="26">
        <v>46142</v>
      </c>
      <c r="D390" s="26">
        <v>46142</v>
      </c>
      <c r="E390" s="35" t="s">
        <v>669</v>
      </c>
      <c r="H390" s="243">
        <v>360252</v>
      </c>
      <c r="I390" s="114"/>
      <c r="J390" s="115"/>
      <c r="K390" s="115"/>
      <c r="L390" s="115"/>
    </row>
    <row r="391" spans="2:12" ht="12" customHeight="1">
      <c r="B391" s="221">
        <v>373</v>
      </c>
      <c r="C391" s="26">
        <v>46142</v>
      </c>
      <c r="D391" s="26">
        <v>46142</v>
      </c>
      <c r="E391" s="35" t="s">
        <v>668</v>
      </c>
      <c r="H391" s="243">
        <v>379500</v>
      </c>
      <c r="I391" s="114"/>
      <c r="J391" s="115"/>
      <c r="K391" s="115"/>
      <c r="L391" s="115"/>
    </row>
    <row r="392" spans="2:12" ht="12" customHeight="1">
      <c r="B392" s="221">
        <v>374</v>
      </c>
      <c r="C392" s="26">
        <v>46142</v>
      </c>
      <c r="D392" s="26">
        <v>46142</v>
      </c>
      <c r="E392" s="35" t="s">
        <v>667</v>
      </c>
      <c r="H392" s="243">
        <v>400000</v>
      </c>
      <c r="I392" s="114"/>
      <c r="J392" s="115"/>
      <c r="K392" s="115"/>
      <c r="L392" s="115"/>
    </row>
    <row r="393" spans="2:12" ht="12" customHeight="1">
      <c r="B393" s="221">
        <v>375</v>
      </c>
      <c r="C393" s="26">
        <v>46142</v>
      </c>
      <c r="D393" s="26">
        <v>46142</v>
      </c>
      <c r="E393" s="35" t="s">
        <v>719</v>
      </c>
      <c r="H393" s="243">
        <v>401500</v>
      </c>
      <c r="I393" s="114"/>
      <c r="J393" s="115"/>
      <c r="K393" s="115"/>
      <c r="L393" s="115"/>
    </row>
    <row r="394" spans="2:12" ht="12" customHeight="1">
      <c r="B394" s="221">
        <v>376</v>
      </c>
      <c r="C394" s="26">
        <v>46142</v>
      </c>
      <c r="D394" s="26">
        <v>46142</v>
      </c>
      <c r="E394" s="35" t="s">
        <v>667</v>
      </c>
      <c r="H394" s="243">
        <v>410374</v>
      </c>
      <c r="I394" s="114"/>
      <c r="J394" s="115"/>
      <c r="K394" s="115"/>
      <c r="L394" s="115"/>
    </row>
    <row r="395" spans="2:12" ht="12" customHeight="1">
      <c r="B395" s="221">
        <v>377</v>
      </c>
      <c r="C395" s="26">
        <v>46142</v>
      </c>
      <c r="D395" s="26">
        <v>46142</v>
      </c>
      <c r="E395" s="35" t="s">
        <v>720</v>
      </c>
      <c r="H395" s="243">
        <v>413848</v>
      </c>
      <c r="I395" s="114"/>
      <c r="J395" s="115"/>
      <c r="K395" s="115"/>
      <c r="L395" s="115"/>
    </row>
    <row r="396" spans="2:12" ht="12" customHeight="1">
      <c r="B396" s="221">
        <v>378</v>
      </c>
      <c r="C396" s="26">
        <v>46142</v>
      </c>
      <c r="D396" s="26">
        <v>46142</v>
      </c>
      <c r="E396" s="35" t="s">
        <v>721</v>
      </c>
      <c r="H396" s="243">
        <v>436500</v>
      </c>
      <c r="I396" s="114"/>
      <c r="J396" s="115"/>
      <c r="K396" s="115"/>
      <c r="L396" s="115"/>
    </row>
    <row r="397" spans="2:12" ht="12" customHeight="1">
      <c r="B397" s="221">
        <v>379</v>
      </c>
      <c r="C397" s="26">
        <v>46142</v>
      </c>
      <c r="D397" s="26">
        <v>46142</v>
      </c>
      <c r="E397" s="35" t="s">
        <v>669</v>
      </c>
      <c r="H397" s="243">
        <v>450400</v>
      </c>
      <c r="I397" s="114"/>
      <c r="J397" s="115"/>
      <c r="K397" s="115"/>
      <c r="L397" s="115"/>
    </row>
    <row r="398" spans="2:12" ht="12" customHeight="1">
      <c r="B398" s="221">
        <v>380</v>
      </c>
      <c r="C398" s="26">
        <v>46142</v>
      </c>
      <c r="D398" s="26">
        <v>46142</v>
      </c>
      <c r="E398" s="35" t="s">
        <v>722</v>
      </c>
      <c r="H398" s="243">
        <v>453484</v>
      </c>
      <c r="I398" s="114"/>
      <c r="J398" s="115"/>
      <c r="K398" s="115"/>
      <c r="L398" s="115"/>
    </row>
    <row r="399" spans="2:12" ht="12" customHeight="1">
      <c r="B399" s="221">
        <v>381</v>
      </c>
      <c r="C399" s="26">
        <v>46142</v>
      </c>
      <c r="D399" s="26">
        <v>46142</v>
      </c>
      <c r="E399" s="35" t="s">
        <v>669</v>
      </c>
      <c r="H399" s="243">
        <v>474240</v>
      </c>
      <c r="I399" s="114"/>
      <c r="J399" s="115"/>
      <c r="K399" s="115"/>
      <c r="L399" s="115"/>
    </row>
    <row r="400" spans="2:12" ht="12" customHeight="1">
      <c r="B400" s="221">
        <v>382</v>
      </c>
      <c r="C400" s="26">
        <v>46142</v>
      </c>
      <c r="D400" s="26">
        <v>46142</v>
      </c>
      <c r="E400" s="35" t="s">
        <v>723</v>
      </c>
      <c r="H400" s="243">
        <v>530000</v>
      </c>
      <c r="I400" s="114"/>
      <c r="J400" s="115"/>
      <c r="K400" s="115"/>
      <c r="L400" s="115"/>
    </row>
    <row r="401" spans="2:12" ht="12" customHeight="1">
      <c r="B401" s="221">
        <v>383</v>
      </c>
      <c r="C401" s="26">
        <v>46142</v>
      </c>
      <c r="D401" s="26">
        <v>46142</v>
      </c>
      <c r="E401" s="35" t="s">
        <v>667</v>
      </c>
      <c r="H401" s="243">
        <v>535000</v>
      </c>
      <c r="I401" s="114"/>
      <c r="J401" s="115"/>
      <c r="K401" s="115"/>
      <c r="L401" s="115"/>
    </row>
    <row r="402" spans="2:12" ht="12" customHeight="1">
      <c r="B402" s="221">
        <v>384</v>
      </c>
      <c r="C402" s="26">
        <v>46142</v>
      </c>
      <c r="D402" s="26">
        <v>46142</v>
      </c>
      <c r="E402" s="35" t="s">
        <v>667</v>
      </c>
      <c r="H402" s="243">
        <v>565500</v>
      </c>
      <c r="I402" s="114"/>
      <c r="J402" s="115"/>
      <c r="K402" s="115"/>
      <c r="L402" s="115"/>
    </row>
    <row r="403" spans="2:12" ht="12" customHeight="1">
      <c r="B403" s="221">
        <v>385</v>
      </c>
      <c r="C403" s="26">
        <v>46142</v>
      </c>
      <c r="D403" s="26">
        <v>46142</v>
      </c>
      <c r="E403" s="35" t="s">
        <v>723</v>
      </c>
      <c r="H403" s="243">
        <v>578000</v>
      </c>
      <c r="I403" s="114"/>
      <c r="J403" s="115"/>
      <c r="K403" s="115"/>
      <c r="L403" s="115"/>
    </row>
    <row r="404" spans="2:12" ht="12" customHeight="1">
      <c r="B404" s="221">
        <v>386</v>
      </c>
      <c r="C404" s="26">
        <v>46142</v>
      </c>
      <c r="D404" s="26">
        <v>46142</v>
      </c>
      <c r="E404" s="35" t="s">
        <v>724</v>
      </c>
      <c r="H404" s="243">
        <v>579500</v>
      </c>
      <c r="I404" s="114"/>
      <c r="J404" s="115"/>
      <c r="K404" s="115"/>
      <c r="L404" s="115"/>
    </row>
    <row r="405" spans="2:12" ht="12" customHeight="1">
      <c r="B405" s="221">
        <v>387</v>
      </c>
      <c r="C405" s="26">
        <v>46142</v>
      </c>
      <c r="D405" s="26">
        <v>46142</v>
      </c>
      <c r="E405" s="35" t="s">
        <v>669</v>
      </c>
      <c r="H405" s="243">
        <v>590000</v>
      </c>
      <c r="I405" s="114"/>
      <c r="J405" s="115"/>
      <c r="K405" s="115"/>
      <c r="L405" s="115"/>
    </row>
    <row r="406" spans="2:12" ht="12" customHeight="1">
      <c r="B406" s="221">
        <v>388</v>
      </c>
      <c r="C406" s="26">
        <v>46142</v>
      </c>
      <c r="D406" s="26">
        <v>46142</v>
      </c>
      <c r="E406" s="35" t="s">
        <v>667</v>
      </c>
      <c r="H406" s="243">
        <v>648036</v>
      </c>
      <c r="I406" s="114"/>
      <c r="J406" s="115"/>
      <c r="K406" s="115"/>
      <c r="L406" s="115"/>
    </row>
    <row r="407" spans="2:12" ht="12" customHeight="1">
      <c r="B407" s="221">
        <v>389</v>
      </c>
      <c r="C407" s="26">
        <v>46142</v>
      </c>
      <c r="D407" s="26">
        <v>46142</v>
      </c>
      <c r="E407" s="35" t="s">
        <v>668</v>
      </c>
      <c r="H407" s="243">
        <v>673350</v>
      </c>
      <c r="I407" s="114"/>
      <c r="J407" s="115"/>
      <c r="K407" s="115"/>
      <c r="L407" s="115"/>
    </row>
    <row r="408" spans="2:12" ht="12" customHeight="1">
      <c r="B408" s="221">
        <v>390</v>
      </c>
      <c r="C408" s="26">
        <v>46142</v>
      </c>
      <c r="D408" s="26">
        <v>46142</v>
      </c>
      <c r="E408" s="35" t="s">
        <v>697</v>
      </c>
      <c r="H408" s="243">
        <v>690500</v>
      </c>
      <c r="I408" s="114"/>
      <c r="J408" s="115"/>
      <c r="K408" s="115"/>
      <c r="L408" s="115"/>
    </row>
    <row r="409" spans="2:12" ht="12" customHeight="1">
      <c r="B409" s="221">
        <v>391</v>
      </c>
      <c r="C409" s="26">
        <v>46142</v>
      </c>
      <c r="D409" s="26">
        <v>46142</v>
      </c>
      <c r="E409" s="35" t="s">
        <v>667</v>
      </c>
      <c r="H409" s="243">
        <v>696005</v>
      </c>
      <c r="I409" s="114"/>
      <c r="J409" s="115"/>
      <c r="K409" s="115"/>
      <c r="L409" s="115"/>
    </row>
    <row r="410" spans="2:12" ht="12" customHeight="1">
      <c r="B410" s="221">
        <v>392</v>
      </c>
      <c r="C410" s="26">
        <v>46142</v>
      </c>
      <c r="D410" s="26">
        <v>46142</v>
      </c>
      <c r="E410" s="35" t="s">
        <v>725</v>
      </c>
      <c r="H410" s="243">
        <v>698280</v>
      </c>
      <c r="I410" s="114"/>
      <c r="J410" s="115"/>
      <c r="K410" s="115"/>
      <c r="L410" s="115"/>
    </row>
    <row r="411" spans="2:12" ht="12" customHeight="1">
      <c r="B411" s="221">
        <v>393</v>
      </c>
      <c r="C411" s="26">
        <v>46142</v>
      </c>
      <c r="D411" s="26">
        <v>46142</v>
      </c>
      <c r="E411" s="35" t="s">
        <v>669</v>
      </c>
      <c r="H411" s="243">
        <v>700000</v>
      </c>
      <c r="I411" s="114"/>
      <c r="J411" s="115"/>
      <c r="K411" s="115"/>
      <c r="L411" s="115"/>
    </row>
    <row r="412" spans="2:12" ht="12" customHeight="1">
      <c r="B412" s="221">
        <v>394</v>
      </c>
      <c r="C412" s="26">
        <v>46142</v>
      </c>
      <c r="D412" s="26">
        <v>46142</v>
      </c>
      <c r="E412" s="35" t="s">
        <v>726</v>
      </c>
      <c r="H412" s="243">
        <v>735000</v>
      </c>
      <c r="I412" s="114"/>
      <c r="J412" s="115"/>
      <c r="K412" s="115"/>
      <c r="L412" s="115"/>
    </row>
    <row r="413" spans="2:12" ht="12" customHeight="1">
      <c r="B413" s="221">
        <v>395</v>
      </c>
      <c r="C413" s="26">
        <v>46142</v>
      </c>
      <c r="D413" s="26">
        <v>46142</v>
      </c>
      <c r="E413" s="35" t="s">
        <v>727</v>
      </c>
      <c r="H413" s="243">
        <v>750260</v>
      </c>
      <c r="I413" s="114"/>
      <c r="J413" s="115"/>
      <c r="K413" s="115"/>
      <c r="L413" s="115"/>
    </row>
    <row r="414" spans="2:12" ht="12" customHeight="1">
      <c r="B414" s="221">
        <v>396</v>
      </c>
      <c r="C414" s="26">
        <v>46142</v>
      </c>
      <c r="D414" s="26">
        <v>46142</v>
      </c>
      <c r="E414" s="35" t="s">
        <v>669</v>
      </c>
      <c r="H414" s="243">
        <v>760330</v>
      </c>
      <c r="I414" s="114"/>
      <c r="J414" s="115"/>
      <c r="K414" s="115"/>
      <c r="L414" s="115"/>
    </row>
    <row r="415" spans="2:12" ht="12" customHeight="1">
      <c r="B415" s="221">
        <v>397</v>
      </c>
      <c r="C415" s="26">
        <v>46142</v>
      </c>
      <c r="D415" s="26">
        <v>46142</v>
      </c>
      <c r="E415" s="35" t="s">
        <v>728</v>
      </c>
      <c r="H415" s="243">
        <v>779000</v>
      </c>
      <c r="I415" s="114"/>
      <c r="J415" s="115"/>
      <c r="K415" s="115"/>
      <c r="L415" s="115"/>
    </row>
    <row r="416" spans="2:12" ht="12" customHeight="1">
      <c r="B416" s="221">
        <v>398</v>
      </c>
      <c r="C416" s="26">
        <v>46142</v>
      </c>
      <c r="D416" s="26">
        <v>46142</v>
      </c>
      <c r="E416" s="35" t="s">
        <v>729</v>
      </c>
      <c r="H416" s="243">
        <v>788000</v>
      </c>
      <c r="I416" s="114"/>
      <c r="J416" s="115"/>
      <c r="K416" s="115"/>
      <c r="L416" s="115"/>
    </row>
    <row r="417" spans="2:12" ht="12" customHeight="1">
      <c r="B417" s="221">
        <v>399</v>
      </c>
      <c r="C417" s="26">
        <v>46142</v>
      </c>
      <c r="D417" s="26">
        <v>46142</v>
      </c>
      <c r="E417" s="35" t="s">
        <v>667</v>
      </c>
      <c r="H417" s="243">
        <v>800000</v>
      </c>
      <c r="I417" s="114"/>
      <c r="J417" s="115"/>
      <c r="K417" s="115"/>
      <c r="L417" s="115"/>
    </row>
    <row r="418" spans="2:12" ht="12" customHeight="1">
      <c r="B418" s="221">
        <v>400</v>
      </c>
      <c r="C418" s="26">
        <v>46142</v>
      </c>
      <c r="D418" s="26">
        <v>46142</v>
      </c>
      <c r="E418" s="35" t="s">
        <v>669</v>
      </c>
      <c r="H418" s="243">
        <v>811980</v>
      </c>
      <c r="I418" s="114"/>
      <c r="J418" s="115"/>
      <c r="K418" s="115"/>
      <c r="L418" s="115"/>
    </row>
    <row r="419" spans="2:12" ht="12" customHeight="1">
      <c r="B419" s="221">
        <v>401</v>
      </c>
      <c r="C419" s="26">
        <v>46142</v>
      </c>
      <c r="D419" s="26">
        <v>46142</v>
      </c>
      <c r="E419" s="35" t="s">
        <v>677</v>
      </c>
      <c r="H419" s="243">
        <v>839971</v>
      </c>
      <c r="I419" s="114"/>
      <c r="J419" s="115"/>
      <c r="K419" s="115"/>
      <c r="L419" s="115"/>
    </row>
    <row r="420" spans="2:12" ht="12" customHeight="1">
      <c r="B420" s="221">
        <v>402</v>
      </c>
      <c r="C420" s="26">
        <v>46142</v>
      </c>
      <c r="D420" s="26">
        <v>46142</v>
      </c>
      <c r="E420" s="35" t="s">
        <v>669</v>
      </c>
      <c r="H420" s="243">
        <v>840000</v>
      </c>
      <c r="I420" s="114"/>
      <c r="J420" s="115"/>
      <c r="K420" s="115"/>
      <c r="L420" s="115"/>
    </row>
    <row r="421" spans="2:12" ht="12" customHeight="1">
      <c r="B421" s="221">
        <v>403</v>
      </c>
      <c r="C421" s="26">
        <v>46142</v>
      </c>
      <c r="D421" s="26">
        <v>46142</v>
      </c>
      <c r="E421" s="35" t="s">
        <v>668</v>
      </c>
      <c r="H421" s="243">
        <v>850000</v>
      </c>
      <c r="I421" s="114"/>
      <c r="J421" s="115"/>
      <c r="K421" s="115"/>
      <c r="L421" s="115"/>
    </row>
    <row r="422" spans="2:12" ht="12" customHeight="1">
      <c r="B422" s="221">
        <v>404</v>
      </c>
      <c r="C422" s="26">
        <v>46142</v>
      </c>
      <c r="D422" s="26">
        <v>46142</v>
      </c>
      <c r="E422" s="35" t="s">
        <v>667</v>
      </c>
      <c r="H422" s="243">
        <v>877000</v>
      </c>
      <c r="I422" s="114"/>
      <c r="J422" s="115"/>
      <c r="K422" s="115"/>
      <c r="L422" s="115"/>
    </row>
    <row r="423" spans="2:12" ht="12" customHeight="1">
      <c r="B423" s="221">
        <v>405</v>
      </c>
      <c r="C423" s="26">
        <v>46142</v>
      </c>
      <c r="D423" s="26">
        <v>46142</v>
      </c>
      <c r="E423" s="35" t="s">
        <v>667</v>
      </c>
      <c r="H423" s="243">
        <v>940304</v>
      </c>
      <c r="I423" s="114"/>
      <c r="J423" s="115"/>
      <c r="K423" s="115"/>
      <c r="L423" s="115"/>
    </row>
    <row r="424" spans="2:12" ht="12" customHeight="1">
      <c r="B424" s="221">
        <v>406</v>
      </c>
      <c r="C424" s="26">
        <v>46142</v>
      </c>
      <c r="D424" s="26">
        <v>46142</v>
      </c>
      <c r="E424" s="35" t="s">
        <v>719</v>
      </c>
      <c r="H424" s="243">
        <v>981730.96</v>
      </c>
      <c r="I424" s="114"/>
      <c r="J424" s="115"/>
      <c r="K424" s="115"/>
      <c r="L424" s="115"/>
    </row>
    <row r="425" spans="2:12" ht="12" customHeight="1">
      <c r="B425" s="221">
        <v>407</v>
      </c>
      <c r="C425" s="26">
        <v>46142</v>
      </c>
      <c r="D425" s="26">
        <v>46142</v>
      </c>
      <c r="E425" s="35" t="s">
        <v>667</v>
      </c>
      <c r="H425" s="243">
        <v>1000000</v>
      </c>
      <c r="I425" s="114"/>
      <c r="J425" s="115"/>
      <c r="K425" s="115"/>
      <c r="L425" s="115"/>
    </row>
    <row r="426" spans="2:12" ht="12" customHeight="1">
      <c r="B426" s="221">
        <v>408</v>
      </c>
      <c r="C426" s="26">
        <v>46142</v>
      </c>
      <c r="D426" s="26">
        <v>46142</v>
      </c>
      <c r="E426" s="35" t="s">
        <v>667</v>
      </c>
      <c r="H426" s="243">
        <v>1000000</v>
      </c>
      <c r="I426" s="114"/>
      <c r="J426" s="115"/>
      <c r="K426" s="115"/>
      <c r="L426" s="115"/>
    </row>
    <row r="427" spans="2:12" ht="12" customHeight="1">
      <c r="B427" s="221">
        <v>409</v>
      </c>
      <c r="C427" s="26">
        <v>46142</v>
      </c>
      <c r="D427" s="26">
        <v>46142</v>
      </c>
      <c r="E427" s="35" t="s">
        <v>669</v>
      </c>
      <c r="H427" s="243">
        <v>1000000</v>
      </c>
      <c r="I427" s="114"/>
      <c r="J427" s="115"/>
      <c r="K427" s="115"/>
      <c r="L427" s="115"/>
    </row>
    <row r="428" spans="2:12" ht="12" customHeight="1">
      <c r="B428" s="221">
        <v>410</v>
      </c>
      <c r="C428" s="26">
        <v>46142</v>
      </c>
      <c r="D428" s="26">
        <v>46142</v>
      </c>
      <c r="E428" s="35" t="s">
        <v>667</v>
      </c>
      <c r="H428" s="243">
        <v>1081703</v>
      </c>
      <c r="I428" s="114"/>
      <c r="J428" s="115"/>
      <c r="K428" s="115"/>
      <c r="L428" s="115"/>
    </row>
    <row r="429" spans="2:12" ht="12" customHeight="1">
      <c r="B429" s="221">
        <v>411</v>
      </c>
      <c r="C429" s="26">
        <v>46142</v>
      </c>
      <c r="D429" s="26">
        <v>46142</v>
      </c>
      <c r="E429" s="35" t="s">
        <v>730</v>
      </c>
      <c r="H429" s="243">
        <v>1139060</v>
      </c>
      <c r="I429" s="114"/>
      <c r="J429" s="115"/>
      <c r="K429" s="115"/>
      <c r="L429" s="115"/>
    </row>
    <row r="430" spans="2:12" ht="12" customHeight="1">
      <c r="B430" s="221">
        <v>412</v>
      </c>
      <c r="C430" s="26">
        <v>46142</v>
      </c>
      <c r="D430" s="26">
        <v>46142</v>
      </c>
      <c r="E430" s="35" t="s">
        <v>669</v>
      </c>
      <c r="H430" s="138">
        <v>1200220</v>
      </c>
      <c r="I430" s="114"/>
      <c r="J430" s="115"/>
      <c r="K430" s="115"/>
      <c r="L430" s="115"/>
    </row>
    <row r="431" spans="2:12" ht="12" customHeight="1">
      <c r="B431" s="221">
        <v>413</v>
      </c>
      <c r="C431" s="26">
        <v>46142</v>
      </c>
      <c r="D431" s="26">
        <v>46142</v>
      </c>
      <c r="E431" s="35" t="s">
        <v>667</v>
      </c>
      <c r="H431" s="243">
        <v>1250000</v>
      </c>
      <c r="I431" s="114"/>
      <c r="J431" s="115"/>
      <c r="K431" s="115"/>
      <c r="L431" s="115"/>
    </row>
    <row r="432" spans="2:12" ht="12" customHeight="1">
      <c r="B432" s="221">
        <v>414</v>
      </c>
      <c r="C432" s="26">
        <v>46142</v>
      </c>
      <c r="D432" s="26">
        <v>46142</v>
      </c>
      <c r="E432" s="35" t="s">
        <v>731</v>
      </c>
      <c r="H432" s="243">
        <v>1320000</v>
      </c>
      <c r="I432" s="114"/>
      <c r="J432" s="115"/>
      <c r="K432" s="115"/>
      <c r="L432" s="115"/>
    </row>
    <row r="433" spans="2:12" ht="12" customHeight="1">
      <c r="B433" s="221">
        <v>415</v>
      </c>
      <c r="C433" s="26">
        <v>46142</v>
      </c>
      <c r="D433" s="26">
        <v>46142</v>
      </c>
      <c r="E433" s="35" t="s">
        <v>732</v>
      </c>
      <c r="H433" s="243">
        <v>1390400</v>
      </c>
      <c r="I433" s="114"/>
      <c r="J433" s="115"/>
      <c r="K433" s="115"/>
      <c r="L433" s="115"/>
    </row>
    <row r="434" spans="2:12" ht="12" customHeight="1">
      <c r="B434" s="221">
        <v>416</v>
      </c>
      <c r="C434" s="26">
        <v>46142</v>
      </c>
      <c r="D434" s="26">
        <v>46142</v>
      </c>
      <c r="E434" s="35" t="s">
        <v>668</v>
      </c>
      <c r="H434" s="138">
        <v>1400000</v>
      </c>
      <c r="I434" s="114"/>
      <c r="J434" s="115"/>
      <c r="K434" s="115"/>
      <c r="L434" s="115"/>
    </row>
    <row r="435" spans="2:12" ht="12" customHeight="1">
      <c r="B435" s="221">
        <v>417</v>
      </c>
      <c r="C435" s="26">
        <v>46142</v>
      </c>
      <c r="D435" s="26">
        <v>46142</v>
      </c>
      <c r="E435" s="35" t="s">
        <v>733</v>
      </c>
      <c r="H435" s="243">
        <v>1430830</v>
      </c>
      <c r="I435" s="114"/>
      <c r="J435" s="115"/>
      <c r="K435" s="115"/>
      <c r="L435" s="115"/>
    </row>
    <row r="436" spans="2:12" ht="12" customHeight="1">
      <c r="B436" s="221">
        <v>418</v>
      </c>
      <c r="C436" s="26">
        <v>46142</v>
      </c>
      <c r="D436" s="26">
        <v>46142</v>
      </c>
      <c r="E436" s="35" t="s">
        <v>668</v>
      </c>
      <c r="H436" s="243">
        <v>1477048</v>
      </c>
      <c r="I436" s="114"/>
      <c r="J436" s="115"/>
      <c r="K436" s="115"/>
      <c r="L436" s="115"/>
    </row>
    <row r="437" spans="2:12" ht="12" customHeight="1">
      <c r="B437" s="221">
        <v>419</v>
      </c>
      <c r="C437" s="26">
        <v>46142</v>
      </c>
      <c r="D437" s="26">
        <v>46142</v>
      </c>
      <c r="E437" s="35" t="s">
        <v>667</v>
      </c>
      <c r="H437" s="138">
        <v>1635250</v>
      </c>
      <c r="I437" s="114"/>
      <c r="J437" s="115"/>
      <c r="K437" s="115"/>
      <c r="L437" s="115"/>
    </row>
    <row r="438" spans="2:12" ht="12" customHeight="1">
      <c r="B438" s="221">
        <v>420</v>
      </c>
      <c r="C438" s="26">
        <v>46142</v>
      </c>
      <c r="D438" s="26">
        <v>46142</v>
      </c>
      <c r="E438" s="35" t="s">
        <v>734</v>
      </c>
      <c r="H438" s="243">
        <v>1696000</v>
      </c>
      <c r="I438" s="114"/>
      <c r="J438" s="115"/>
      <c r="K438" s="115"/>
      <c r="L438" s="115"/>
    </row>
    <row r="439" spans="2:12" ht="12" customHeight="1">
      <c r="B439" s="221">
        <v>421</v>
      </c>
      <c r="C439" s="26">
        <v>46142</v>
      </c>
      <c r="D439" s="26">
        <v>46142</v>
      </c>
      <c r="E439" s="35" t="s">
        <v>674</v>
      </c>
      <c r="H439" s="243">
        <v>1702497</v>
      </c>
      <c r="I439" s="114"/>
      <c r="J439" s="115"/>
      <c r="K439" s="115"/>
      <c r="L439" s="115"/>
    </row>
    <row r="440" spans="2:12" ht="12" customHeight="1">
      <c r="B440" s="221">
        <v>422</v>
      </c>
      <c r="C440" s="26">
        <v>46142</v>
      </c>
      <c r="D440" s="26">
        <v>46142</v>
      </c>
      <c r="E440" s="35" t="s">
        <v>735</v>
      </c>
      <c r="H440" s="243">
        <v>1712300</v>
      </c>
      <c r="I440" s="114"/>
      <c r="J440" s="115"/>
      <c r="K440" s="115"/>
      <c r="L440" s="115"/>
    </row>
    <row r="441" spans="2:12" ht="12" customHeight="1">
      <c r="B441" s="221">
        <v>423</v>
      </c>
      <c r="C441" s="26">
        <v>46142</v>
      </c>
      <c r="D441" s="26">
        <v>46142</v>
      </c>
      <c r="E441" s="35" t="s">
        <v>736</v>
      </c>
      <c r="H441" s="243">
        <v>1725000</v>
      </c>
      <c r="I441" s="114"/>
      <c r="J441" s="115"/>
      <c r="K441" s="115"/>
      <c r="L441" s="115"/>
    </row>
    <row r="442" spans="2:12" ht="12" customHeight="1">
      <c r="B442" s="221">
        <v>424</v>
      </c>
      <c r="C442" s="26">
        <v>46142</v>
      </c>
      <c r="D442" s="26">
        <v>46142</v>
      </c>
      <c r="E442" s="35" t="s">
        <v>737</v>
      </c>
      <c r="H442" s="243">
        <v>1799994</v>
      </c>
      <c r="I442" s="114"/>
      <c r="J442" s="115"/>
      <c r="K442" s="115"/>
      <c r="L442" s="115"/>
    </row>
    <row r="443" spans="2:12" ht="12" customHeight="1">
      <c r="B443" s="221">
        <v>425</v>
      </c>
      <c r="C443" s="26">
        <v>46142</v>
      </c>
      <c r="D443" s="26">
        <v>46142</v>
      </c>
      <c r="E443" s="35" t="s">
        <v>667</v>
      </c>
      <c r="H443" s="243">
        <v>2000000</v>
      </c>
      <c r="I443" s="114"/>
      <c r="J443" s="115"/>
      <c r="K443" s="115"/>
      <c r="L443" s="115"/>
    </row>
    <row r="444" spans="2:12" ht="12" customHeight="1">
      <c r="B444" s="221">
        <v>426</v>
      </c>
      <c r="C444" s="26">
        <v>46142</v>
      </c>
      <c r="D444" s="26">
        <v>46142</v>
      </c>
      <c r="E444" s="35" t="s">
        <v>669</v>
      </c>
      <c r="H444" s="243">
        <v>2000000</v>
      </c>
      <c r="I444" s="114"/>
      <c r="J444" s="115"/>
      <c r="K444" s="115"/>
      <c r="L444" s="115"/>
    </row>
    <row r="445" spans="2:12" ht="12" customHeight="1">
      <c r="B445" s="221">
        <v>427</v>
      </c>
      <c r="C445" s="26">
        <v>46142</v>
      </c>
      <c r="D445" s="26">
        <v>46142</v>
      </c>
      <c r="E445" s="35" t="s">
        <v>669</v>
      </c>
      <c r="H445" s="243">
        <v>2116975</v>
      </c>
      <c r="I445" s="114"/>
      <c r="J445" s="115"/>
      <c r="K445" s="115"/>
      <c r="L445" s="115"/>
    </row>
    <row r="446" spans="2:12" ht="12" customHeight="1">
      <c r="B446" s="221">
        <v>428</v>
      </c>
      <c r="C446" s="26">
        <v>46142</v>
      </c>
      <c r="D446" s="26">
        <v>46142</v>
      </c>
      <c r="E446" s="35" t="s">
        <v>669</v>
      </c>
      <c r="H446" s="243">
        <v>2160000</v>
      </c>
      <c r="I446" s="114"/>
      <c r="J446" s="115"/>
      <c r="K446" s="115"/>
      <c r="L446" s="115"/>
    </row>
    <row r="447" spans="2:12" ht="12" customHeight="1">
      <c r="B447" s="221">
        <v>429</v>
      </c>
      <c r="C447" s="26">
        <v>46142</v>
      </c>
      <c r="D447" s="26">
        <v>46142</v>
      </c>
      <c r="E447" s="35" t="s">
        <v>669</v>
      </c>
      <c r="H447" s="243">
        <v>2200000</v>
      </c>
      <c r="I447" s="114"/>
      <c r="J447" s="115"/>
      <c r="K447" s="115"/>
      <c r="L447" s="115"/>
    </row>
    <row r="448" spans="2:12" ht="12" customHeight="1">
      <c r="B448" s="221">
        <v>430</v>
      </c>
      <c r="C448" s="26">
        <v>46142</v>
      </c>
      <c r="D448" s="26">
        <v>46142</v>
      </c>
      <c r="E448" s="35" t="s">
        <v>669</v>
      </c>
      <c r="H448" s="243">
        <v>2500000</v>
      </c>
      <c r="I448" s="114"/>
      <c r="J448" s="115"/>
      <c r="K448" s="115"/>
      <c r="L448" s="115"/>
    </row>
    <row r="449" spans="2:12" ht="12" customHeight="1">
      <c r="B449" s="221">
        <v>431</v>
      </c>
      <c r="C449" s="26">
        <v>46142</v>
      </c>
      <c r="D449" s="26">
        <v>46142</v>
      </c>
      <c r="E449" s="35" t="s">
        <v>738</v>
      </c>
      <c r="H449" s="243">
        <v>2605111</v>
      </c>
      <c r="I449" s="114"/>
      <c r="J449" s="115"/>
      <c r="K449" s="115"/>
      <c r="L449" s="115"/>
    </row>
    <row r="450" spans="2:12" ht="12" customHeight="1">
      <c r="B450" s="221">
        <v>432</v>
      </c>
      <c r="C450" s="26">
        <v>46142</v>
      </c>
      <c r="D450" s="26">
        <v>46142</v>
      </c>
      <c r="E450" s="35" t="s">
        <v>672</v>
      </c>
      <c r="H450" s="243">
        <v>2701036</v>
      </c>
      <c r="I450" s="114"/>
      <c r="J450" s="115"/>
      <c r="K450" s="115"/>
      <c r="L450" s="115"/>
    </row>
    <row r="451" spans="2:12" ht="12" customHeight="1">
      <c r="B451" s="221">
        <v>433</v>
      </c>
      <c r="C451" s="26">
        <v>46142</v>
      </c>
      <c r="D451" s="26">
        <v>46142</v>
      </c>
      <c r="E451" s="35" t="s">
        <v>669</v>
      </c>
      <c r="H451" s="243">
        <v>2757504</v>
      </c>
      <c r="I451" s="114"/>
      <c r="J451" s="115"/>
      <c r="K451" s="115"/>
      <c r="L451" s="115"/>
    </row>
    <row r="452" spans="2:12" ht="12" customHeight="1">
      <c r="B452" s="221">
        <v>434</v>
      </c>
      <c r="C452" s="26">
        <v>46142</v>
      </c>
      <c r="D452" s="26">
        <v>46142</v>
      </c>
      <c r="E452" s="35" t="s">
        <v>669</v>
      </c>
      <c r="H452" s="243">
        <v>3000000</v>
      </c>
      <c r="I452" s="114"/>
      <c r="J452" s="115"/>
      <c r="K452" s="115"/>
      <c r="L452" s="115"/>
    </row>
    <row r="453" spans="2:12" ht="12" customHeight="1">
      <c r="B453" s="221">
        <v>435</v>
      </c>
      <c r="C453" s="26">
        <v>46142</v>
      </c>
      <c r="D453" s="26">
        <v>46142</v>
      </c>
      <c r="E453" s="35" t="s">
        <v>723</v>
      </c>
      <c r="H453" s="243">
        <v>3110229</v>
      </c>
      <c r="I453" s="114"/>
      <c r="J453" s="115"/>
      <c r="K453" s="115"/>
      <c r="L453" s="115"/>
    </row>
    <row r="454" spans="2:12" ht="12" customHeight="1">
      <c r="B454" s="221">
        <v>436</v>
      </c>
      <c r="C454" s="26">
        <v>46142</v>
      </c>
      <c r="D454" s="26">
        <v>46142</v>
      </c>
      <c r="E454" s="35" t="s">
        <v>677</v>
      </c>
      <c r="H454" s="243">
        <v>3478443</v>
      </c>
      <c r="I454" s="114"/>
      <c r="J454" s="115"/>
      <c r="K454" s="115"/>
      <c r="L454" s="115"/>
    </row>
    <row r="455" spans="2:12" ht="12" customHeight="1">
      <c r="B455" s="221">
        <v>437</v>
      </c>
      <c r="C455" s="26">
        <v>46142</v>
      </c>
      <c r="D455" s="26">
        <v>46142</v>
      </c>
      <c r="E455" s="35" t="s">
        <v>739</v>
      </c>
      <c r="H455" s="243">
        <v>3522998</v>
      </c>
      <c r="I455" s="114"/>
      <c r="J455" s="115"/>
      <c r="K455" s="115"/>
      <c r="L455" s="115"/>
    </row>
    <row r="456" spans="2:12" ht="12" customHeight="1">
      <c r="B456" s="221">
        <v>438</v>
      </c>
      <c r="C456" s="26">
        <v>46142</v>
      </c>
      <c r="D456" s="26">
        <v>46142</v>
      </c>
      <c r="E456" s="35" t="s">
        <v>740</v>
      </c>
      <c r="H456" s="243">
        <v>3563082</v>
      </c>
      <c r="I456" s="114"/>
      <c r="J456" s="115"/>
      <c r="K456" s="115"/>
      <c r="L456" s="115"/>
    </row>
    <row r="457" spans="2:12" ht="12" customHeight="1">
      <c r="B457" s="221">
        <v>439</v>
      </c>
      <c r="C457" s="26">
        <v>46142</v>
      </c>
      <c r="D457" s="26">
        <v>46142</v>
      </c>
      <c r="E457" s="35" t="s">
        <v>741</v>
      </c>
      <c r="H457" s="243">
        <v>4000000</v>
      </c>
      <c r="I457" s="114"/>
      <c r="J457" s="115"/>
      <c r="K457" s="115"/>
      <c r="L457" s="115"/>
    </row>
    <row r="458" spans="2:12" ht="12" customHeight="1">
      <c r="B458" s="221">
        <v>440</v>
      </c>
      <c r="C458" s="26">
        <v>46142</v>
      </c>
      <c r="D458" s="26">
        <v>46142</v>
      </c>
      <c r="E458" s="35" t="s">
        <v>742</v>
      </c>
      <c r="H458" s="243">
        <v>4581915</v>
      </c>
      <c r="I458" s="114"/>
      <c r="J458" s="115"/>
      <c r="K458" s="115"/>
      <c r="L458" s="115"/>
    </row>
    <row r="459" spans="2:12" ht="12" customHeight="1">
      <c r="B459" s="221">
        <v>441</v>
      </c>
      <c r="C459" s="26">
        <v>46142</v>
      </c>
      <c r="D459" s="26">
        <v>46142</v>
      </c>
      <c r="E459" s="35" t="s">
        <v>743</v>
      </c>
      <c r="H459" s="243">
        <v>5047300</v>
      </c>
      <c r="I459" s="114"/>
      <c r="J459" s="115"/>
      <c r="K459" s="115"/>
      <c r="L459" s="115"/>
    </row>
    <row r="460" spans="2:12" ht="12" customHeight="1">
      <c r="B460" s="221">
        <v>442</v>
      </c>
      <c r="C460" s="26">
        <v>46142</v>
      </c>
      <c r="D460" s="26">
        <v>46142</v>
      </c>
      <c r="E460" s="35" t="s">
        <v>669</v>
      </c>
      <c r="H460" s="243">
        <v>5840524</v>
      </c>
      <c r="I460" s="114"/>
      <c r="J460" s="115"/>
      <c r="K460" s="115"/>
      <c r="L460" s="115"/>
    </row>
    <row r="461" spans="2:12" ht="12" customHeight="1">
      <c r="B461" s="221">
        <v>443</v>
      </c>
      <c r="C461" s="26">
        <v>46142</v>
      </c>
      <c r="D461" s="26">
        <v>46142</v>
      </c>
      <c r="E461" s="35" t="s">
        <v>669</v>
      </c>
      <c r="H461" s="243">
        <v>6689860</v>
      </c>
      <c r="I461" s="114"/>
      <c r="J461" s="115"/>
      <c r="K461" s="115"/>
      <c r="L461" s="115"/>
    </row>
    <row r="462" spans="2:12" ht="12" customHeight="1">
      <c r="B462" s="221">
        <v>444</v>
      </c>
      <c r="C462" s="26">
        <v>46142</v>
      </c>
      <c r="D462" s="26">
        <v>46142</v>
      </c>
      <c r="E462" s="35" t="s">
        <v>674</v>
      </c>
      <c r="H462" s="243">
        <v>6831883</v>
      </c>
      <c r="I462" s="114"/>
      <c r="J462" s="115"/>
      <c r="K462" s="115"/>
      <c r="L462" s="115"/>
    </row>
    <row r="463" spans="2:12" ht="12" customHeight="1">
      <c r="B463" s="221">
        <v>445</v>
      </c>
      <c r="C463" s="26">
        <v>46142</v>
      </c>
      <c r="D463" s="26">
        <v>46142</v>
      </c>
      <c r="E463" s="35" t="s">
        <v>679</v>
      </c>
      <c r="H463" s="243">
        <v>7206850</v>
      </c>
      <c r="I463" s="114"/>
      <c r="J463" s="115"/>
      <c r="K463" s="115"/>
      <c r="L463" s="115"/>
    </row>
    <row r="464" spans="2:12" ht="12" customHeight="1">
      <c r="B464" s="221">
        <v>446</v>
      </c>
      <c r="C464" s="26">
        <v>46142</v>
      </c>
      <c r="D464" s="26">
        <v>46142</v>
      </c>
      <c r="E464" s="35" t="s">
        <v>744</v>
      </c>
      <c r="H464" s="243">
        <v>7309477</v>
      </c>
      <c r="I464" s="114"/>
      <c r="J464" s="115"/>
      <c r="K464" s="115"/>
      <c r="L464" s="115"/>
    </row>
    <row r="465" spans="2:12" ht="12" customHeight="1">
      <c r="B465" s="221">
        <v>447</v>
      </c>
      <c r="C465" s="26">
        <v>46142</v>
      </c>
      <c r="D465" s="26">
        <v>46142</v>
      </c>
      <c r="E465" s="35" t="s">
        <v>745</v>
      </c>
      <c r="H465" s="243">
        <v>8000000</v>
      </c>
      <c r="I465" s="114"/>
      <c r="J465" s="115"/>
      <c r="K465" s="115"/>
      <c r="L465" s="115"/>
    </row>
    <row r="466" spans="2:12" ht="12" customHeight="1">
      <c r="B466" s="221">
        <v>448</v>
      </c>
      <c r="C466" s="26">
        <v>46142</v>
      </c>
      <c r="D466" s="26">
        <v>46142</v>
      </c>
      <c r="E466" s="35" t="s">
        <v>674</v>
      </c>
      <c r="H466" s="243">
        <v>9643551</v>
      </c>
      <c r="I466" s="114"/>
      <c r="J466" s="115"/>
      <c r="K466" s="115"/>
      <c r="L466" s="115"/>
    </row>
    <row r="467" spans="2:12" ht="12" customHeight="1">
      <c r="B467" s="221">
        <v>449</v>
      </c>
      <c r="C467" s="26">
        <v>46142</v>
      </c>
      <c r="D467" s="26">
        <v>46142</v>
      </c>
      <c r="E467" s="35" t="s">
        <v>746</v>
      </c>
      <c r="H467" s="243">
        <v>10521808</v>
      </c>
      <c r="I467" s="114"/>
      <c r="J467" s="115"/>
      <c r="K467" s="115"/>
      <c r="L467" s="115"/>
    </row>
    <row r="468" spans="2:12" ht="12" customHeight="1">
      <c r="B468" s="221">
        <v>450</v>
      </c>
      <c r="C468" s="26">
        <v>46142</v>
      </c>
      <c r="D468" s="26">
        <v>46142</v>
      </c>
      <c r="E468" s="35" t="s">
        <v>747</v>
      </c>
      <c r="H468" s="138">
        <v>12959450</v>
      </c>
      <c r="I468" s="114"/>
      <c r="J468" s="115"/>
      <c r="K468" s="115"/>
      <c r="L468" s="115"/>
    </row>
    <row r="469" spans="2:12" ht="12" customHeight="1">
      <c r="B469" s="221">
        <v>451</v>
      </c>
      <c r="C469" s="26">
        <v>46142</v>
      </c>
      <c r="D469" s="26">
        <v>46142</v>
      </c>
      <c r="E469" s="35" t="s">
        <v>748</v>
      </c>
      <c r="H469" s="243">
        <v>14775270</v>
      </c>
      <c r="I469" s="114"/>
      <c r="J469" s="115"/>
      <c r="K469" s="115"/>
      <c r="L469" s="115"/>
    </row>
    <row r="470" spans="2:12" ht="12" customHeight="1">
      <c r="B470" s="221">
        <v>452</v>
      </c>
      <c r="C470" s="26">
        <v>46142</v>
      </c>
      <c r="D470" s="26">
        <v>46142</v>
      </c>
      <c r="E470" s="35" t="s">
        <v>696</v>
      </c>
      <c r="H470" s="138">
        <v>21777000</v>
      </c>
      <c r="I470" s="114"/>
      <c r="J470" s="115"/>
      <c r="K470" s="115"/>
      <c r="L470" s="115"/>
    </row>
    <row r="471" spans="2:12" ht="12" customHeight="1">
      <c r="B471" s="221">
        <v>453</v>
      </c>
      <c r="C471" s="26"/>
      <c r="D471" s="26"/>
      <c r="H471" s="243"/>
      <c r="I471" s="114"/>
      <c r="J471" s="115"/>
      <c r="K471" s="115"/>
      <c r="L471" s="115"/>
    </row>
    <row r="472" spans="2:12" ht="12" customHeight="1">
      <c r="B472" s="221">
        <v>394</v>
      </c>
      <c r="C472" s="26"/>
      <c r="D472" s="26"/>
      <c r="H472" s="138"/>
      <c r="I472" s="114"/>
      <c r="J472" s="115"/>
      <c r="K472" s="115"/>
      <c r="L472" s="223"/>
    </row>
    <row r="473" spans="2:12" ht="12" customHeight="1">
      <c r="B473" s="221">
        <v>395</v>
      </c>
      <c r="C473" s="26"/>
      <c r="D473" s="26"/>
      <c r="H473" s="138"/>
      <c r="I473" s="114"/>
      <c r="J473" s="115"/>
      <c r="K473" s="115"/>
      <c r="L473" s="223"/>
    </row>
    <row r="474" spans="2:12" ht="12" customHeight="1">
      <c r="B474" s="221">
        <v>396</v>
      </c>
      <c r="C474" s="26"/>
      <c r="D474" s="26"/>
      <c r="H474" s="138"/>
      <c r="I474" s="114"/>
      <c r="J474" s="115"/>
      <c r="K474" s="115"/>
      <c r="L474" s="223"/>
    </row>
    <row r="475" spans="2:12" ht="12" customHeight="1">
      <c r="B475" s="221">
        <v>397</v>
      </c>
      <c r="C475" s="26"/>
      <c r="D475" s="26"/>
      <c r="H475" s="138"/>
      <c r="I475" s="114"/>
      <c r="J475" s="115"/>
      <c r="K475" s="115"/>
      <c r="L475" s="223"/>
    </row>
    <row r="476" spans="2:12" ht="12" customHeight="1">
      <c r="B476" s="221">
        <v>398</v>
      </c>
      <c r="C476" s="26"/>
      <c r="D476" s="26"/>
      <c r="H476" s="138"/>
      <c r="I476" s="114"/>
      <c r="J476" s="115"/>
      <c r="K476" s="115"/>
      <c r="L476" s="223"/>
    </row>
    <row r="477" spans="2:12" ht="12" customHeight="1">
      <c r="B477" s="221">
        <v>399</v>
      </c>
      <c r="C477" s="26"/>
      <c r="D477" s="26"/>
      <c r="H477" s="138"/>
      <c r="I477" s="114"/>
      <c r="J477" s="115"/>
      <c r="K477" s="115"/>
      <c r="L477" s="223"/>
    </row>
    <row r="478" spans="2:12" ht="12" customHeight="1">
      <c r="B478" s="221">
        <v>400</v>
      </c>
      <c r="C478" s="235"/>
      <c r="D478" s="235"/>
      <c r="E478" s="236"/>
      <c r="F478" s="236"/>
      <c r="G478" s="237"/>
      <c r="H478" s="135"/>
      <c r="I478" s="114"/>
      <c r="J478" s="115"/>
      <c r="K478" s="115"/>
      <c r="L478" s="223"/>
    </row>
    <row r="479" spans="2:12" ht="12" customHeight="1">
      <c r="B479" s="221">
        <v>401</v>
      </c>
      <c r="C479" s="26"/>
      <c r="D479" s="26"/>
      <c r="H479" s="164"/>
      <c r="I479" s="114"/>
      <c r="J479" s="115"/>
      <c r="K479" s="115"/>
      <c r="L479" s="223"/>
    </row>
    <row r="480" spans="2:12" ht="12" customHeight="1" thickBot="1">
      <c r="B480" s="221">
        <v>402</v>
      </c>
      <c r="C480" s="31" t="s">
        <v>15</v>
      </c>
      <c r="D480" s="31"/>
      <c r="H480" s="131">
        <f>SUM(H483:H487)</f>
        <v>2000000</v>
      </c>
      <c r="I480" s="136"/>
      <c r="J480" s="123"/>
      <c r="K480" s="123"/>
      <c r="L480" s="218"/>
    </row>
    <row r="481" spans="1:12" ht="12" customHeight="1" thickTop="1">
      <c r="B481" s="221">
        <v>403</v>
      </c>
      <c r="C481" s="31"/>
      <c r="D481" s="31"/>
      <c r="H481" s="155"/>
      <c r="L481" s="218"/>
    </row>
    <row r="482" spans="1:12" s="3" customFormat="1" ht="12" customHeight="1">
      <c r="A482" s="3" t="s">
        <v>46</v>
      </c>
      <c r="B482" s="221">
        <v>404</v>
      </c>
      <c r="C482" s="14" t="s">
        <v>4</v>
      </c>
      <c r="D482" s="14" t="s">
        <v>5</v>
      </c>
      <c r="E482" s="14" t="s">
        <v>6</v>
      </c>
      <c r="F482" s="14"/>
      <c r="G482" s="132" t="s">
        <v>8</v>
      </c>
      <c r="H482" s="154" t="s">
        <v>9</v>
      </c>
      <c r="I482" s="238"/>
      <c r="J482" s="239"/>
      <c r="K482" s="239"/>
      <c r="L482" s="224"/>
    </row>
    <row r="483" spans="1:12" ht="14.1" customHeight="1">
      <c r="B483" s="221">
        <v>405</v>
      </c>
      <c r="C483" s="26">
        <v>46127</v>
      </c>
      <c r="D483" s="26">
        <v>46127</v>
      </c>
      <c r="E483" s="35" t="s">
        <v>749</v>
      </c>
      <c r="G483" s="96" t="s">
        <v>750</v>
      </c>
      <c r="H483" s="138">
        <v>500000</v>
      </c>
      <c r="I483" s="114"/>
      <c r="J483" s="115"/>
      <c r="K483" s="115"/>
      <c r="L483" s="225"/>
    </row>
    <row r="484" spans="1:12" ht="14.1" customHeight="1">
      <c r="B484" s="221">
        <v>406</v>
      </c>
      <c r="C484" s="26">
        <v>46136</v>
      </c>
      <c r="D484" s="26">
        <v>46136</v>
      </c>
      <c r="E484" s="35" t="s">
        <v>751</v>
      </c>
      <c r="G484" s="96" t="s">
        <v>752</v>
      </c>
      <c r="H484" s="138">
        <v>500000</v>
      </c>
      <c r="I484" s="114"/>
      <c r="J484" s="115"/>
      <c r="K484" s="115"/>
      <c r="L484" s="225"/>
    </row>
    <row r="485" spans="1:12" ht="14.1" customHeight="1">
      <c r="B485" s="221">
        <v>407</v>
      </c>
      <c r="C485" s="26">
        <v>46136</v>
      </c>
      <c r="D485" s="26">
        <v>46136</v>
      </c>
      <c r="E485" s="35" t="s">
        <v>753</v>
      </c>
      <c r="G485" s="96" t="s">
        <v>754</v>
      </c>
      <c r="H485" s="138">
        <v>500000</v>
      </c>
      <c r="I485" s="114"/>
      <c r="J485" s="115"/>
      <c r="K485" s="115"/>
      <c r="L485" s="225"/>
    </row>
    <row r="486" spans="1:12" ht="12" customHeight="1">
      <c r="B486" s="221">
        <v>408</v>
      </c>
      <c r="C486" s="26">
        <v>46141</v>
      </c>
      <c r="D486" s="26">
        <v>46141</v>
      </c>
      <c r="E486" s="35" t="s">
        <v>755</v>
      </c>
      <c r="G486" s="96" t="s">
        <v>756</v>
      </c>
      <c r="H486" s="139">
        <v>500000</v>
      </c>
      <c r="I486" s="114"/>
      <c r="J486" s="115"/>
      <c r="K486" s="115"/>
      <c r="L486" s="225"/>
    </row>
    <row r="487" spans="1:12" ht="12" customHeight="1">
      <c r="B487" s="221">
        <v>410</v>
      </c>
      <c r="C487" s="26"/>
      <c r="D487" s="26"/>
      <c r="G487" s="96"/>
      <c r="H487" s="139"/>
      <c r="I487" s="114"/>
      <c r="J487" s="115"/>
      <c r="K487" s="115"/>
      <c r="L487" s="225"/>
    </row>
    <row r="488" spans="1:12" ht="12" customHeight="1">
      <c r="B488" s="221">
        <v>411</v>
      </c>
      <c r="C488" s="26"/>
      <c r="D488" s="26"/>
      <c r="G488" s="96"/>
      <c r="H488" s="139"/>
      <c r="I488" s="114"/>
      <c r="J488" s="115"/>
      <c r="K488" s="115"/>
      <c r="L488" s="225"/>
    </row>
    <row r="489" spans="1:12" ht="12" customHeight="1" thickBot="1">
      <c r="B489" s="221">
        <v>412</v>
      </c>
      <c r="C489" s="31" t="s">
        <v>16</v>
      </c>
      <c r="D489" s="31"/>
      <c r="H489" s="131">
        <f>SUM(H492:H493)</f>
        <v>0</v>
      </c>
      <c r="I489" s="172"/>
      <c r="J489" s="116"/>
      <c r="K489" s="116"/>
      <c r="L489" s="218"/>
    </row>
    <row r="490" spans="1:12" ht="12" customHeight="1" thickTop="1">
      <c r="B490" s="221">
        <v>413</v>
      </c>
      <c r="C490" s="31"/>
      <c r="D490" s="31"/>
      <c r="H490" s="155"/>
      <c r="L490" s="218"/>
    </row>
    <row r="491" spans="1:12" s="3" customFormat="1" ht="12" customHeight="1">
      <c r="A491" s="3" t="s">
        <v>46</v>
      </c>
      <c r="B491" s="221">
        <v>414</v>
      </c>
      <c r="C491" s="14" t="s">
        <v>4</v>
      </c>
      <c r="D491" s="14" t="s">
        <v>5</v>
      </c>
      <c r="E491" s="14" t="s">
        <v>6</v>
      </c>
      <c r="F491" s="14"/>
      <c r="G491" s="132" t="s">
        <v>8</v>
      </c>
      <c r="H491" s="154" t="s">
        <v>9</v>
      </c>
      <c r="I491" s="238"/>
      <c r="J491" s="239"/>
      <c r="K491" s="239"/>
      <c r="L491" s="224"/>
    </row>
    <row r="492" spans="1:12" ht="12" customHeight="1">
      <c r="B492" s="221">
        <v>415</v>
      </c>
      <c r="C492" s="26"/>
      <c r="D492" s="26"/>
      <c r="E492" s="24"/>
      <c r="H492" s="138"/>
      <c r="I492" s="114"/>
      <c r="J492" s="115"/>
      <c r="K492" s="115"/>
      <c r="L492" s="259"/>
    </row>
    <row r="493" spans="1:12" ht="12" customHeight="1">
      <c r="B493" s="221">
        <v>416</v>
      </c>
      <c r="C493" s="26"/>
      <c r="D493" s="26"/>
      <c r="H493" s="138"/>
      <c r="I493" s="114"/>
      <c r="J493" s="115"/>
      <c r="K493" s="115"/>
      <c r="L493" s="259"/>
    </row>
    <row r="494" spans="1:12" ht="12" customHeight="1">
      <c r="B494" s="221">
        <v>417</v>
      </c>
      <c r="C494" s="26"/>
      <c r="D494" s="26"/>
      <c r="H494" s="155"/>
      <c r="I494" s="114"/>
      <c r="J494" s="115"/>
      <c r="K494" s="115"/>
      <c r="L494" s="225"/>
    </row>
    <row r="495" spans="1:12" ht="12" customHeight="1">
      <c r="B495" s="221">
        <v>418</v>
      </c>
      <c r="C495" s="26"/>
      <c r="D495" s="26"/>
      <c r="H495" s="155"/>
      <c r="I495" s="114"/>
      <c r="J495" s="115"/>
      <c r="K495" s="115"/>
      <c r="L495" s="225"/>
    </row>
    <row r="496" spans="1:12" ht="12" customHeight="1">
      <c r="B496" s="221">
        <v>419</v>
      </c>
      <c r="C496" s="26"/>
      <c r="D496" s="26"/>
      <c r="H496" s="155"/>
      <c r="I496" s="114"/>
      <c r="J496" s="115"/>
      <c r="K496" s="115"/>
      <c r="L496" s="225"/>
    </row>
    <row r="497" spans="1:12" ht="12" customHeight="1">
      <c r="B497" s="221">
        <v>420</v>
      </c>
      <c r="C497" s="26"/>
      <c r="D497" s="26"/>
      <c r="H497" s="139"/>
      <c r="I497" s="114"/>
      <c r="J497" s="115"/>
      <c r="K497" s="115"/>
      <c r="L497" s="225"/>
    </row>
    <row r="498" spans="1:12" ht="12" customHeight="1" thickBot="1">
      <c r="B498" s="221">
        <v>421</v>
      </c>
      <c r="C498" s="31" t="s">
        <v>17</v>
      </c>
      <c r="D498" s="31"/>
      <c r="H498" s="131">
        <f>SUM(H501:H577)</f>
        <v>92682384.210000008</v>
      </c>
      <c r="I498" s="240"/>
      <c r="L498" s="218"/>
    </row>
    <row r="499" spans="1:12" ht="12" customHeight="1" thickTop="1">
      <c r="B499" s="221">
        <v>422</v>
      </c>
      <c r="C499" s="31"/>
      <c r="D499" s="31"/>
      <c r="H499" s="155"/>
      <c r="L499" s="218"/>
    </row>
    <row r="500" spans="1:12" s="3" customFormat="1" ht="12" customHeight="1">
      <c r="A500" s="3" t="s">
        <v>46</v>
      </c>
      <c r="B500" s="221">
        <v>423</v>
      </c>
      <c r="C500" s="14" t="s">
        <v>4</v>
      </c>
      <c r="D500" s="14" t="s">
        <v>5</v>
      </c>
      <c r="E500" s="14" t="s">
        <v>6</v>
      </c>
      <c r="F500" s="14"/>
      <c r="G500" s="132" t="s">
        <v>8</v>
      </c>
      <c r="H500" s="154" t="s">
        <v>9</v>
      </c>
      <c r="I500" s="238"/>
      <c r="J500" s="239"/>
      <c r="K500" s="239"/>
      <c r="L500" s="224"/>
    </row>
    <row r="501" spans="1:12" ht="12" customHeight="1">
      <c r="B501" s="221">
        <v>424</v>
      </c>
      <c r="C501" s="26">
        <v>46053</v>
      </c>
      <c r="D501" s="157">
        <v>46014</v>
      </c>
      <c r="E501" s="35" t="s">
        <v>448</v>
      </c>
      <c r="G501" s="140" t="s">
        <v>449</v>
      </c>
      <c r="H501" s="133">
        <v>2000000</v>
      </c>
      <c r="I501" s="223" t="s">
        <v>487</v>
      </c>
      <c r="J501" s="115"/>
      <c r="K501" s="115"/>
      <c r="L501" s="223" t="s">
        <v>581</v>
      </c>
    </row>
    <row r="502" spans="1:12" ht="12" customHeight="1">
      <c r="B502" s="221">
        <v>425</v>
      </c>
      <c r="C502" s="26">
        <v>46074</v>
      </c>
      <c r="D502" s="157">
        <v>46074</v>
      </c>
      <c r="E502" s="35" t="s">
        <v>349</v>
      </c>
      <c r="G502" s="140" t="s">
        <v>450</v>
      </c>
      <c r="H502" s="133">
        <v>1049100</v>
      </c>
      <c r="I502" s="114" t="s">
        <v>561</v>
      </c>
      <c r="J502" s="115"/>
      <c r="K502" s="115"/>
      <c r="L502" s="223" t="s">
        <v>563</v>
      </c>
    </row>
    <row r="503" spans="1:12" ht="12" customHeight="1">
      <c r="B503" s="221">
        <v>426</v>
      </c>
      <c r="C503" s="26">
        <v>46105</v>
      </c>
      <c r="D503" s="157">
        <v>46048</v>
      </c>
      <c r="E503" s="24" t="s">
        <v>757</v>
      </c>
      <c r="G503" s="140" t="s">
        <v>758</v>
      </c>
      <c r="H503" s="244">
        <v>1000000</v>
      </c>
      <c r="I503" s="114" t="s">
        <v>759</v>
      </c>
      <c r="J503" s="115" t="s">
        <v>760</v>
      </c>
      <c r="K503" s="115"/>
      <c r="L503" s="242" t="s">
        <v>759</v>
      </c>
    </row>
    <row r="504" spans="1:12" ht="12" customHeight="1">
      <c r="B504" s="221">
        <v>427</v>
      </c>
      <c r="C504" s="26">
        <v>46113</v>
      </c>
      <c r="D504" s="157">
        <v>46112</v>
      </c>
      <c r="E504" s="24" t="s">
        <v>761</v>
      </c>
      <c r="G504" s="140" t="s">
        <v>762</v>
      </c>
      <c r="H504" s="138">
        <v>273000</v>
      </c>
      <c r="I504" s="114"/>
      <c r="J504" s="115"/>
      <c r="K504" s="115"/>
      <c r="L504" s="163"/>
    </row>
    <row r="505" spans="1:12" ht="12" customHeight="1">
      <c r="B505" s="221">
        <v>428</v>
      </c>
      <c r="C505" s="26">
        <v>46113</v>
      </c>
      <c r="D505" s="157">
        <v>46113</v>
      </c>
      <c r="E505" s="24" t="s">
        <v>763</v>
      </c>
      <c r="G505" s="140" t="s">
        <v>764</v>
      </c>
      <c r="H505" s="138">
        <v>524250</v>
      </c>
      <c r="I505" s="114"/>
      <c r="J505" s="115"/>
      <c r="K505" s="115"/>
      <c r="L505" s="163"/>
    </row>
    <row r="506" spans="1:12" ht="12" customHeight="1">
      <c r="B506" s="221">
        <v>429</v>
      </c>
      <c r="C506" s="26">
        <v>46113</v>
      </c>
      <c r="D506" s="157">
        <v>46113</v>
      </c>
      <c r="E506" s="24" t="s">
        <v>765</v>
      </c>
      <c r="G506" s="140" t="s">
        <v>766</v>
      </c>
      <c r="H506" s="138">
        <v>935341</v>
      </c>
      <c r="I506" s="114"/>
      <c r="J506" s="115"/>
      <c r="K506" s="115"/>
      <c r="L506" s="163"/>
    </row>
    <row r="507" spans="1:12" ht="12" customHeight="1">
      <c r="B507" s="221">
        <v>430</v>
      </c>
      <c r="C507" s="26">
        <v>46113</v>
      </c>
      <c r="D507" s="157">
        <v>46113</v>
      </c>
      <c r="E507" s="24" t="s">
        <v>524</v>
      </c>
      <c r="G507" s="140" t="s">
        <v>767</v>
      </c>
      <c r="H507" s="138">
        <v>2482528</v>
      </c>
      <c r="I507" s="114"/>
      <c r="J507" s="115"/>
      <c r="K507" s="115"/>
      <c r="L507" s="163"/>
    </row>
    <row r="508" spans="1:12" ht="12" customHeight="1">
      <c r="B508" s="221">
        <v>431</v>
      </c>
      <c r="C508" s="26">
        <v>46118</v>
      </c>
      <c r="D508" s="157">
        <v>46118</v>
      </c>
      <c r="E508" s="24" t="s">
        <v>768</v>
      </c>
      <c r="G508" s="140" t="s">
        <v>769</v>
      </c>
      <c r="H508" s="138">
        <v>104000</v>
      </c>
      <c r="I508" s="114"/>
      <c r="J508" s="115"/>
      <c r="K508" s="115"/>
      <c r="L508" s="163"/>
    </row>
    <row r="509" spans="1:12" ht="12" customHeight="1">
      <c r="B509" s="221">
        <v>432</v>
      </c>
      <c r="C509" s="26">
        <v>46118</v>
      </c>
      <c r="D509" s="157">
        <v>46107</v>
      </c>
      <c r="E509" s="24" t="s">
        <v>770</v>
      </c>
      <c r="G509" s="140" t="s">
        <v>771</v>
      </c>
      <c r="H509" s="138">
        <v>600000</v>
      </c>
      <c r="I509" s="114"/>
      <c r="J509" s="115"/>
      <c r="K509" s="115"/>
      <c r="L509" s="163"/>
    </row>
    <row r="510" spans="1:12" ht="12" customHeight="1">
      <c r="B510" s="221">
        <v>433</v>
      </c>
      <c r="C510" s="26">
        <v>46119</v>
      </c>
      <c r="D510" s="157">
        <v>46119</v>
      </c>
      <c r="E510" s="24" t="s">
        <v>772</v>
      </c>
      <c r="G510" s="140" t="s">
        <v>773</v>
      </c>
      <c r="H510" s="138">
        <v>331649</v>
      </c>
      <c r="I510" s="114"/>
      <c r="J510" s="115"/>
      <c r="K510" s="115"/>
      <c r="L510" s="163"/>
    </row>
    <row r="511" spans="1:12" ht="12" customHeight="1">
      <c r="B511" s="221">
        <v>434</v>
      </c>
      <c r="C511" s="26">
        <v>46119</v>
      </c>
      <c r="D511" s="157">
        <v>46105</v>
      </c>
      <c r="E511" s="24" t="s">
        <v>774</v>
      </c>
      <c r="G511" s="140" t="s">
        <v>775</v>
      </c>
      <c r="H511" s="138">
        <v>753632</v>
      </c>
      <c r="I511" s="114"/>
      <c r="J511" s="115"/>
      <c r="K511" s="115"/>
      <c r="L511" s="163"/>
    </row>
    <row r="512" spans="1:12" ht="12" customHeight="1">
      <c r="B512" s="221">
        <v>435</v>
      </c>
      <c r="C512" s="26">
        <v>46120</v>
      </c>
      <c r="D512" s="157">
        <v>46120</v>
      </c>
      <c r="E512" s="24" t="s">
        <v>776</v>
      </c>
      <c r="G512" s="140" t="s">
        <v>777</v>
      </c>
      <c r="H512" s="138">
        <v>787336</v>
      </c>
      <c r="I512" s="114"/>
      <c r="J512" s="115"/>
      <c r="K512" s="115"/>
      <c r="L512" s="163"/>
    </row>
    <row r="513" spans="2:12" ht="12" customHeight="1">
      <c r="B513" s="221">
        <v>436</v>
      </c>
      <c r="C513" s="26">
        <v>46121</v>
      </c>
      <c r="D513" s="157">
        <v>46119</v>
      </c>
      <c r="E513" s="35" t="s">
        <v>778</v>
      </c>
      <c r="G513" s="140" t="s">
        <v>779</v>
      </c>
      <c r="H513" s="138">
        <v>1700</v>
      </c>
      <c r="I513" s="114"/>
      <c r="J513" s="115"/>
      <c r="K513" s="115"/>
      <c r="L513" s="163" t="s">
        <v>780</v>
      </c>
    </row>
    <row r="514" spans="2:12" ht="12" customHeight="1">
      <c r="B514" s="221">
        <v>437</v>
      </c>
      <c r="C514" s="26">
        <v>46121</v>
      </c>
      <c r="D514" s="157">
        <v>46121</v>
      </c>
      <c r="E514" s="35" t="s">
        <v>781</v>
      </c>
      <c r="G514" s="140" t="s">
        <v>782</v>
      </c>
      <c r="H514" s="138">
        <v>8050</v>
      </c>
      <c r="I514" s="114"/>
      <c r="J514" s="115"/>
      <c r="K514" s="115"/>
      <c r="L514" s="163" t="s">
        <v>780</v>
      </c>
    </row>
    <row r="515" spans="2:12" ht="12" customHeight="1">
      <c r="B515" s="221">
        <v>438</v>
      </c>
      <c r="C515" s="26">
        <v>46121</v>
      </c>
      <c r="D515" s="157">
        <v>46121</v>
      </c>
      <c r="E515" s="24" t="s">
        <v>783</v>
      </c>
      <c r="G515" s="140" t="s">
        <v>784</v>
      </c>
      <c r="H515" s="138">
        <v>10000</v>
      </c>
      <c r="I515" s="114"/>
      <c r="J515" s="115"/>
      <c r="K515" s="115"/>
      <c r="L515" s="163"/>
    </row>
    <row r="516" spans="2:12" ht="12" customHeight="1">
      <c r="B516" s="221">
        <v>439</v>
      </c>
      <c r="C516" s="26">
        <v>46121</v>
      </c>
      <c r="D516" s="157">
        <v>46121</v>
      </c>
      <c r="E516" s="24" t="s">
        <v>785</v>
      </c>
      <c r="G516" s="140" t="s">
        <v>786</v>
      </c>
      <c r="H516" s="138">
        <v>51690</v>
      </c>
      <c r="I516" s="115"/>
      <c r="K516" s="115"/>
      <c r="L516" s="163"/>
    </row>
    <row r="517" spans="2:12" ht="12" customHeight="1">
      <c r="B517" s="221">
        <v>440</v>
      </c>
      <c r="C517" s="26">
        <v>46121</v>
      </c>
      <c r="D517" s="157">
        <v>46121</v>
      </c>
      <c r="E517" s="24" t="s">
        <v>787</v>
      </c>
      <c r="G517" s="140" t="s">
        <v>788</v>
      </c>
      <c r="H517" s="138">
        <v>111000</v>
      </c>
      <c r="I517" s="114"/>
      <c r="J517" s="115"/>
      <c r="K517" s="115"/>
      <c r="L517" s="115"/>
    </row>
    <row r="518" spans="2:12" ht="12" customHeight="1">
      <c r="B518" s="221">
        <v>441</v>
      </c>
      <c r="C518" s="26">
        <v>46121</v>
      </c>
      <c r="D518" s="157">
        <v>46121</v>
      </c>
      <c r="E518" s="24" t="s">
        <v>789</v>
      </c>
      <c r="G518" s="140" t="s">
        <v>790</v>
      </c>
      <c r="H518" s="138">
        <v>138000</v>
      </c>
      <c r="I518" s="114"/>
      <c r="J518" s="115"/>
      <c r="K518" s="115"/>
      <c r="L518" s="115"/>
    </row>
    <row r="519" spans="2:12" ht="12" customHeight="1">
      <c r="B519" s="221">
        <v>442</v>
      </c>
      <c r="C519" s="26">
        <v>46122</v>
      </c>
      <c r="D519" s="157">
        <v>46122</v>
      </c>
      <c r="E519" s="24" t="s">
        <v>583</v>
      </c>
      <c r="G519" s="140" t="s">
        <v>791</v>
      </c>
      <c r="H519" s="138">
        <v>544896</v>
      </c>
      <c r="I519" s="114"/>
      <c r="J519" s="115"/>
      <c r="K519" s="115"/>
      <c r="L519" s="115"/>
    </row>
    <row r="520" spans="2:12" ht="12" customHeight="1">
      <c r="B520" s="221">
        <v>443</v>
      </c>
      <c r="C520" s="26">
        <v>46122</v>
      </c>
      <c r="D520" s="157">
        <v>46122</v>
      </c>
      <c r="E520" s="24" t="s">
        <v>792</v>
      </c>
      <c r="G520" s="140" t="s">
        <v>793</v>
      </c>
      <c r="H520" s="138">
        <v>3280000</v>
      </c>
      <c r="I520" s="114"/>
      <c r="J520" s="115"/>
      <c r="K520" s="115"/>
      <c r="L520" s="115"/>
    </row>
    <row r="521" spans="2:12" ht="12" customHeight="1">
      <c r="B521" s="221">
        <v>444</v>
      </c>
      <c r="C521" s="26">
        <v>46123</v>
      </c>
      <c r="D521" s="157">
        <v>46123</v>
      </c>
      <c r="E521" s="24" t="s">
        <v>794</v>
      </c>
      <c r="G521" s="140" t="s">
        <v>795</v>
      </c>
      <c r="H521" s="138">
        <v>179500</v>
      </c>
      <c r="I521" s="114"/>
      <c r="J521" s="115"/>
      <c r="K521" s="115"/>
      <c r="L521" s="115"/>
    </row>
    <row r="522" spans="2:12" ht="12" customHeight="1">
      <c r="B522" s="221">
        <v>445</v>
      </c>
      <c r="C522" s="26">
        <v>46125</v>
      </c>
      <c r="D522" s="157">
        <v>46125</v>
      </c>
      <c r="E522" s="24" t="s">
        <v>796</v>
      </c>
      <c r="G522" s="140" t="s">
        <v>797</v>
      </c>
      <c r="H522" s="138">
        <v>185000</v>
      </c>
      <c r="I522" s="114"/>
      <c r="J522" s="115"/>
      <c r="K522" s="115"/>
      <c r="L522" s="115"/>
    </row>
    <row r="523" spans="2:12" ht="12" customHeight="1">
      <c r="B523" s="221">
        <v>446</v>
      </c>
      <c r="C523" s="26">
        <v>46125</v>
      </c>
      <c r="D523" s="157">
        <v>46125</v>
      </c>
      <c r="E523" s="24" t="s">
        <v>798</v>
      </c>
      <c r="G523" s="140" t="s">
        <v>799</v>
      </c>
      <c r="H523" s="138">
        <v>350000</v>
      </c>
      <c r="I523" s="114"/>
      <c r="J523" s="115"/>
      <c r="K523" s="115"/>
      <c r="L523" s="115"/>
    </row>
    <row r="524" spans="2:12" ht="12" customHeight="1">
      <c r="B524" s="221">
        <v>447</v>
      </c>
      <c r="C524" s="26">
        <v>46125</v>
      </c>
      <c r="D524" s="157">
        <v>46125</v>
      </c>
      <c r="E524" s="24" t="s">
        <v>800</v>
      </c>
      <c r="G524" s="140" t="s">
        <v>801</v>
      </c>
      <c r="H524" s="138">
        <v>674000</v>
      </c>
      <c r="I524" s="114"/>
      <c r="J524" s="115"/>
      <c r="K524" s="115"/>
      <c r="L524" s="115"/>
    </row>
    <row r="525" spans="2:12" ht="12" customHeight="1">
      <c r="B525" s="221">
        <v>448</v>
      </c>
      <c r="C525" s="26">
        <v>46125</v>
      </c>
      <c r="D525" s="157">
        <v>46125</v>
      </c>
      <c r="E525" s="24" t="s">
        <v>802</v>
      </c>
      <c r="G525" s="140" t="s">
        <v>803</v>
      </c>
      <c r="H525" s="138">
        <v>685615</v>
      </c>
      <c r="I525" s="114"/>
      <c r="J525" s="115"/>
      <c r="K525" s="115"/>
      <c r="L525" s="115"/>
    </row>
    <row r="526" spans="2:12" ht="12" customHeight="1">
      <c r="B526" s="221">
        <v>449</v>
      </c>
      <c r="C526" s="26">
        <v>46125</v>
      </c>
      <c r="D526" s="157">
        <v>46125</v>
      </c>
      <c r="E526" s="24" t="s">
        <v>804</v>
      </c>
      <c r="G526" s="140" t="s">
        <v>805</v>
      </c>
      <c r="H526" s="138">
        <v>917700</v>
      </c>
      <c r="I526" s="114"/>
      <c r="J526" s="115"/>
      <c r="K526" s="115"/>
      <c r="L526" s="115"/>
    </row>
    <row r="527" spans="2:12" ht="12" customHeight="1">
      <c r="B527" s="221">
        <v>450</v>
      </c>
      <c r="C527" s="26">
        <v>46125</v>
      </c>
      <c r="D527" s="157">
        <v>46125</v>
      </c>
      <c r="E527" s="24" t="s">
        <v>806</v>
      </c>
      <c r="G527" s="140" t="s">
        <v>807</v>
      </c>
      <c r="H527" s="138">
        <v>953055</v>
      </c>
      <c r="I527" s="114"/>
      <c r="J527" s="115"/>
      <c r="K527" s="115"/>
      <c r="L527" s="115"/>
    </row>
    <row r="528" spans="2:12" ht="12" customHeight="1">
      <c r="B528" s="221">
        <v>451</v>
      </c>
      <c r="C528" s="26">
        <v>46126</v>
      </c>
      <c r="D528" s="157">
        <v>46107</v>
      </c>
      <c r="E528" s="24" t="s">
        <v>808</v>
      </c>
      <c r="G528" s="140" t="s">
        <v>809</v>
      </c>
      <c r="H528" s="138">
        <v>90000</v>
      </c>
      <c r="I528" s="114"/>
      <c r="J528" s="115"/>
      <c r="K528" s="115"/>
      <c r="L528" s="115"/>
    </row>
    <row r="529" spans="2:12" ht="12" customHeight="1">
      <c r="B529" s="221">
        <v>452</v>
      </c>
      <c r="C529" s="26">
        <v>46126</v>
      </c>
      <c r="D529" s="157">
        <v>46126</v>
      </c>
      <c r="E529" s="24" t="s">
        <v>810</v>
      </c>
      <c r="G529" s="140" t="s">
        <v>811</v>
      </c>
      <c r="H529" s="138">
        <v>225600.06</v>
      </c>
      <c r="I529" s="114"/>
      <c r="J529" s="115"/>
      <c r="K529" s="115"/>
      <c r="L529" s="115"/>
    </row>
    <row r="530" spans="2:12" ht="12" customHeight="1">
      <c r="B530" s="221">
        <v>453</v>
      </c>
      <c r="C530" s="26">
        <v>46127</v>
      </c>
      <c r="D530" s="157">
        <v>46127</v>
      </c>
      <c r="E530" s="24" t="s">
        <v>812</v>
      </c>
      <c r="G530" s="140" t="s">
        <v>813</v>
      </c>
      <c r="H530" s="138">
        <v>14940</v>
      </c>
      <c r="I530" s="114"/>
      <c r="J530" s="115"/>
      <c r="K530" s="115"/>
      <c r="L530" s="115"/>
    </row>
    <row r="531" spans="2:12" ht="12" customHeight="1">
      <c r="B531" s="221">
        <v>454</v>
      </c>
      <c r="C531" s="26">
        <v>46127</v>
      </c>
      <c r="D531" s="157">
        <v>46127</v>
      </c>
      <c r="E531" s="24" t="s">
        <v>814</v>
      </c>
      <c r="G531" s="140" t="s">
        <v>815</v>
      </c>
      <c r="H531" s="138">
        <v>120250</v>
      </c>
      <c r="I531" s="114"/>
      <c r="J531" s="115"/>
      <c r="K531" s="115"/>
      <c r="L531" s="115"/>
    </row>
    <row r="532" spans="2:12" ht="12" customHeight="1">
      <c r="B532" s="221">
        <v>455</v>
      </c>
      <c r="C532" s="26">
        <v>46127</v>
      </c>
      <c r="D532" s="157">
        <v>46127</v>
      </c>
      <c r="E532" s="24" t="s">
        <v>816</v>
      </c>
      <c r="G532" s="140" t="s">
        <v>817</v>
      </c>
      <c r="H532" s="138">
        <v>503230</v>
      </c>
      <c r="I532" s="114"/>
      <c r="J532" s="115"/>
      <c r="K532" s="115"/>
      <c r="L532" s="115"/>
    </row>
    <row r="533" spans="2:12" ht="12" customHeight="1">
      <c r="B533" s="221">
        <v>456</v>
      </c>
      <c r="C533" s="26">
        <v>46127</v>
      </c>
      <c r="D533" s="157">
        <v>46111</v>
      </c>
      <c r="E533" s="24" t="s">
        <v>818</v>
      </c>
      <c r="G533" s="140" t="s">
        <v>819</v>
      </c>
      <c r="H533" s="138">
        <v>16800151</v>
      </c>
      <c r="I533" s="114"/>
      <c r="J533" s="115"/>
      <c r="K533" s="115"/>
      <c r="L533" s="115"/>
    </row>
    <row r="534" spans="2:12" ht="12" customHeight="1">
      <c r="B534" s="221">
        <v>457</v>
      </c>
      <c r="C534" s="26">
        <v>46128</v>
      </c>
      <c r="D534" s="157">
        <v>46128</v>
      </c>
      <c r="E534" s="24" t="s">
        <v>820</v>
      </c>
      <c r="G534" s="140" t="s">
        <v>821</v>
      </c>
      <c r="H534" s="138">
        <v>39900</v>
      </c>
      <c r="I534" s="114"/>
      <c r="J534" s="115"/>
      <c r="K534" s="115"/>
      <c r="L534" s="115"/>
    </row>
    <row r="535" spans="2:12" ht="12" customHeight="1">
      <c r="B535" s="221">
        <v>458</v>
      </c>
      <c r="C535" s="26">
        <v>46128</v>
      </c>
      <c r="D535" s="157">
        <v>46128</v>
      </c>
      <c r="E535" s="24" t="s">
        <v>822</v>
      </c>
      <c r="G535" s="140" t="s">
        <v>823</v>
      </c>
      <c r="H535" s="138">
        <v>61600</v>
      </c>
      <c r="I535" s="115"/>
      <c r="K535" s="115"/>
      <c r="L535" s="115"/>
    </row>
    <row r="536" spans="2:12" ht="12" customHeight="1">
      <c r="B536" s="221">
        <v>459</v>
      </c>
      <c r="C536" s="26">
        <v>46128</v>
      </c>
      <c r="D536" s="157">
        <v>46128</v>
      </c>
      <c r="E536" s="24" t="s">
        <v>824</v>
      </c>
      <c r="G536" s="140" t="s">
        <v>825</v>
      </c>
      <c r="H536" s="138">
        <v>1890000</v>
      </c>
      <c r="I536" s="114"/>
      <c r="J536" s="115"/>
      <c r="K536" s="115"/>
      <c r="L536" s="115"/>
    </row>
    <row r="537" spans="2:12" ht="12" customHeight="1">
      <c r="B537" s="221">
        <v>460</v>
      </c>
      <c r="C537" s="26">
        <v>46129</v>
      </c>
      <c r="D537" s="157">
        <v>46129</v>
      </c>
      <c r="E537" s="24" t="s">
        <v>826</v>
      </c>
      <c r="G537" s="140" t="s">
        <v>827</v>
      </c>
      <c r="H537" s="138">
        <v>72700</v>
      </c>
      <c r="I537" s="115"/>
      <c r="K537" s="115"/>
      <c r="L537" s="115"/>
    </row>
    <row r="538" spans="2:12" ht="12" customHeight="1">
      <c r="B538" s="221">
        <v>461</v>
      </c>
      <c r="C538" s="26">
        <v>46129</v>
      </c>
      <c r="D538" s="157">
        <v>46128</v>
      </c>
      <c r="E538" s="24" t="s">
        <v>828</v>
      </c>
      <c r="G538" s="140" t="s">
        <v>829</v>
      </c>
      <c r="H538" s="138">
        <v>595000</v>
      </c>
      <c r="I538" s="114"/>
      <c r="J538" s="115"/>
      <c r="K538" s="115"/>
      <c r="L538" s="115"/>
    </row>
    <row r="539" spans="2:12" ht="12" customHeight="1">
      <c r="B539" s="221">
        <v>462</v>
      </c>
      <c r="C539" s="26">
        <v>46129</v>
      </c>
      <c r="D539" s="157">
        <v>46129</v>
      </c>
      <c r="E539" s="24" t="s">
        <v>830</v>
      </c>
      <c r="G539" s="140" t="s">
        <v>831</v>
      </c>
      <c r="H539" s="138">
        <v>1184400</v>
      </c>
      <c r="I539" s="114"/>
      <c r="J539" s="115"/>
      <c r="K539" s="115"/>
      <c r="L539" s="115"/>
    </row>
    <row r="540" spans="2:12" ht="12" customHeight="1">
      <c r="B540" s="221">
        <v>463</v>
      </c>
      <c r="C540" s="26">
        <v>46129</v>
      </c>
      <c r="D540" s="157">
        <v>46127</v>
      </c>
      <c r="E540" s="24" t="s">
        <v>832</v>
      </c>
      <c r="G540" s="140" t="s">
        <v>833</v>
      </c>
      <c r="H540" s="138">
        <v>11614500</v>
      </c>
      <c r="I540" s="114"/>
      <c r="J540" s="115"/>
      <c r="K540" s="115"/>
      <c r="L540" s="115"/>
    </row>
    <row r="541" spans="2:12" ht="12" customHeight="1">
      <c r="B541" s="221">
        <v>464</v>
      </c>
      <c r="C541" s="26">
        <v>46130</v>
      </c>
      <c r="D541" s="157">
        <v>46130</v>
      </c>
      <c r="E541" s="24" t="s">
        <v>834</v>
      </c>
      <c r="G541" s="140" t="s">
        <v>835</v>
      </c>
      <c r="H541" s="138">
        <v>65998.149999999994</v>
      </c>
      <c r="I541" s="115"/>
      <c r="K541" s="115"/>
      <c r="L541" s="115"/>
    </row>
    <row r="542" spans="2:12" ht="12" customHeight="1">
      <c r="B542" s="221">
        <v>465</v>
      </c>
      <c r="C542" s="26">
        <v>46130</v>
      </c>
      <c r="D542" s="157">
        <v>46129</v>
      </c>
      <c r="E542" s="24" t="s">
        <v>836</v>
      </c>
      <c r="G542" s="140" t="s">
        <v>837</v>
      </c>
      <c r="H542" s="138">
        <v>692150</v>
      </c>
      <c r="I542" s="114"/>
      <c r="J542" s="115"/>
      <c r="K542" s="115"/>
      <c r="L542" s="115"/>
    </row>
    <row r="543" spans="2:12" ht="12" customHeight="1">
      <c r="B543" s="221">
        <v>466</v>
      </c>
      <c r="C543" s="26">
        <v>46132</v>
      </c>
      <c r="D543" s="157">
        <v>46125</v>
      </c>
      <c r="E543" s="24" t="s">
        <v>586</v>
      </c>
      <c r="G543" s="140" t="s">
        <v>838</v>
      </c>
      <c r="H543" s="138">
        <v>85000</v>
      </c>
      <c r="I543" s="114"/>
      <c r="J543" s="115"/>
      <c r="K543" s="115"/>
      <c r="L543" s="115"/>
    </row>
    <row r="544" spans="2:12" ht="12" customHeight="1">
      <c r="B544" s="221">
        <v>467</v>
      </c>
      <c r="C544" s="26">
        <v>46132</v>
      </c>
      <c r="D544" s="157">
        <v>46125</v>
      </c>
      <c r="E544" s="24" t="s">
        <v>586</v>
      </c>
      <c r="G544" s="140" t="s">
        <v>839</v>
      </c>
      <c r="H544" s="138">
        <v>85000</v>
      </c>
      <c r="I544" s="114"/>
      <c r="J544" s="115"/>
      <c r="K544" s="115"/>
      <c r="L544" s="115"/>
    </row>
    <row r="545" spans="2:12" ht="12" customHeight="1">
      <c r="B545" s="221">
        <v>468</v>
      </c>
      <c r="C545" s="26">
        <v>46132</v>
      </c>
      <c r="D545" s="157">
        <v>46132</v>
      </c>
      <c r="E545" s="24" t="s">
        <v>840</v>
      </c>
      <c r="G545" s="140" t="s">
        <v>841</v>
      </c>
      <c r="H545" s="138">
        <v>264000</v>
      </c>
      <c r="I545" s="114"/>
      <c r="J545" s="115"/>
      <c r="K545" s="115"/>
      <c r="L545" s="115"/>
    </row>
    <row r="546" spans="2:12" ht="12" customHeight="1">
      <c r="B546" s="221">
        <v>469</v>
      </c>
      <c r="C546" s="26">
        <v>46132</v>
      </c>
      <c r="D546" s="157">
        <v>46129</v>
      </c>
      <c r="E546" s="24" t="s">
        <v>312</v>
      </c>
      <c r="G546" s="140" t="s">
        <v>842</v>
      </c>
      <c r="H546" s="138">
        <v>9364665</v>
      </c>
      <c r="I546" s="114"/>
      <c r="J546" s="115"/>
      <c r="K546" s="115"/>
      <c r="L546" s="115"/>
    </row>
    <row r="547" spans="2:12" ht="12" customHeight="1">
      <c r="B547" s="221">
        <v>470</v>
      </c>
      <c r="C547" s="26">
        <v>46133</v>
      </c>
      <c r="D547" s="157">
        <v>46133</v>
      </c>
      <c r="E547" s="24" t="s">
        <v>843</v>
      </c>
      <c r="G547" s="140" t="s">
        <v>844</v>
      </c>
      <c r="H547" s="138">
        <v>832200</v>
      </c>
      <c r="I547" s="114"/>
      <c r="J547" s="115"/>
      <c r="K547" s="115"/>
      <c r="L547" s="115"/>
    </row>
    <row r="548" spans="2:12" ht="12" customHeight="1">
      <c r="B548" s="221">
        <v>471</v>
      </c>
      <c r="C548" s="26">
        <v>46134</v>
      </c>
      <c r="D548" s="157">
        <v>46134</v>
      </c>
      <c r="E548" s="24" t="s">
        <v>845</v>
      </c>
      <c r="G548" s="140" t="s">
        <v>846</v>
      </c>
      <c r="H548" s="138">
        <v>39950</v>
      </c>
      <c r="I548" s="114"/>
      <c r="J548" s="115"/>
      <c r="K548" s="115"/>
      <c r="L548" s="115"/>
    </row>
    <row r="549" spans="2:12" ht="12" customHeight="1">
      <c r="B549" s="221">
        <v>472</v>
      </c>
      <c r="C549" s="26">
        <v>46134</v>
      </c>
      <c r="D549" s="157">
        <v>46125</v>
      </c>
      <c r="E549" s="24" t="s">
        <v>847</v>
      </c>
      <c r="G549" s="140" t="s">
        <v>848</v>
      </c>
      <c r="H549" s="138">
        <v>396306</v>
      </c>
      <c r="I549" s="114"/>
      <c r="J549" s="115"/>
      <c r="K549" s="115"/>
      <c r="L549" s="115"/>
    </row>
    <row r="550" spans="2:12" ht="12" customHeight="1">
      <c r="B550" s="221">
        <v>473</v>
      </c>
      <c r="C550" s="26">
        <v>46134</v>
      </c>
      <c r="D550" s="157">
        <v>46133</v>
      </c>
      <c r="E550" s="24" t="s">
        <v>849</v>
      </c>
      <c r="G550" s="140" t="s">
        <v>850</v>
      </c>
      <c r="H550" s="138">
        <v>632500</v>
      </c>
      <c r="I550" s="114"/>
      <c r="J550" s="115"/>
      <c r="K550" s="115"/>
      <c r="L550" s="115"/>
    </row>
    <row r="551" spans="2:12" ht="12" customHeight="1">
      <c r="B551" s="221">
        <v>475</v>
      </c>
      <c r="C551" s="26">
        <v>46134</v>
      </c>
      <c r="D551" s="157">
        <v>46133</v>
      </c>
      <c r="E551" s="24" t="s">
        <v>851</v>
      </c>
      <c r="G551" s="140" t="s">
        <v>852</v>
      </c>
      <c r="H551" s="138">
        <v>763870</v>
      </c>
      <c r="I551" s="114"/>
      <c r="J551" s="115"/>
      <c r="K551" s="115"/>
      <c r="L551" s="115"/>
    </row>
    <row r="552" spans="2:12" ht="12" customHeight="1">
      <c r="B552" s="221">
        <v>476</v>
      </c>
      <c r="C552" s="26">
        <v>46134</v>
      </c>
      <c r="D552" s="157">
        <v>46129</v>
      </c>
      <c r="E552" s="24" t="s">
        <v>584</v>
      </c>
      <c r="G552" s="140" t="s">
        <v>853</v>
      </c>
      <c r="H552" s="138">
        <v>3800000</v>
      </c>
      <c r="I552" s="114"/>
      <c r="J552" s="115"/>
      <c r="K552" s="115"/>
      <c r="L552" s="115"/>
    </row>
    <row r="553" spans="2:12" ht="12" customHeight="1">
      <c r="B553" s="221">
        <v>477</v>
      </c>
      <c r="C553" s="26">
        <v>46135</v>
      </c>
      <c r="D553" s="157">
        <v>46135</v>
      </c>
      <c r="E553" s="24" t="s">
        <v>854</v>
      </c>
      <c r="G553" s="140" t="s">
        <v>855</v>
      </c>
      <c r="H553" s="138">
        <v>111350</v>
      </c>
      <c r="I553" s="114"/>
      <c r="J553" s="115"/>
      <c r="K553" s="115"/>
      <c r="L553" s="115"/>
    </row>
    <row r="554" spans="2:12" ht="12" customHeight="1">
      <c r="B554" s="221">
        <v>478</v>
      </c>
      <c r="C554" s="26">
        <v>46135</v>
      </c>
      <c r="D554" s="157">
        <v>46132</v>
      </c>
      <c r="E554" s="24" t="s">
        <v>856</v>
      </c>
      <c r="G554" s="140" t="s">
        <v>857</v>
      </c>
      <c r="H554" s="138">
        <v>481721</v>
      </c>
      <c r="I554" s="114"/>
      <c r="J554" s="115"/>
      <c r="K554" s="115"/>
      <c r="L554" s="115"/>
    </row>
    <row r="555" spans="2:12" ht="12" customHeight="1">
      <c r="B555" s="221">
        <v>479</v>
      </c>
      <c r="C555" s="26">
        <v>46136</v>
      </c>
      <c r="D555" s="157">
        <v>46135</v>
      </c>
      <c r="E555" s="24" t="s">
        <v>858</v>
      </c>
      <c r="G555" s="140" t="s">
        <v>859</v>
      </c>
      <c r="H555" s="138">
        <v>272448</v>
      </c>
      <c r="I555" s="114"/>
      <c r="J555" s="115"/>
      <c r="K555" s="115"/>
      <c r="L555" s="115"/>
    </row>
    <row r="556" spans="2:12" ht="12" customHeight="1">
      <c r="B556" s="221">
        <v>480</v>
      </c>
      <c r="C556" s="26">
        <v>46136</v>
      </c>
      <c r="D556" s="157">
        <v>46135</v>
      </c>
      <c r="E556" s="24" t="s">
        <v>860</v>
      </c>
      <c r="G556" s="140" t="s">
        <v>861</v>
      </c>
      <c r="H556" s="138">
        <v>3342128</v>
      </c>
      <c r="I556" s="114"/>
      <c r="J556" s="115"/>
      <c r="K556" s="115"/>
      <c r="L556" s="115"/>
    </row>
    <row r="557" spans="2:12" ht="12" customHeight="1">
      <c r="B557" s="221">
        <v>481</v>
      </c>
      <c r="C557" s="26">
        <v>46137</v>
      </c>
      <c r="D557" s="157">
        <v>46137</v>
      </c>
      <c r="E557" s="24" t="s">
        <v>862</v>
      </c>
      <c r="G557" s="140" t="s">
        <v>863</v>
      </c>
      <c r="H557" s="138">
        <v>264880</v>
      </c>
      <c r="I557" s="114"/>
      <c r="J557" s="115"/>
      <c r="K557" s="115"/>
      <c r="L557" s="115"/>
    </row>
    <row r="558" spans="2:12" ht="12" customHeight="1">
      <c r="B558" s="221">
        <v>482</v>
      </c>
      <c r="C558" s="26">
        <v>46139</v>
      </c>
      <c r="D558" s="157">
        <v>46139</v>
      </c>
      <c r="E558" s="24" t="s">
        <v>582</v>
      </c>
      <c r="G558" s="140" t="s">
        <v>864</v>
      </c>
      <c r="H558" s="138">
        <v>120000</v>
      </c>
      <c r="I558" s="114"/>
      <c r="J558" s="115"/>
      <c r="K558" s="115"/>
      <c r="L558" s="115"/>
    </row>
    <row r="559" spans="2:12" ht="12" customHeight="1">
      <c r="B559" s="221">
        <v>483</v>
      </c>
      <c r="C559" s="26">
        <v>46139</v>
      </c>
      <c r="D559" s="157">
        <v>46139</v>
      </c>
      <c r="E559" s="24" t="s">
        <v>865</v>
      </c>
      <c r="G559" s="140" t="s">
        <v>866</v>
      </c>
      <c r="H559" s="138">
        <v>180000</v>
      </c>
      <c r="I559" s="114"/>
      <c r="J559" s="115"/>
      <c r="K559" s="115"/>
      <c r="L559" s="115"/>
    </row>
    <row r="560" spans="2:12" ht="12" customHeight="1">
      <c r="B560" s="221">
        <v>484</v>
      </c>
      <c r="C560" s="26">
        <v>46139</v>
      </c>
      <c r="D560" s="157">
        <v>46139</v>
      </c>
      <c r="E560" s="24" t="s">
        <v>867</v>
      </c>
      <c r="G560" s="140" t="s">
        <v>868</v>
      </c>
      <c r="H560" s="138">
        <v>244695</v>
      </c>
      <c r="I560" s="114"/>
      <c r="J560" s="115"/>
      <c r="K560" s="115"/>
      <c r="L560" s="115"/>
    </row>
    <row r="561" spans="2:12" ht="12" customHeight="1">
      <c r="B561" s="221">
        <v>485</v>
      </c>
      <c r="C561" s="26">
        <v>46139</v>
      </c>
      <c r="D561" s="157">
        <v>46139</v>
      </c>
      <c r="E561" s="24" t="s">
        <v>869</v>
      </c>
      <c r="G561" s="140" t="s">
        <v>870</v>
      </c>
      <c r="H561" s="138">
        <v>396422</v>
      </c>
      <c r="I561" s="114"/>
      <c r="J561" s="115"/>
      <c r="K561" s="115"/>
      <c r="L561" s="115"/>
    </row>
    <row r="562" spans="2:12" ht="12" customHeight="1">
      <c r="B562" s="221">
        <v>486</v>
      </c>
      <c r="C562" s="26">
        <v>46139</v>
      </c>
      <c r="D562" s="157">
        <v>46137</v>
      </c>
      <c r="E562" s="24" t="s">
        <v>349</v>
      </c>
      <c r="G562" s="140" t="s">
        <v>871</v>
      </c>
      <c r="H562" s="138">
        <v>1891400</v>
      </c>
      <c r="I562" s="114"/>
      <c r="J562" s="115"/>
      <c r="K562" s="115"/>
      <c r="L562" s="115"/>
    </row>
    <row r="563" spans="2:12" ht="12" customHeight="1">
      <c r="B563" s="221">
        <v>487</v>
      </c>
      <c r="C563" s="26">
        <v>46140</v>
      </c>
      <c r="D563" s="157">
        <v>46140</v>
      </c>
      <c r="E563" s="24" t="s">
        <v>872</v>
      </c>
      <c r="G563" s="140" t="s">
        <v>873</v>
      </c>
      <c r="H563" s="138">
        <v>130000</v>
      </c>
      <c r="I563" s="114"/>
      <c r="J563" s="115"/>
      <c r="K563" s="115"/>
      <c r="L563" s="115"/>
    </row>
    <row r="564" spans="2:12" ht="12" customHeight="1">
      <c r="B564" s="221">
        <v>488</v>
      </c>
      <c r="C564" s="26">
        <v>46140</v>
      </c>
      <c r="D564" s="157">
        <v>46139</v>
      </c>
      <c r="E564" s="24" t="s">
        <v>865</v>
      </c>
      <c r="G564" s="140" t="s">
        <v>874</v>
      </c>
      <c r="H564" s="138">
        <v>338000</v>
      </c>
      <c r="I564" s="114"/>
      <c r="J564" s="115"/>
      <c r="K564" s="115"/>
      <c r="L564" s="115"/>
    </row>
    <row r="565" spans="2:12" ht="12" customHeight="1">
      <c r="B565" s="221">
        <v>489</v>
      </c>
      <c r="C565" s="26">
        <v>46140</v>
      </c>
      <c r="D565" s="157">
        <v>46137</v>
      </c>
      <c r="E565" s="24" t="s">
        <v>875</v>
      </c>
      <c r="G565" s="140" t="s">
        <v>876</v>
      </c>
      <c r="H565" s="138">
        <v>2877243</v>
      </c>
      <c r="I565" s="114"/>
      <c r="J565" s="115"/>
      <c r="K565" s="115"/>
      <c r="L565" s="115"/>
    </row>
    <row r="566" spans="2:12" ht="12" customHeight="1">
      <c r="B566" s="221">
        <v>490</v>
      </c>
      <c r="C566" s="26">
        <v>46141</v>
      </c>
      <c r="D566" s="157">
        <v>46141</v>
      </c>
      <c r="E566" s="24" t="s">
        <v>877</v>
      </c>
      <c r="G566" s="140" t="s">
        <v>878</v>
      </c>
      <c r="H566" s="138">
        <v>25600</v>
      </c>
      <c r="I566" s="115"/>
      <c r="J566" s="115"/>
      <c r="K566" s="115"/>
      <c r="L566" s="115"/>
    </row>
    <row r="567" spans="2:12" ht="12" customHeight="1">
      <c r="B567" s="221">
        <v>491</v>
      </c>
      <c r="C567" s="26">
        <v>46141</v>
      </c>
      <c r="D567" s="157">
        <v>46105</v>
      </c>
      <c r="E567" s="24" t="s">
        <v>94</v>
      </c>
      <c r="G567" s="140" t="s">
        <v>879</v>
      </c>
      <c r="H567" s="138">
        <v>150000</v>
      </c>
      <c r="I567" s="114"/>
      <c r="J567" s="115"/>
      <c r="K567" s="115"/>
      <c r="L567" s="115"/>
    </row>
    <row r="568" spans="2:12" ht="12" customHeight="1">
      <c r="B568" s="221">
        <v>492</v>
      </c>
      <c r="C568" s="26">
        <v>46141</v>
      </c>
      <c r="D568" s="157">
        <v>46139</v>
      </c>
      <c r="E568" s="24" t="s">
        <v>880</v>
      </c>
      <c r="G568" s="140" t="s">
        <v>881</v>
      </c>
      <c r="H568" s="138">
        <v>930000</v>
      </c>
      <c r="I568" s="114"/>
      <c r="J568" s="115"/>
      <c r="K568" s="115"/>
      <c r="L568" s="115"/>
    </row>
    <row r="569" spans="2:12" ht="12" customHeight="1">
      <c r="B569" s="221">
        <v>493</v>
      </c>
      <c r="C569" s="26">
        <v>46141</v>
      </c>
      <c r="D569" s="157">
        <v>46140</v>
      </c>
      <c r="E569" s="24" t="s">
        <v>882</v>
      </c>
      <c r="G569" s="140" t="s">
        <v>883</v>
      </c>
      <c r="H569" s="138">
        <v>1377420</v>
      </c>
      <c r="I569" s="114"/>
      <c r="J569" s="115"/>
      <c r="K569" s="115"/>
      <c r="L569" s="115"/>
    </row>
    <row r="570" spans="2:12" ht="12" customHeight="1">
      <c r="B570" s="221">
        <v>494</v>
      </c>
      <c r="C570" s="26">
        <v>46142</v>
      </c>
      <c r="D570" s="157">
        <v>46142</v>
      </c>
      <c r="E570" s="24" t="s">
        <v>884</v>
      </c>
      <c r="G570" s="140" t="s">
        <v>885</v>
      </c>
      <c r="H570" s="138">
        <v>22000</v>
      </c>
      <c r="I570" s="114"/>
      <c r="J570" s="115"/>
      <c r="K570" s="115"/>
      <c r="L570" s="115"/>
    </row>
    <row r="571" spans="2:12" ht="12" customHeight="1">
      <c r="B571" s="221">
        <v>495</v>
      </c>
      <c r="C571" s="26">
        <v>46142</v>
      </c>
      <c r="D571" s="157">
        <v>46142</v>
      </c>
      <c r="E571" s="24" t="s">
        <v>886</v>
      </c>
      <c r="G571" s="140" t="s">
        <v>887</v>
      </c>
      <c r="H571" s="138">
        <v>109325</v>
      </c>
      <c r="I571" s="114"/>
      <c r="J571" s="115"/>
      <c r="K571" s="115"/>
      <c r="L571" s="115"/>
    </row>
    <row r="572" spans="2:12" ht="12" customHeight="1">
      <c r="B572" s="221">
        <v>496</v>
      </c>
      <c r="C572" s="26">
        <v>46142</v>
      </c>
      <c r="D572" s="157">
        <v>46142</v>
      </c>
      <c r="E572" s="35" t="s">
        <v>888</v>
      </c>
      <c r="G572" s="96" t="s">
        <v>889</v>
      </c>
      <c r="H572" s="138">
        <v>649000</v>
      </c>
      <c r="I572" s="114"/>
      <c r="J572" s="115"/>
      <c r="K572" s="115"/>
      <c r="L572" s="115"/>
    </row>
    <row r="573" spans="2:12" ht="12" customHeight="1">
      <c r="B573" s="221">
        <v>497</v>
      </c>
      <c r="C573" s="26">
        <v>46142</v>
      </c>
      <c r="D573" s="157">
        <v>46134</v>
      </c>
      <c r="E573" s="24" t="s">
        <v>890</v>
      </c>
      <c r="G573" s="140" t="s">
        <v>891</v>
      </c>
      <c r="H573" s="138">
        <v>891000</v>
      </c>
      <c r="I573" s="114"/>
      <c r="J573" s="115"/>
      <c r="K573" s="115"/>
      <c r="L573" s="115"/>
    </row>
    <row r="574" spans="2:12" ht="12" customHeight="1">
      <c r="B574" s="221">
        <v>498</v>
      </c>
      <c r="C574" s="26">
        <v>46142</v>
      </c>
      <c r="D574" s="157">
        <v>46139</v>
      </c>
      <c r="E574" s="24" t="s">
        <v>892</v>
      </c>
      <c r="G574" s="140" t="s">
        <v>893</v>
      </c>
      <c r="H574" s="138">
        <v>8712800</v>
      </c>
      <c r="I574" s="114"/>
      <c r="J574" s="115"/>
      <c r="K574" s="115"/>
      <c r="L574" s="115"/>
    </row>
    <row r="575" spans="2:12" ht="12" customHeight="1">
      <c r="B575" s="221">
        <v>541</v>
      </c>
      <c r="C575" s="26"/>
      <c r="D575" s="157"/>
      <c r="E575" s="24"/>
      <c r="G575" s="140"/>
      <c r="H575" s="138"/>
      <c r="I575" s="114"/>
      <c r="J575" s="115"/>
      <c r="K575" s="115"/>
      <c r="L575" s="223"/>
    </row>
    <row r="576" spans="2:12" ht="12" customHeight="1">
      <c r="B576" s="221">
        <v>542</v>
      </c>
      <c r="C576" s="26"/>
      <c r="D576" s="157"/>
      <c r="E576" s="24"/>
      <c r="G576" s="140"/>
      <c r="H576" s="138"/>
      <c r="I576" s="114"/>
      <c r="J576" s="115"/>
      <c r="K576" s="115"/>
      <c r="L576" s="223"/>
    </row>
    <row r="577" spans="2:12" ht="12" customHeight="1">
      <c r="B577" s="221">
        <v>543</v>
      </c>
      <c r="C577" s="26"/>
      <c r="D577" s="157"/>
      <c r="E577" s="24"/>
      <c r="G577" s="140"/>
      <c r="H577" s="138"/>
      <c r="I577" s="114"/>
      <c r="J577" s="115"/>
      <c r="K577" s="115"/>
      <c r="L577" s="223"/>
    </row>
    <row r="578" spans="2:12" ht="12" customHeight="1">
      <c r="B578" s="221"/>
      <c r="C578" s="26"/>
      <c r="D578" s="26"/>
      <c r="H578" s="139"/>
      <c r="I578" s="181"/>
      <c r="J578" s="115"/>
      <c r="K578" s="115"/>
      <c r="L578" s="225"/>
    </row>
    <row r="579" spans="2:12" s="3" customFormat="1" ht="12" customHeight="1" thickBot="1">
      <c r="B579" s="219"/>
      <c r="C579" s="18" t="s">
        <v>18</v>
      </c>
      <c r="D579" s="18"/>
      <c r="E579" s="29"/>
      <c r="F579" s="29"/>
      <c r="G579" s="141"/>
      <c r="H579" s="126">
        <f>+H11-H12-H16-H480+H489+H498</f>
        <v>-130.61999997496605</v>
      </c>
      <c r="I579" s="127"/>
      <c r="J579" s="128"/>
      <c r="K579" s="129"/>
      <c r="L579" s="218"/>
    </row>
    <row r="580" spans="2:12" ht="12" customHeight="1" thickTop="1">
      <c r="B580" s="217"/>
      <c r="H580" s="155"/>
      <c r="I580" s="241"/>
      <c r="L580" s="218"/>
    </row>
    <row r="581" spans="2:12" ht="12" customHeight="1">
      <c r="B581" s="217"/>
      <c r="H581" s="155"/>
      <c r="L581" s="218"/>
    </row>
    <row r="582" spans="2:12" ht="12" customHeight="1">
      <c r="B582" s="217"/>
      <c r="D582" s="35" t="s">
        <v>95</v>
      </c>
      <c r="H582" s="155"/>
      <c r="L582" s="218"/>
    </row>
    <row r="583" spans="2:12" ht="12" customHeight="1">
      <c r="B583" s="217"/>
      <c r="H583" s="155"/>
      <c r="L583" s="218"/>
    </row>
    <row r="584" spans="2:12" ht="12" customHeight="1">
      <c r="B584" s="217"/>
      <c r="H584" s="155"/>
      <c r="L584" s="218"/>
    </row>
    <row r="585" spans="2:12" ht="12" customHeight="1">
      <c r="B585" s="217"/>
      <c r="E585" s="30"/>
      <c r="F585" s="31"/>
      <c r="H585" s="155"/>
      <c r="L585" s="218"/>
    </row>
    <row r="586" spans="2:12" ht="12" customHeight="1">
      <c r="B586" s="217"/>
      <c r="H586" s="155"/>
      <c r="L586" s="218"/>
    </row>
    <row r="587" spans="2:12" ht="12" customHeight="1">
      <c r="B587" s="217"/>
      <c r="E587" s="30"/>
      <c r="F587" s="31"/>
      <c r="H587" s="155"/>
      <c r="L587" s="218"/>
    </row>
    <row r="588" spans="2:12" ht="12" customHeight="1">
      <c r="B588" s="217"/>
      <c r="D588" s="30" t="s">
        <v>19</v>
      </c>
      <c r="E588" s="31" t="s">
        <v>96</v>
      </c>
      <c r="F588" s="31"/>
      <c r="G588" s="258" t="s">
        <v>21</v>
      </c>
      <c r="H588" s="258"/>
      <c r="L588" s="218"/>
    </row>
    <row r="589" spans="2:12" ht="12" customHeight="1" thickBot="1">
      <c r="B589" s="226"/>
      <c r="C589" s="227"/>
      <c r="D589" s="227"/>
      <c r="E589" s="227"/>
      <c r="F589" s="227"/>
      <c r="G589" s="228"/>
      <c r="H589" s="229"/>
      <c r="I589" s="230"/>
      <c r="J589" s="231"/>
      <c r="K589" s="231"/>
      <c r="L589" s="232"/>
    </row>
    <row r="592" spans="2:12" ht="12" customHeight="1">
      <c r="B592" s="149"/>
      <c r="C592" s="31" t="s">
        <v>22</v>
      </c>
      <c r="D592" s="31"/>
    </row>
    <row r="593" spans="2:4" ht="12" customHeight="1">
      <c r="C593" s="31"/>
      <c r="D593" s="31"/>
    </row>
    <row r="594" spans="2:4" ht="12" customHeight="1">
      <c r="B594" s="150"/>
      <c r="C594" s="31" t="s">
        <v>23</v>
      </c>
      <c r="D594" s="31"/>
    </row>
    <row r="596" spans="2:4" ht="12" customHeight="1">
      <c r="B596" s="151"/>
      <c r="C596" s="152" t="s">
        <v>24</v>
      </c>
      <c r="D596" s="152"/>
    </row>
    <row r="598" spans="2:4" ht="12" customHeight="1">
      <c r="B598" s="38"/>
      <c r="C598" s="17" t="s">
        <v>25</v>
      </c>
    </row>
  </sheetData>
  <protectedRanges>
    <protectedRange sqref="E492" name="Rango1_3_1"/>
  </protectedRanges>
  <autoFilter ref="A18:P577" xr:uid="{F9E973B1-8196-424E-AECC-E2E2C2B1D11F}"/>
  <mergeCells count="12">
    <mergeCell ref="G588:H588"/>
    <mergeCell ref="C3:D3"/>
    <mergeCell ref="G3:H3"/>
    <mergeCell ref="M3:P3"/>
    <mergeCell ref="C4:D4"/>
    <mergeCell ref="G4:H4"/>
    <mergeCell ref="M4:P4"/>
    <mergeCell ref="C6:H6"/>
    <mergeCell ref="M6:P6"/>
    <mergeCell ref="C7:H7"/>
    <mergeCell ref="M7:P7"/>
    <mergeCell ref="L492:L493"/>
  </mergeCells>
  <printOptions horizontalCentered="1"/>
  <pageMargins left="0.70866141732283461" right="0.70866141732283461" top="0.23622047244094488" bottom="0.23622047244094488" header="0.31496062992125984" footer="0.31496062992125984"/>
  <pageSetup scale="2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62541-4165-4774-891D-510B2B228E3A}">
  <dimension ref="A2:R105"/>
  <sheetViews>
    <sheetView showGridLines="0" zoomScale="90" zoomScaleNormal="90" zoomScaleSheetLayoutView="70" workbookViewId="0">
      <pane ySplit="9" topLeftCell="A10" activePane="bottomLeft" state="frozen"/>
      <selection activeCell="E10" sqref="E10"/>
      <selection pane="bottomLeft" activeCell="H1" sqref="H1:H1048576"/>
    </sheetView>
  </sheetViews>
  <sheetFormatPr baseColWidth="10" defaultColWidth="10.85546875" defaultRowHeight="12" outlineLevelCol="1"/>
  <cols>
    <col min="1" max="1" width="3.140625" style="3" customWidth="1"/>
    <col min="2" max="2" width="6.5703125" style="3" customWidth="1"/>
    <col min="3" max="3" width="15.5703125" style="3" customWidth="1"/>
    <col min="4" max="4" width="14.5703125" style="3" customWidth="1"/>
    <col min="5" max="5" width="36" style="3" customWidth="1"/>
    <col min="6" max="6" width="15.140625" style="3" customWidth="1"/>
    <col min="7" max="7" width="18.5703125" style="3" customWidth="1"/>
    <col min="8" max="8" width="17.85546875" style="86" bestFit="1" customWidth="1"/>
    <col min="9" max="9" width="36.28515625" style="3" hidden="1" customWidth="1" outlineLevel="1"/>
    <col min="10" max="10" width="74.7109375" style="3" hidden="1" customWidth="1" outlineLevel="1"/>
    <col min="11" max="11" width="14.85546875" style="3" hidden="1" customWidth="1" outlineLevel="1"/>
    <col min="12" max="12" width="53.5703125" style="35" customWidth="1" collapsed="1"/>
    <col min="13" max="13" width="45.140625" style="3" bestFit="1" customWidth="1"/>
    <col min="14" max="14" width="14" style="3" bestFit="1" customWidth="1"/>
    <col min="15" max="16384" width="10.85546875" style="3"/>
  </cols>
  <sheetData>
    <row r="2" spans="2:18">
      <c r="B2" s="1"/>
      <c r="C2" s="2"/>
      <c r="D2" s="2"/>
      <c r="E2" s="2"/>
      <c r="F2" s="2"/>
      <c r="G2" s="2"/>
      <c r="H2" s="81"/>
      <c r="I2" s="2"/>
      <c r="J2" s="2"/>
      <c r="K2" s="2"/>
      <c r="L2" s="82"/>
    </row>
    <row r="3" spans="2:18">
      <c r="B3" s="4"/>
      <c r="C3" s="260" t="s">
        <v>0</v>
      </c>
      <c r="D3" s="260"/>
      <c r="E3" s="6"/>
      <c r="F3" s="260" t="s">
        <v>1</v>
      </c>
      <c r="G3" s="260"/>
      <c r="H3" s="260"/>
      <c r="I3" s="5"/>
      <c r="J3" s="5"/>
      <c r="K3" s="5"/>
      <c r="L3" s="8"/>
      <c r="N3" s="257"/>
      <c r="O3" s="257"/>
      <c r="P3" s="257"/>
      <c r="Q3" s="257"/>
      <c r="R3" s="257"/>
    </row>
    <row r="4" spans="2:18">
      <c r="B4" s="4"/>
      <c r="C4" s="257" t="s">
        <v>2</v>
      </c>
      <c r="D4" s="257"/>
      <c r="E4" s="7"/>
      <c r="F4" s="257" t="s">
        <v>587</v>
      </c>
      <c r="G4" s="257"/>
      <c r="H4" s="257"/>
      <c r="I4" s="9"/>
      <c r="J4" s="9"/>
      <c r="K4" s="9"/>
      <c r="L4" s="8"/>
      <c r="N4" s="257"/>
      <c r="O4" s="257"/>
      <c r="P4" s="257"/>
      <c r="Q4" s="257"/>
      <c r="R4" s="257"/>
    </row>
    <row r="5" spans="2:18">
      <c r="B5" s="4"/>
      <c r="C5" s="9"/>
      <c r="D5" s="9"/>
      <c r="E5" s="9"/>
      <c r="F5" s="9"/>
      <c r="G5" s="9"/>
      <c r="H5" s="83"/>
      <c r="I5" s="9"/>
      <c r="J5" s="9"/>
      <c r="K5" s="9"/>
      <c r="L5" s="8"/>
      <c r="N5" s="9"/>
      <c r="O5" s="9"/>
      <c r="P5" s="9"/>
      <c r="Q5" s="9"/>
      <c r="R5" s="9"/>
    </row>
    <row r="6" spans="2:18">
      <c r="B6" s="10"/>
      <c r="C6" s="257" t="s">
        <v>37</v>
      </c>
      <c r="D6" s="257"/>
      <c r="E6" s="257"/>
      <c r="F6" s="257"/>
      <c r="G6" s="257"/>
      <c r="H6" s="257"/>
      <c r="I6" s="9"/>
      <c r="J6" s="9"/>
      <c r="K6" s="9"/>
      <c r="L6" s="8"/>
      <c r="M6" s="7"/>
      <c r="N6" s="258"/>
      <c r="O6" s="258"/>
      <c r="P6" s="258"/>
      <c r="Q6" s="258"/>
      <c r="R6" s="258"/>
    </row>
    <row r="7" spans="2:18">
      <c r="B7" s="10"/>
      <c r="C7" s="258" t="s">
        <v>38</v>
      </c>
      <c r="D7" s="258"/>
      <c r="E7" s="258"/>
      <c r="F7" s="258"/>
      <c r="G7" s="258"/>
      <c r="H7" s="258"/>
      <c r="I7" s="11"/>
      <c r="J7" s="11"/>
      <c r="K7" s="11"/>
      <c r="L7" s="12"/>
      <c r="N7" s="258"/>
      <c r="O7" s="258"/>
      <c r="P7" s="258"/>
      <c r="Q7" s="258"/>
      <c r="R7" s="258"/>
    </row>
    <row r="8" spans="2:18">
      <c r="B8" s="10"/>
      <c r="C8" s="11"/>
      <c r="D8" s="11"/>
      <c r="E8" s="11"/>
      <c r="F8" s="11"/>
      <c r="G8" s="11"/>
      <c r="H8" s="83"/>
      <c r="I8" s="11"/>
      <c r="J8" s="11"/>
      <c r="K8" s="11"/>
      <c r="L8" s="12"/>
      <c r="N8" s="11"/>
      <c r="O8" s="11"/>
      <c r="P8" s="11"/>
      <c r="Q8" s="11"/>
      <c r="R8" s="11"/>
    </row>
    <row r="9" spans="2:18" s="85" customFormat="1">
      <c r="B9" s="13" t="s">
        <v>3</v>
      </c>
      <c r="C9" s="14" t="s">
        <v>4</v>
      </c>
      <c r="D9" s="14" t="s">
        <v>5</v>
      </c>
      <c r="E9" s="14" t="s">
        <v>6</v>
      </c>
      <c r="F9" s="14" t="s">
        <v>7</v>
      </c>
      <c r="G9" s="14" t="s">
        <v>8</v>
      </c>
      <c r="H9" s="84" t="s">
        <v>9</v>
      </c>
      <c r="I9" s="14" t="s">
        <v>39</v>
      </c>
      <c r="J9" s="14" t="s">
        <v>40</v>
      </c>
      <c r="K9" s="14" t="s">
        <v>41</v>
      </c>
      <c r="L9" s="15" t="s">
        <v>10</v>
      </c>
    </row>
    <row r="10" spans="2:18">
      <c r="B10" s="16"/>
      <c r="L10" s="87"/>
    </row>
    <row r="11" spans="2:18">
      <c r="B11" s="16"/>
      <c r="C11" s="17" t="s">
        <v>11</v>
      </c>
      <c r="D11" s="17"/>
      <c r="H11" s="165">
        <v>176134453.44999999</v>
      </c>
      <c r="I11" s="88"/>
      <c r="J11" s="88"/>
      <c r="K11" s="88"/>
      <c r="L11" s="87"/>
    </row>
    <row r="12" spans="2:18">
      <c r="B12" s="16"/>
      <c r="C12" s="17" t="s">
        <v>12</v>
      </c>
      <c r="D12" s="17"/>
      <c r="H12" s="165">
        <v>108427890.09</v>
      </c>
      <c r="I12" s="88"/>
      <c r="J12" s="88"/>
      <c r="K12" s="88"/>
      <c r="L12" s="89"/>
    </row>
    <row r="13" spans="2:18" ht="12.75" thickBot="1">
      <c r="B13" s="16"/>
      <c r="C13" s="18" t="s">
        <v>13</v>
      </c>
      <c r="D13" s="18"/>
      <c r="E13" s="19"/>
      <c r="F13" s="19"/>
      <c r="G13" s="19"/>
      <c r="H13" s="90">
        <f>+H11-H12</f>
        <v>67706563.359999985</v>
      </c>
      <c r="I13" s="160"/>
      <c r="J13" s="160"/>
      <c r="K13" s="160"/>
      <c r="L13" s="87"/>
    </row>
    <row r="14" spans="2:18" ht="12.75" thickTop="1">
      <c r="B14" s="16"/>
      <c r="L14" s="87"/>
    </row>
    <row r="15" spans="2:18">
      <c r="B15" s="16"/>
      <c r="L15" s="87"/>
    </row>
    <row r="16" spans="2:18" ht="12.75" thickBot="1">
      <c r="B16" s="20"/>
      <c r="C16" s="17" t="s">
        <v>14</v>
      </c>
      <c r="D16" s="17"/>
      <c r="H16" s="21">
        <f>SUM(H19:H63)</f>
        <v>69603316</v>
      </c>
      <c r="I16" s="17"/>
      <c r="J16" s="17"/>
      <c r="K16" s="17"/>
      <c r="L16" s="87"/>
    </row>
    <row r="17" spans="2:12" ht="12.75" thickTop="1">
      <c r="B17" s="20"/>
      <c r="C17" s="17"/>
      <c r="D17" s="17"/>
      <c r="L17" s="87"/>
    </row>
    <row r="18" spans="2:12" s="91" customFormat="1">
      <c r="B18" s="13" t="s">
        <v>3</v>
      </c>
      <c r="C18" s="14" t="s">
        <v>4</v>
      </c>
      <c r="D18" s="14" t="s">
        <v>5</v>
      </c>
      <c r="E18" s="14" t="s">
        <v>6</v>
      </c>
      <c r="F18" s="14" t="s">
        <v>7</v>
      </c>
      <c r="G18" s="14" t="s">
        <v>8</v>
      </c>
      <c r="H18" s="84" t="s">
        <v>9</v>
      </c>
      <c r="I18" s="14" t="s">
        <v>39</v>
      </c>
      <c r="J18" s="14" t="s">
        <v>40</v>
      </c>
      <c r="K18" s="14" t="s">
        <v>41</v>
      </c>
      <c r="L18" s="15" t="s">
        <v>10</v>
      </c>
    </row>
    <row r="19" spans="2:12">
      <c r="B19" s="22">
        <v>1</v>
      </c>
      <c r="C19" s="23">
        <v>45840</v>
      </c>
      <c r="D19" s="23">
        <v>45840</v>
      </c>
      <c r="E19" s="3" t="s">
        <v>125</v>
      </c>
      <c r="F19" s="3">
        <v>164536</v>
      </c>
      <c r="H19" s="92">
        <v>249660</v>
      </c>
      <c r="I19" s="3" t="s">
        <v>224</v>
      </c>
      <c r="J19" s="182"/>
      <c r="K19" s="3" t="s">
        <v>350</v>
      </c>
      <c r="L19" s="163" t="s">
        <v>488</v>
      </c>
    </row>
    <row r="20" spans="2:12">
      <c r="B20" s="22">
        <v>2</v>
      </c>
      <c r="C20" s="23">
        <v>45938</v>
      </c>
      <c r="D20" s="23">
        <v>45938</v>
      </c>
      <c r="E20" s="24" t="s">
        <v>194</v>
      </c>
      <c r="H20" s="197">
        <v>531000</v>
      </c>
      <c r="I20" s="35" t="s">
        <v>225</v>
      </c>
      <c r="J20" s="35" t="s">
        <v>225</v>
      </c>
      <c r="K20" s="3" t="s">
        <v>83</v>
      </c>
      <c r="L20" s="163" t="s">
        <v>488</v>
      </c>
    </row>
    <row r="21" spans="2:12">
      <c r="B21" s="22">
        <v>3</v>
      </c>
      <c r="C21" s="23">
        <v>45976</v>
      </c>
      <c r="D21" s="23">
        <v>45975</v>
      </c>
      <c r="E21" s="3" t="s">
        <v>182</v>
      </c>
      <c r="F21" s="3" t="s">
        <v>226</v>
      </c>
      <c r="H21" s="197">
        <v>19000</v>
      </c>
      <c r="I21" s="115" t="s">
        <v>351</v>
      </c>
      <c r="L21" s="163" t="s">
        <v>397</v>
      </c>
    </row>
    <row r="22" spans="2:12" ht="14.1" customHeight="1">
      <c r="B22" s="22">
        <v>4</v>
      </c>
      <c r="C22" s="23">
        <v>46035</v>
      </c>
      <c r="D22" s="23">
        <v>46035</v>
      </c>
      <c r="E22" s="3" t="s">
        <v>352</v>
      </c>
      <c r="H22" s="197">
        <v>83387</v>
      </c>
      <c r="I22" s="87" t="s">
        <v>482</v>
      </c>
      <c r="J22" s="45" t="s">
        <v>483</v>
      </c>
      <c r="L22" s="87" t="s">
        <v>484</v>
      </c>
    </row>
    <row r="23" spans="2:12">
      <c r="B23" s="22">
        <v>5</v>
      </c>
      <c r="C23" s="23">
        <v>46038</v>
      </c>
      <c r="D23" s="23">
        <v>46038</v>
      </c>
      <c r="E23" s="3" t="s">
        <v>353</v>
      </c>
      <c r="H23" s="197">
        <v>1000</v>
      </c>
      <c r="I23" s="35" t="s">
        <v>485</v>
      </c>
      <c r="J23" s="3" t="s">
        <v>486</v>
      </c>
      <c r="K23" s="3" t="s">
        <v>83</v>
      </c>
      <c r="L23" s="163" t="s">
        <v>488</v>
      </c>
    </row>
    <row r="24" spans="2:12" ht="11.45" customHeight="1">
      <c r="B24" s="22">
        <v>6</v>
      </c>
      <c r="C24" s="23">
        <v>46052</v>
      </c>
      <c r="D24" s="23">
        <v>46052</v>
      </c>
      <c r="E24" s="24" t="s">
        <v>354</v>
      </c>
      <c r="H24" s="197">
        <v>1852150</v>
      </c>
      <c r="I24" s="35" t="s">
        <v>354</v>
      </c>
      <c r="L24" s="163" t="s">
        <v>397</v>
      </c>
    </row>
    <row r="25" spans="2:12">
      <c r="B25" s="22">
        <v>7</v>
      </c>
      <c r="C25" s="23">
        <v>46111</v>
      </c>
      <c r="D25" s="23">
        <v>46111</v>
      </c>
      <c r="E25" s="24" t="s">
        <v>489</v>
      </c>
      <c r="H25" s="245">
        <v>58364</v>
      </c>
      <c r="I25" s="87" t="s">
        <v>337</v>
      </c>
      <c r="L25" s="162" t="s">
        <v>338</v>
      </c>
    </row>
    <row r="26" spans="2:12">
      <c r="B26" s="22">
        <v>8</v>
      </c>
      <c r="C26" s="23">
        <v>46111</v>
      </c>
      <c r="D26" s="23">
        <v>46111</v>
      </c>
      <c r="E26" s="3" t="s">
        <v>490</v>
      </c>
      <c r="H26" s="246">
        <v>16800151</v>
      </c>
      <c r="I26" s="87" t="s">
        <v>894</v>
      </c>
      <c r="L26" s="87" t="s">
        <v>895</v>
      </c>
    </row>
    <row r="27" spans="2:12">
      <c r="B27" s="22">
        <v>9</v>
      </c>
      <c r="C27" s="23">
        <v>46113</v>
      </c>
      <c r="D27" s="23">
        <v>46113</v>
      </c>
      <c r="E27" s="24" t="s">
        <v>354</v>
      </c>
      <c r="H27" s="72">
        <v>935341</v>
      </c>
      <c r="I27" s="87"/>
      <c r="L27" s="162"/>
    </row>
    <row r="28" spans="2:12">
      <c r="B28" s="22">
        <v>10</v>
      </c>
      <c r="C28" s="157">
        <v>46119</v>
      </c>
      <c r="D28" s="157">
        <v>46119</v>
      </c>
      <c r="E28" s="3" t="s">
        <v>896</v>
      </c>
      <c r="H28" s="177">
        <v>1700</v>
      </c>
      <c r="I28" s="87"/>
      <c r="L28" s="87"/>
    </row>
    <row r="29" spans="2:12">
      <c r="B29" s="22">
        <v>11</v>
      </c>
      <c r="C29" s="23">
        <v>46119</v>
      </c>
      <c r="D29" s="23">
        <v>46119</v>
      </c>
      <c r="E29" s="24" t="s">
        <v>897</v>
      </c>
      <c r="H29" s="58">
        <v>331649</v>
      </c>
      <c r="I29" s="87"/>
      <c r="L29" s="162"/>
    </row>
    <row r="30" spans="2:12">
      <c r="B30" s="22">
        <v>12</v>
      </c>
      <c r="C30" s="23">
        <v>46120</v>
      </c>
      <c r="D30" s="23">
        <v>46120</v>
      </c>
      <c r="E30" s="3" t="s">
        <v>490</v>
      </c>
      <c r="H30" s="72">
        <v>13900118</v>
      </c>
      <c r="I30" s="35"/>
      <c r="L30" s="87"/>
    </row>
    <row r="31" spans="2:12">
      <c r="B31" s="22">
        <v>13</v>
      </c>
      <c r="C31" s="157">
        <v>46121</v>
      </c>
      <c r="D31" s="157">
        <v>46121</v>
      </c>
      <c r="E31" s="3" t="s">
        <v>898</v>
      </c>
      <c r="H31" s="177">
        <v>161000</v>
      </c>
      <c r="I31" s="35"/>
      <c r="L31" s="87"/>
    </row>
    <row r="32" spans="2:12">
      <c r="B32" s="22">
        <v>14</v>
      </c>
      <c r="C32" s="23">
        <v>46121</v>
      </c>
      <c r="D32" s="23">
        <v>46121</v>
      </c>
      <c r="E32" s="3" t="s">
        <v>354</v>
      </c>
      <c r="H32" s="58">
        <v>479448</v>
      </c>
      <c r="I32" s="35"/>
      <c r="L32" s="87"/>
    </row>
    <row r="33" spans="2:12">
      <c r="B33" s="22">
        <v>15</v>
      </c>
      <c r="C33" s="23">
        <v>46122</v>
      </c>
      <c r="D33" s="23">
        <v>46122</v>
      </c>
      <c r="E33" s="24" t="s">
        <v>354</v>
      </c>
      <c r="H33" s="72">
        <v>3280000</v>
      </c>
      <c r="I33" s="35"/>
      <c r="L33" s="162"/>
    </row>
    <row r="34" spans="2:12">
      <c r="B34" s="22">
        <v>16</v>
      </c>
      <c r="C34" s="23">
        <v>46128</v>
      </c>
      <c r="D34" s="23">
        <v>46127</v>
      </c>
      <c r="E34" s="3" t="s">
        <v>125</v>
      </c>
      <c r="F34" s="3">
        <v>111738</v>
      </c>
      <c r="H34" s="72">
        <v>137500</v>
      </c>
      <c r="I34" s="35"/>
      <c r="L34" s="87"/>
    </row>
    <row r="35" spans="2:12">
      <c r="B35" s="22">
        <v>17</v>
      </c>
      <c r="C35" s="23">
        <v>46128</v>
      </c>
      <c r="D35" s="23">
        <v>46127</v>
      </c>
      <c r="E35" s="3" t="s">
        <v>181</v>
      </c>
      <c r="F35" s="3" t="s">
        <v>491</v>
      </c>
      <c r="H35" s="72">
        <v>212700</v>
      </c>
      <c r="I35" s="87"/>
      <c r="L35" s="87"/>
    </row>
    <row r="36" spans="2:12">
      <c r="B36" s="22">
        <v>18</v>
      </c>
      <c r="C36" s="23">
        <v>46128</v>
      </c>
      <c r="D36" s="23">
        <v>46128</v>
      </c>
      <c r="E36" s="24" t="s">
        <v>899</v>
      </c>
      <c r="H36" s="72">
        <v>1890000</v>
      </c>
      <c r="I36" s="87"/>
      <c r="L36" s="162"/>
    </row>
    <row r="37" spans="2:12">
      <c r="B37" s="22">
        <v>19</v>
      </c>
      <c r="C37" s="23">
        <v>46129</v>
      </c>
      <c r="D37" s="23">
        <v>46129</v>
      </c>
      <c r="E37" s="24" t="s">
        <v>900</v>
      </c>
      <c r="H37" s="72">
        <v>1184400</v>
      </c>
      <c r="I37" s="87"/>
      <c r="L37" s="162"/>
    </row>
    <row r="38" spans="2:12">
      <c r="B38" s="22">
        <v>20</v>
      </c>
      <c r="C38" s="23">
        <v>46132</v>
      </c>
      <c r="D38" s="23">
        <v>46132</v>
      </c>
      <c r="E38" s="24" t="s">
        <v>901</v>
      </c>
      <c r="H38" s="58">
        <v>58364</v>
      </c>
      <c r="I38" s="87"/>
      <c r="L38" s="162"/>
    </row>
    <row r="39" spans="2:12">
      <c r="B39" s="22">
        <v>21</v>
      </c>
      <c r="C39" s="23">
        <v>46132</v>
      </c>
      <c r="D39" s="23">
        <v>46132</v>
      </c>
      <c r="E39" s="24" t="s">
        <v>902</v>
      </c>
      <c r="H39" s="247">
        <v>481721</v>
      </c>
      <c r="I39" s="87"/>
      <c r="L39" s="162"/>
    </row>
    <row r="40" spans="2:12">
      <c r="B40" s="22">
        <v>22</v>
      </c>
      <c r="C40" s="23">
        <v>46133</v>
      </c>
      <c r="D40" s="23">
        <v>46133</v>
      </c>
      <c r="E40" s="24" t="s">
        <v>903</v>
      </c>
      <c r="H40" s="72">
        <v>763870</v>
      </c>
      <c r="I40" s="87"/>
      <c r="L40" s="162"/>
    </row>
    <row r="41" spans="2:12">
      <c r="B41" s="22">
        <v>23</v>
      </c>
      <c r="C41" s="23">
        <v>46135</v>
      </c>
      <c r="D41" s="23">
        <v>46135</v>
      </c>
      <c r="E41" s="24" t="s">
        <v>354</v>
      </c>
      <c r="H41" s="58">
        <v>272448</v>
      </c>
      <c r="I41" s="87"/>
      <c r="L41" s="163"/>
    </row>
    <row r="42" spans="2:12">
      <c r="B42" s="22">
        <v>24</v>
      </c>
      <c r="C42" s="23">
        <v>46136</v>
      </c>
      <c r="D42" s="23">
        <v>46135</v>
      </c>
      <c r="E42" s="3" t="s">
        <v>181</v>
      </c>
      <c r="F42" s="3" t="s">
        <v>904</v>
      </c>
      <c r="H42" s="72">
        <v>1500000</v>
      </c>
      <c r="I42" s="87"/>
      <c r="L42" s="87"/>
    </row>
    <row r="43" spans="2:12">
      <c r="B43" s="22">
        <v>25</v>
      </c>
      <c r="C43" s="157">
        <v>46139</v>
      </c>
      <c r="D43" s="157">
        <v>46139</v>
      </c>
      <c r="E43" s="3" t="s">
        <v>354</v>
      </c>
      <c r="H43" s="177">
        <v>264880</v>
      </c>
      <c r="I43" s="87"/>
      <c r="L43" s="87"/>
    </row>
    <row r="44" spans="2:12">
      <c r="B44" s="22">
        <v>26</v>
      </c>
      <c r="C44" s="23">
        <v>46139</v>
      </c>
      <c r="D44" s="23">
        <v>46139</v>
      </c>
      <c r="E44" s="24" t="s">
        <v>905</v>
      </c>
      <c r="H44" s="72">
        <v>1000000</v>
      </c>
      <c r="I44" s="87"/>
      <c r="L44" s="162"/>
    </row>
    <row r="45" spans="2:12">
      <c r="B45" s="22">
        <v>27</v>
      </c>
      <c r="C45" s="23">
        <v>46139</v>
      </c>
      <c r="D45" s="23">
        <v>46139</v>
      </c>
      <c r="E45" s="3" t="s">
        <v>906</v>
      </c>
      <c r="H45" s="72">
        <v>8712800</v>
      </c>
      <c r="I45" s="87"/>
      <c r="L45" s="87"/>
    </row>
    <row r="46" spans="2:12">
      <c r="B46" s="22">
        <v>28</v>
      </c>
      <c r="C46" s="23">
        <v>46140</v>
      </c>
      <c r="D46" s="23">
        <v>46140</v>
      </c>
      <c r="E46" s="24" t="s">
        <v>907</v>
      </c>
      <c r="H46" s="72">
        <v>1377420</v>
      </c>
      <c r="I46" s="87"/>
      <c r="L46" s="162"/>
    </row>
    <row r="47" spans="2:12">
      <c r="B47" s="22">
        <v>29</v>
      </c>
      <c r="C47" s="23">
        <v>46141</v>
      </c>
      <c r="D47" s="23">
        <v>46140</v>
      </c>
      <c r="E47" s="3" t="s">
        <v>181</v>
      </c>
      <c r="F47" s="3" t="s">
        <v>908</v>
      </c>
      <c r="H47" s="72">
        <v>148000</v>
      </c>
      <c r="I47" s="35"/>
      <c r="L47" s="87"/>
    </row>
    <row r="48" spans="2:12">
      <c r="B48" s="22">
        <v>30</v>
      </c>
      <c r="C48" s="23">
        <v>46141</v>
      </c>
      <c r="D48" s="23">
        <v>46141</v>
      </c>
      <c r="E48" s="24" t="s">
        <v>909</v>
      </c>
      <c r="H48" s="72">
        <v>1000000</v>
      </c>
      <c r="I48" s="35"/>
      <c r="L48" s="162"/>
    </row>
    <row r="49" spans="2:12">
      <c r="B49" s="22">
        <v>31</v>
      </c>
      <c r="C49" s="23">
        <v>46142</v>
      </c>
      <c r="D49" s="23">
        <v>46142</v>
      </c>
      <c r="E49" s="24" t="s">
        <v>910</v>
      </c>
      <c r="H49" s="72">
        <v>894600</v>
      </c>
      <c r="I49" s="35"/>
      <c r="L49" s="162"/>
    </row>
    <row r="50" spans="2:12">
      <c r="B50" s="22">
        <v>32</v>
      </c>
      <c r="C50" s="23">
        <v>46142</v>
      </c>
      <c r="D50" s="23">
        <v>46142</v>
      </c>
      <c r="E50" s="24" t="s">
        <v>911</v>
      </c>
      <c r="H50" s="72">
        <v>1750000</v>
      </c>
      <c r="I50" s="35"/>
      <c r="L50" s="162"/>
    </row>
    <row r="51" spans="2:12">
      <c r="B51" s="22">
        <v>33</v>
      </c>
      <c r="C51" s="23">
        <v>46142</v>
      </c>
      <c r="D51" s="23">
        <v>46142</v>
      </c>
      <c r="E51" s="24" t="s">
        <v>912</v>
      </c>
      <c r="H51" s="72">
        <v>1868627</v>
      </c>
      <c r="I51" s="35"/>
      <c r="L51" s="162"/>
    </row>
    <row r="52" spans="2:12">
      <c r="B52" s="22">
        <v>34</v>
      </c>
      <c r="C52" s="23">
        <v>46142</v>
      </c>
      <c r="D52" s="23">
        <v>46142</v>
      </c>
      <c r="E52" s="24" t="s">
        <v>907</v>
      </c>
      <c r="H52" s="72">
        <v>2407679</v>
      </c>
      <c r="I52" s="35"/>
      <c r="L52" s="162"/>
    </row>
    <row r="53" spans="2:12">
      <c r="B53" s="22">
        <v>35</v>
      </c>
      <c r="C53" s="23">
        <v>46142</v>
      </c>
      <c r="D53" s="23">
        <v>46142</v>
      </c>
      <c r="E53" s="3" t="s">
        <v>913</v>
      </c>
      <c r="H53" s="72">
        <v>4994339</v>
      </c>
      <c r="I53" s="35"/>
      <c r="L53" s="87"/>
    </row>
    <row r="54" spans="2:12">
      <c r="B54" s="22">
        <v>36</v>
      </c>
      <c r="C54" s="26"/>
      <c r="D54" s="26"/>
      <c r="E54" s="24"/>
      <c r="G54" s="24"/>
      <c r="H54" s="27"/>
      <c r="I54" s="96"/>
      <c r="L54" s="87"/>
    </row>
    <row r="55" spans="2:12">
      <c r="B55" s="22">
        <v>37</v>
      </c>
      <c r="C55" s="26"/>
      <c r="D55" s="26"/>
      <c r="E55" s="24"/>
      <c r="G55" s="24"/>
      <c r="H55" s="57"/>
      <c r="I55" s="96"/>
      <c r="L55" s="87"/>
    </row>
    <row r="56" spans="2:12" ht="12.75" thickBot="1">
      <c r="B56" s="22">
        <v>38</v>
      </c>
      <c r="C56" s="17" t="s">
        <v>15</v>
      </c>
      <c r="D56" s="17"/>
      <c r="H56" s="95">
        <f>SUM(H59:H62)</f>
        <v>0</v>
      </c>
      <c r="I56" s="96"/>
      <c r="J56" s="88"/>
      <c r="K56" s="88"/>
      <c r="L56" s="87"/>
    </row>
    <row r="57" spans="2:12" ht="12.75" thickTop="1">
      <c r="B57" s="22">
        <v>39</v>
      </c>
      <c r="C57" s="17"/>
      <c r="D57" s="17"/>
      <c r="I57" s="96"/>
      <c r="L57" s="87"/>
    </row>
    <row r="58" spans="2:12">
      <c r="B58" s="22">
        <v>40</v>
      </c>
      <c r="C58" s="14" t="s">
        <v>5</v>
      </c>
      <c r="D58" s="14" t="s">
        <v>4</v>
      </c>
      <c r="E58" s="14" t="s">
        <v>6</v>
      </c>
      <c r="F58" s="14" t="s">
        <v>7</v>
      </c>
      <c r="G58" s="14" t="s">
        <v>8</v>
      </c>
      <c r="H58" s="84" t="s">
        <v>9</v>
      </c>
      <c r="I58" s="84"/>
      <c r="J58" s="84"/>
      <c r="K58" s="84"/>
      <c r="L58" s="25"/>
    </row>
    <row r="59" spans="2:12">
      <c r="B59" s="22">
        <v>41</v>
      </c>
      <c r="C59" s="26"/>
      <c r="D59" s="26"/>
      <c r="E59" s="24"/>
      <c r="G59" s="24"/>
      <c r="H59" s="27"/>
      <c r="I59" s="96"/>
      <c r="L59" s="87"/>
    </row>
    <row r="60" spans="2:12">
      <c r="B60" s="22">
        <v>42</v>
      </c>
      <c r="C60" s="26"/>
      <c r="D60" s="26"/>
      <c r="E60" s="24"/>
      <c r="G60" s="24"/>
      <c r="H60" s="27"/>
      <c r="I60" s="96"/>
      <c r="L60" s="87"/>
    </row>
    <row r="61" spans="2:12">
      <c r="B61" s="22">
        <v>43</v>
      </c>
      <c r="C61" s="26"/>
      <c r="D61" s="26"/>
      <c r="E61" s="24"/>
      <c r="G61" s="24"/>
      <c r="H61" s="57"/>
      <c r="I61" s="96"/>
      <c r="L61" s="87"/>
    </row>
    <row r="62" spans="2:12">
      <c r="B62" s="22">
        <v>44</v>
      </c>
      <c r="C62" s="26"/>
      <c r="D62" s="26"/>
      <c r="G62" s="24"/>
      <c r="H62" s="57"/>
      <c r="I62" s="96"/>
      <c r="L62" s="87"/>
    </row>
    <row r="63" spans="2:12">
      <c r="B63" s="22">
        <v>45</v>
      </c>
      <c r="C63" s="26"/>
      <c r="D63" s="26"/>
      <c r="E63" s="24"/>
      <c r="G63" s="24"/>
      <c r="H63" s="57"/>
      <c r="I63" s="96"/>
      <c r="L63" s="87"/>
    </row>
    <row r="64" spans="2:12" ht="12.75" thickBot="1">
      <c r="B64" s="22">
        <v>46</v>
      </c>
      <c r="C64" s="17" t="s">
        <v>16</v>
      </c>
      <c r="D64" s="17"/>
      <c r="H64" s="95">
        <f>SUM(H67:H69)</f>
        <v>0</v>
      </c>
      <c r="I64" s="96"/>
      <c r="J64" s="88"/>
      <c r="K64" s="88"/>
      <c r="L64" s="87"/>
    </row>
    <row r="65" spans="2:14" ht="12.75" thickTop="1">
      <c r="B65" s="22">
        <v>47</v>
      </c>
      <c r="C65" s="17"/>
      <c r="D65" s="17"/>
      <c r="I65" s="96"/>
      <c r="L65" s="87"/>
    </row>
    <row r="66" spans="2:14">
      <c r="B66" s="22">
        <v>48</v>
      </c>
      <c r="C66" s="14" t="s">
        <v>4</v>
      </c>
      <c r="D66" s="14" t="s">
        <v>5</v>
      </c>
      <c r="E66" s="14" t="s">
        <v>6</v>
      </c>
      <c r="F66" s="14" t="s">
        <v>7</v>
      </c>
      <c r="G66" s="14" t="s">
        <v>8</v>
      </c>
      <c r="H66" s="84" t="s">
        <v>9</v>
      </c>
      <c r="I66" s="84"/>
      <c r="J66" s="84"/>
      <c r="K66" s="84"/>
      <c r="L66" s="25"/>
    </row>
    <row r="67" spans="2:14">
      <c r="B67" s="22">
        <v>49</v>
      </c>
      <c r="C67" s="23"/>
      <c r="D67" s="23"/>
      <c r="E67" s="24"/>
      <c r="H67" s="177"/>
      <c r="I67" s="96"/>
      <c r="L67" s="87"/>
    </row>
    <row r="68" spans="2:14">
      <c r="B68" s="22">
        <v>50</v>
      </c>
      <c r="C68" s="23"/>
      <c r="D68" s="23"/>
      <c r="E68" s="24"/>
      <c r="G68" s="24"/>
      <c r="H68" s="27"/>
      <c r="L68" s="87"/>
    </row>
    <row r="69" spans="2:14">
      <c r="B69" s="22">
        <v>51</v>
      </c>
      <c r="C69" s="23"/>
      <c r="D69" s="23"/>
      <c r="E69" s="24"/>
      <c r="G69" s="24"/>
      <c r="H69" s="27"/>
      <c r="L69" s="87"/>
    </row>
    <row r="70" spans="2:14">
      <c r="B70" s="22">
        <v>52</v>
      </c>
      <c r="C70" s="91"/>
      <c r="D70" s="91"/>
      <c r="L70" s="87"/>
    </row>
    <row r="71" spans="2:14" ht="12.75" thickBot="1">
      <c r="B71" s="22">
        <v>53</v>
      </c>
      <c r="C71" s="17" t="s">
        <v>17</v>
      </c>
      <c r="D71" s="17"/>
      <c r="H71" s="21">
        <f>SUM(H74:H82)</f>
        <v>1896750</v>
      </c>
      <c r="I71" s="96"/>
      <c r="J71" s="17"/>
      <c r="K71" s="17"/>
      <c r="L71" s="87"/>
    </row>
    <row r="72" spans="2:14" ht="12.75" thickTop="1">
      <c r="B72" s="22">
        <v>54</v>
      </c>
      <c r="C72" s="17"/>
      <c r="D72" s="17"/>
      <c r="I72" s="96"/>
      <c r="L72" s="87"/>
      <c r="N72" s="28"/>
    </row>
    <row r="73" spans="2:14">
      <c r="B73" s="22">
        <v>55</v>
      </c>
      <c r="C73" s="14" t="s">
        <v>4</v>
      </c>
      <c r="D73" s="14" t="s">
        <v>5</v>
      </c>
      <c r="E73" s="14" t="s">
        <v>6</v>
      </c>
      <c r="F73" s="14" t="s">
        <v>7</v>
      </c>
      <c r="G73" s="14" t="s">
        <v>8</v>
      </c>
      <c r="H73" s="84" t="s">
        <v>9</v>
      </c>
      <c r="I73" s="84"/>
      <c r="J73" s="84"/>
      <c r="K73" s="84"/>
      <c r="L73" s="25"/>
    </row>
    <row r="74" spans="2:14">
      <c r="B74" s="22">
        <v>56</v>
      </c>
      <c r="C74" s="23">
        <v>46120</v>
      </c>
      <c r="D74" s="23">
        <v>46120</v>
      </c>
      <c r="E74" s="3" t="s">
        <v>914</v>
      </c>
      <c r="G74" s="24" t="s">
        <v>915</v>
      </c>
      <c r="H74" s="57">
        <v>29500</v>
      </c>
      <c r="I74" s="115"/>
      <c r="L74" s="163"/>
    </row>
    <row r="75" spans="2:14">
      <c r="B75" s="22">
        <v>57</v>
      </c>
      <c r="C75" s="23">
        <v>46121</v>
      </c>
      <c r="D75" s="23">
        <v>46120</v>
      </c>
      <c r="E75" s="3" t="s">
        <v>916</v>
      </c>
      <c r="G75" s="24" t="s">
        <v>917</v>
      </c>
      <c r="H75" s="57">
        <v>40000</v>
      </c>
      <c r="I75" s="115"/>
      <c r="K75" s="24"/>
      <c r="L75" s="87"/>
    </row>
    <row r="76" spans="2:14">
      <c r="B76" s="22">
        <v>58</v>
      </c>
      <c r="C76" s="23">
        <v>46123</v>
      </c>
      <c r="D76" s="23">
        <v>46122</v>
      </c>
      <c r="E76" s="3" t="s">
        <v>918</v>
      </c>
      <c r="G76" s="24" t="s">
        <v>919</v>
      </c>
      <c r="H76" s="57">
        <v>66000</v>
      </c>
      <c r="L76" s="87"/>
    </row>
    <row r="77" spans="2:14">
      <c r="B77" s="22">
        <v>59</v>
      </c>
      <c r="C77" s="23">
        <v>46129</v>
      </c>
      <c r="D77" s="23">
        <v>46129</v>
      </c>
      <c r="E77" s="3" t="s">
        <v>492</v>
      </c>
      <c r="G77" s="24" t="s">
        <v>920</v>
      </c>
      <c r="H77" s="57">
        <v>370000</v>
      </c>
      <c r="K77" s="24"/>
      <c r="L77" s="87"/>
    </row>
    <row r="78" spans="2:14">
      <c r="B78" s="22">
        <v>60</v>
      </c>
      <c r="C78" s="23">
        <v>46134</v>
      </c>
      <c r="D78" s="23">
        <v>46055</v>
      </c>
      <c r="E78" s="3" t="s">
        <v>921</v>
      </c>
      <c r="F78" s="3" t="s">
        <v>922</v>
      </c>
      <c r="G78" s="24" t="s">
        <v>923</v>
      </c>
      <c r="H78" s="57">
        <v>600000</v>
      </c>
      <c r="L78" s="87"/>
    </row>
    <row r="79" spans="2:14">
      <c r="B79" s="22">
        <v>61</v>
      </c>
      <c r="C79" s="23">
        <v>46141</v>
      </c>
      <c r="D79" s="23">
        <v>46141</v>
      </c>
      <c r="E79" s="3" t="s">
        <v>924</v>
      </c>
      <c r="G79" s="24" t="s">
        <v>925</v>
      </c>
      <c r="H79" s="57">
        <v>341250</v>
      </c>
      <c r="L79" s="87"/>
    </row>
    <row r="80" spans="2:14">
      <c r="B80" s="22">
        <v>62</v>
      </c>
      <c r="C80" s="23">
        <v>46142</v>
      </c>
      <c r="D80" s="23">
        <v>46142</v>
      </c>
      <c r="E80" s="3" t="s">
        <v>214</v>
      </c>
      <c r="F80" s="3" t="s">
        <v>926</v>
      </c>
      <c r="G80" s="24" t="s">
        <v>927</v>
      </c>
      <c r="H80" s="57">
        <v>450000</v>
      </c>
      <c r="L80" s="87"/>
    </row>
    <row r="81" spans="2:12">
      <c r="B81" s="22">
        <v>63</v>
      </c>
      <c r="C81" s="23"/>
      <c r="D81" s="23"/>
      <c r="G81" s="24"/>
      <c r="H81" s="57"/>
      <c r="L81" s="87"/>
    </row>
    <row r="82" spans="2:12">
      <c r="B82" s="22">
        <v>64</v>
      </c>
      <c r="C82" s="23"/>
      <c r="D82" s="23"/>
      <c r="G82" s="24"/>
      <c r="H82" s="57"/>
      <c r="L82" s="87"/>
    </row>
    <row r="83" spans="2:12">
      <c r="B83" s="22"/>
      <c r="C83" s="23"/>
      <c r="D83" s="23"/>
      <c r="G83" s="24"/>
      <c r="H83" s="57"/>
      <c r="L83" s="87"/>
    </row>
    <row r="84" spans="2:12" ht="12.75" thickBot="1">
      <c r="B84" s="16"/>
      <c r="C84" s="18" t="s">
        <v>18</v>
      </c>
      <c r="D84" s="18"/>
      <c r="E84" s="29"/>
      <c r="F84" s="29"/>
      <c r="G84" s="29"/>
      <c r="H84" s="90">
        <f>$H$11-$H$16-$H$56+$H$64+$H$71-$H$12</f>
        <v>-2.6400000154972076</v>
      </c>
      <c r="I84" s="160"/>
      <c r="J84" s="160"/>
      <c r="K84" s="160"/>
      <c r="L84" s="87"/>
    </row>
    <row r="85" spans="2:12" ht="12.75" thickTop="1">
      <c r="B85" s="16"/>
      <c r="L85" s="87"/>
    </row>
    <row r="86" spans="2:12">
      <c r="B86" s="16"/>
      <c r="L86" s="87"/>
    </row>
    <row r="87" spans="2:12">
      <c r="B87" s="16"/>
      <c r="L87" s="87"/>
    </row>
    <row r="88" spans="2:12">
      <c r="B88" s="16"/>
      <c r="L88" s="87"/>
    </row>
    <row r="89" spans="2:12">
      <c r="B89" s="16"/>
      <c r="L89" s="87"/>
    </row>
    <row r="90" spans="2:12">
      <c r="B90" s="16"/>
      <c r="E90" s="30"/>
      <c r="L90" s="87"/>
    </row>
    <row r="91" spans="2:12">
      <c r="B91" s="16"/>
      <c r="L91" s="87"/>
    </row>
    <row r="92" spans="2:12">
      <c r="B92" s="16"/>
      <c r="E92" s="30"/>
      <c r="L92" s="87"/>
    </row>
    <row r="93" spans="2:12">
      <c r="B93" s="16"/>
      <c r="D93" s="30" t="s">
        <v>19</v>
      </c>
      <c r="E93" s="11" t="s">
        <v>20</v>
      </c>
      <c r="F93" s="31" t="s">
        <v>21</v>
      </c>
      <c r="G93" s="31"/>
      <c r="H93" s="97"/>
      <c r="I93" s="31"/>
      <c r="J93" s="31"/>
      <c r="K93" s="31"/>
      <c r="L93" s="87"/>
    </row>
    <row r="94" spans="2:12">
      <c r="B94" s="32"/>
      <c r="C94" s="33"/>
      <c r="D94" s="33"/>
      <c r="E94" s="33"/>
      <c r="F94" s="33"/>
      <c r="G94" s="33"/>
      <c r="H94" s="98"/>
      <c r="I94" s="33"/>
      <c r="J94" s="33"/>
      <c r="K94" s="33"/>
      <c r="L94" s="99"/>
    </row>
    <row r="97" spans="1:18">
      <c r="B97" s="34"/>
      <c r="C97" s="17" t="s">
        <v>22</v>
      </c>
      <c r="D97" s="17"/>
    </row>
    <row r="98" spans="1:18">
      <c r="C98" s="17"/>
      <c r="D98" s="17"/>
    </row>
    <row r="99" spans="1:18">
      <c r="B99" s="36"/>
      <c r="C99" s="17" t="s">
        <v>23</v>
      </c>
      <c r="D99" s="17"/>
    </row>
    <row r="101" spans="1:18">
      <c r="B101" s="39"/>
      <c r="C101" s="37" t="s">
        <v>24</v>
      </c>
      <c r="D101" s="37"/>
    </row>
    <row r="103" spans="1:18">
      <c r="B103" s="38"/>
      <c r="C103" s="17" t="s">
        <v>25</v>
      </c>
    </row>
    <row r="105" spans="1:18" s="100" customFormat="1">
      <c r="A105" s="3"/>
      <c r="B105" s="3"/>
      <c r="C105" s="3"/>
      <c r="D105" s="3"/>
      <c r="E105" s="3"/>
      <c r="F105" s="3"/>
      <c r="G105" s="3"/>
      <c r="H105" s="86"/>
      <c r="I105" s="3"/>
      <c r="J105" s="3"/>
      <c r="K105" s="3"/>
      <c r="L105" s="35"/>
      <c r="M105" s="3"/>
      <c r="N105" s="3"/>
      <c r="O105" s="3"/>
      <c r="P105" s="3"/>
      <c r="Q105" s="3"/>
      <c r="R105" s="3"/>
    </row>
  </sheetData>
  <protectedRanges>
    <protectedRange sqref="G68:G69" name="Rango1_2"/>
    <protectedRange sqref="H55 H63" name="Rango1_4_4"/>
    <protectedRange sqref="G55 G63" name="Rango1_2_3"/>
    <protectedRange sqref="H54" name="Rango1_4_4_5"/>
    <protectedRange sqref="G54" name="Rango1_2_6"/>
    <protectedRange sqref="H83" name="Rango1_4_81_2"/>
    <protectedRange sqref="H74" name="Rango1_4_81"/>
    <protectedRange sqref="H75:H76" name="Rango1_4_81_1"/>
    <protectedRange sqref="H77:H78" name="Rango1_4_81_3"/>
    <protectedRange sqref="H79" name="Rango1_4_81_4"/>
    <protectedRange sqref="H80" name="Rango1_4_81_5"/>
    <protectedRange sqref="H81" name="Rango1_4_81_6"/>
    <protectedRange sqref="H82" name="Rango1_4_81_7"/>
    <protectedRange sqref="H23" name="Rango1_4_6_2_4_1_3_1_4_1_1"/>
    <protectedRange sqref="H24" name="Rango1_4_6_2_6_1_3_1_4_1_1"/>
    <protectedRange sqref="G62" name="Rango1_2_2_1"/>
    <protectedRange sqref="H62" name="Rango1_4_4_4_1"/>
    <protectedRange sqref="H61" name="Rango1_4_4_3"/>
    <protectedRange sqref="G61" name="Rango1_2_3_1"/>
    <protectedRange sqref="H59" name="Rango1_4_4_1_1"/>
    <protectedRange sqref="G59" name="Rango1_2_1_1"/>
    <protectedRange sqref="H60" name="Rango1_4_4_2_1"/>
  </protectedRanges>
  <autoFilter ref="A18:R105" xr:uid="{C95AB2EA-673A-426B-B35D-31D07DFED95E}"/>
  <mergeCells count="10">
    <mergeCell ref="C6:H6"/>
    <mergeCell ref="N6:R6"/>
    <mergeCell ref="C7:H7"/>
    <mergeCell ref="N7:R7"/>
    <mergeCell ref="C3:D3"/>
    <mergeCell ref="F3:H3"/>
    <mergeCell ref="N3:R3"/>
    <mergeCell ref="C4:D4"/>
    <mergeCell ref="F4:H4"/>
    <mergeCell ref="N4:R4"/>
  </mergeCells>
  <printOptions horizontalCentered="1"/>
  <pageMargins left="0.70866141732283461" right="0.70866141732283461" top="0.23622047244094488" bottom="0.23622047244094488" header="0.31496062992125984" footer="0.31496062992125984"/>
  <pageSetup scale="3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6797E-7CF4-4BA3-88A1-10B99D894A84}">
  <sheetPr>
    <pageSetUpPr fitToPage="1"/>
  </sheetPr>
  <dimension ref="A1:P550"/>
  <sheetViews>
    <sheetView showGridLines="0" zoomScale="90" zoomScaleNormal="90" zoomScaleSheetLayoutView="100" workbookViewId="0">
      <pane ySplit="9" topLeftCell="A10" activePane="bottomLeft" state="frozen"/>
      <selection activeCell="N3" sqref="N3"/>
      <selection pane="bottomLeft" activeCell="H1" sqref="H1:H1048576"/>
    </sheetView>
  </sheetViews>
  <sheetFormatPr baseColWidth="10" defaultColWidth="10.85546875" defaultRowHeight="12" outlineLevelCol="1"/>
  <cols>
    <col min="1" max="1" width="2.5703125" style="35" customWidth="1"/>
    <col min="2" max="2" width="6.5703125" style="35" customWidth="1"/>
    <col min="3" max="3" width="15.28515625" style="35" customWidth="1"/>
    <col min="4" max="4" width="15.42578125" style="35" customWidth="1"/>
    <col min="5" max="5" width="25.28515625" style="35" customWidth="1"/>
    <col min="6" max="6" width="12.5703125" style="35" customWidth="1"/>
    <col min="7" max="7" width="13.5703125" style="71" customWidth="1"/>
    <col min="8" max="8" width="14.7109375" style="101" customWidth="1"/>
    <col min="9" max="9" width="52" style="102" customWidth="1" outlineLevel="1"/>
    <col min="10" max="10" width="53" style="96" customWidth="1" outlineLevel="1"/>
    <col min="11" max="11" width="16.140625" style="96" customWidth="1" outlineLevel="1"/>
    <col min="12" max="12" width="60.28515625" style="103" customWidth="1"/>
    <col min="13" max="13" width="12.140625" style="35" bestFit="1" customWidth="1"/>
    <col min="14" max="16384" width="10.85546875" style="35"/>
  </cols>
  <sheetData>
    <row r="1" spans="2:16">
      <c r="O1" s="85"/>
    </row>
    <row r="2" spans="2:16">
      <c r="B2" s="104"/>
      <c r="C2" s="105"/>
      <c r="D2" s="105"/>
      <c r="E2" s="105"/>
      <c r="F2" s="105"/>
      <c r="G2" s="106"/>
      <c r="H2" s="107"/>
      <c r="I2" s="108"/>
      <c r="J2" s="109"/>
      <c r="K2" s="109"/>
      <c r="L2" s="110"/>
    </row>
    <row r="3" spans="2:16">
      <c r="B3" s="4"/>
      <c r="C3" s="260" t="s">
        <v>0</v>
      </c>
      <c r="D3" s="260"/>
      <c r="E3" s="6"/>
      <c r="F3" s="7"/>
      <c r="G3" s="260" t="s">
        <v>1</v>
      </c>
      <c r="H3" s="260"/>
      <c r="I3" s="170"/>
      <c r="J3" s="111"/>
      <c r="K3" s="111"/>
      <c r="L3" s="42"/>
      <c r="M3" s="257"/>
      <c r="N3" s="257"/>
      <c r="O3" s="257"/>
      <c r="P3" s="257"/>
    </row>
    <row r="4" spans="2:16">
      <c r="B4" s="4"/>
      <c r="C4" s="257" t="s">
        <v>2</v>
      </c>
      <c r="D4" s="257"/>
      <c r="E4" s="7"/>
      <c r="F4" s="7"/>
      <c r="G4" s="257" t="s">
        <v>928</v>
      </c>
      <c r="H4" s="257"/>
      <c r="I4" s="171"/>
      <c r="J4" s="112"/>
      <c r="K4" s="112"/>
      <c r="L4" s="42"/>
      <c r="M4" s="257"/>
      <c r="N4" s="257"/>
      <c r="O4" s="257"/>
      <c r="P4" s="257"/>
    </row>
    <row r="5" spans="2:16">
      <c r="B5" s="4"/>
      <c r="C5" s="9"/>
      <c r="D5" s="9"/>
      <c r="E5" s="9"/>
      <c r="F5" s="7"/>
      <c r="G5" s="113"/>
      <c r="H5" s="153"/>
      <c r="I5" s="114"/>
      <c r="J5" s="115"/>
      <c r="K5" s="112"/>
      <c r="L5" s="42"/>
      <c r="M5" s="9"/>
      <c r="N5" s="9"/>
      <c r="O5" s="9"/>
      <c r="P5" s="9"/>
    </row>
    <row r="6" spans="2:16">
      <c r="B6" s="10"/>
      <c r="C6" s="257" t="s">
        <v>97</v>
      </c>
      <c r="D6" s="257"/>
      <c r="E6" s="257"/>
      <c r="F6" s="257"/>
      <c r="G6" s="257"/>
      <c r="H6" s="257"/>
      <c r="I6" s="171"/>
      <c r="J6" s="112"/>
      <c r="K6" s="112"/>
      <c r="L6" s="42"/>
      <c r="M6" s="258"/>
      <c r="N6" s="258"/>
      <c r="O6" s="258"/>
      <c r="P6" s="258"/>
    </row>
    <row r="7" spans="2:16">
      <c r="B7" s="10"/>
      <c r="C7" s="258" t="s">
        <v>98</v>
      </c>
      <c r="D7" s="258"/>
      <c r="E7" s="258"/>
      <c r="F7" s="258"/>
      <c r="G7" s="258"/>
      <c r="H7" s="258"/>
      <c r="I7" s="172"/>
      <c r="J7" s="116"/>
      <c r="K7" s="116"/>
      <c r="L7" s="117"/>
      <c r="M7" s="258"/>
      <c r="N7" s="258"/>
      <c r="O7" s="258"/>
      <c r="P7" s="258"/>
    </row>
    <row r="8" spans="2:16">
      <c r="B8" s="10"/>
      <c r="C8" s="11"/>
      <c r="D8" s="11"/>
      <c r="E8" s="11"/>
      <c r="F8" s="11"/>
      <c r="G8" s="30"/>
      <c r="H8" s="153"/>
      <c r="I8" s="172"/>
      <c r="J8" s="116"/>
      <c r="K8" s="116"/>
      <c r="L8" s="117"/>
      <c r="M8" s="11"/>
      <c r="N8" s="11"/>
      <c r="O8" s="11"/>
      <c r="P8" s="11"/>
    </row>
    <row r="9" spans="2:16" s="85" customFormat="1">
      <c r="B9" s="13" t="s">
        <v>3</v>
      </c>
      <c r="C9" s="14" t="s">
        <v>4</v>
      </c>
      <c r="D9" s="14" t="s">
        <v>5</v>
      </c>
      <c r="E9" s="14" t="s">
        <v>6</v>
      </c>
      <c r="F9" s="14"/>
      <c r="G9" s="14" t="s">
        <v>8</v>
      </c>
      <c r="H9" s="154" t="s">
        <v>9</v>
      </c>
      <c r="I9" s="173" t="s">
        <v>39</v>
      </c>
      <c r="J9" s="14" t="s">
        <v>40</v>
      </c>
      <c r="K9" s="14" t="s">
        <v>41</v>
      </c>
      <c r="L9" s="118" t="s">
        <v>10</v>
      </c>
    </row>
    <row r="10" spans="2:16">
      <c r="B10" s="119"/>
      <c r="H10" s="155"/>
      <c r="L10" s="120"/>
    </row>
    <row r="11" spans="2:16">
      <c r="B11" s="119"/>
      <c r="C11" s="31" t="s">
        <v>11</v>
      </c>
      <c r="D11" s="31"/>
      <c r="H11" s="156">
        <v>28951929.559999999</v>
      </c>
      <c r="I11" s="122"/>
      <c r="J11" s="123"/>
      <c r="K11" s="123"/>
      <c r="L11" s="120"/>
    </row>
    <row r="12" spans="2:16">
      <c r="B12" s="119"/>
      <c r="C12" s="31" t="s">
        <v>12</v>
      </c>
      <c r="D12" s="31"/>
      <c r="H12" s="156">
        <v>92415016.239999995</v>
      </c>
      <c r="I12" s="124"/>
      <c r="J12" s="123"/>
      <c r="K12" s="123"/>
      <c r="L12" s="120"/>
    </row>
    <row r="13" spans="2:16" s="3" customFormat="1" ht="12.75" thickBot="1">
      <c r="B13" s="16"/>
      <c r="C13" s="18" t="s">
        <v>13</v>
      </c>
      <c r="D13" s="18"/>
      <c r="E13" s="19"/>
      <c r="F13" s="19"/>
      <c r="G13" s="125"/>
      <c r="H13" s="126">
        <f>+H11-H12</f>
        <v>-63463086.679999992</v>
      </c>
      <c r="I13" s="127"/>
      <c r="J13" s="128"/>
      <c r="K13" s="129"/>
      <c r="L13" s="130"/>
    </row>
    <row r="14" spans="2:16" ht="12.75" thickTop="1">
      <c r="B14" s="119"/>
      <c r="H14" s="155"/>
      <c r="L14" s="120"/>
    </row>
    <row r="15" spans="2:16">
      <c r="B15" s="119"/>
      <c r="H15" s="155"/>
      <c r="L15" s="120"/>
    </row>
    <row r="16" spans="2:16" ht="12.75" thickBot="1">
      <c r="B16" s="10"/>
      <c r="C16" s="31" t="s">
        <v>14</v>
      </c>
      <c r="D16" s="31"/>
      <c r="H16" s="131">
        <f>SUM(H19:H179)</f>
        <v>25868150</v>
      </c>
      <c r="I16" s="172"/>
      <c r="J16" s="116"/>
      <c r="K16" s="116"/>
      <c r="L16" s="120"/>
    </row>
    <row r="17" spans="2:12" ht="12.75" thickTop="1">
      <c r="B17" s="10"/>
      <c r="C17" s="31"/>
      <c r="D17" s="31"/>
      <c r="H17" s="155"/>
      <c r="L17" s="120"/>
    </row>
    <row r="18" spans="2:12" s="85" customFormat="1">
      <c r="B18" s="13" t="s">
        <v>3</v>
      </c>
      <c r="C18" s="14" t="s">
        <v>4</v>
      </c>
      <c r="D18" s="14" t="s">
        <v>5</v>
      </c>
      <c r="E18" s="14" t="s">
        <v>6</v>
      </c>
      <c r="F18" s="14" t="s">
        <v>99</v>
      </c>
      <c r="G18" s="132" t="s">
        <v>8</v>
      </c>
      <c r="H18" s="154" t="s">
        <v>9</v>
      </c>
      <c r="I18" s="173" t="s">
        <v>39</v>
      </c>
      <c r="J18" s="14" t="s">
        <v>40</v>
      </c>
      <c r="K18" s="14" t="s">
        <v>41</v>
      </c>
      <c r="L18" s="118" t="s">
        <v>10</v>
      </c>
    </row>
    <row r="19" spans="2:12" ht="12.75" customHeight="1">
      <c r="B19" s="22">
        <v>1</v>
      </c>
      <c r="C19" s="26">
        <v>45761</v>
      </c>
      <c r="D19" s="26">
        <v>45761</v>
      </c>
      <c r="E19" s="35" t="s">
        <v>102</v>
      </c>
      <c r="H19" s="166">
        <v>61450</v>
      </c>
      <c r="I19" s="115" t="s">
        <v>103</v>
      </c>
      <c r="J19" s="115" t="s">
        <v>104</v>
      </c>
      <c r="K19" s="115" t="s">
        <v>52</v>
      </c>
      <c r="L19" s="163" t="s">
        <v>488</v>
      </c>
    </row>
    <row r="20" spans="2:12">
      <c r="B20" s="22">
        <v>2</v>
      </c>
      <c r="C20" s="157">
        <v>45763</v>
      </c>
      <c r="D20" s="157">
        <v>45763</v>
      </c>
      <c r="E20" s="24" t="s">
        <v>105</v>
      </c>
      <c r="H20" s="166">
        <v>13000</v>
      </c>
      <c r="I20" s="115" t="s">
        <v>106</v>
      </c>
      <c r="J20" s="115" t="s">
        <v>107</v>
      </c>
      <c r="K20" s="115" t="s">
        <v>52</v>
      </c>
      <c r="L20" s="163" t="s">
        <v>488</v>
      </c>
    </row>
    <row r="21" spans="2:12">
      <c r="B21" s="22">
        <v>3</v>
      </c>
      <c r="C21" s="157">
        <v>45777</v>
      </c>
      <c r="D21" s="157">
        <v>45777</v>
      </c>
      <c r="E21" s="24" t="s">
        <v>108</v>
      </c>
      <c r="H21" s="166">
        <v>13300</v>
      </c>
      <c r="I21" s="115" t="s">
        <v>101</v>
      </c>
      <c r="J21" s="115" t="s">
        <v>109</v>
      </c>
      <c r="K21" s="115" t="s">
        <v>52</v>
      </c>
      <c r="L21" s="163" t="s">
        <v>488</v>
      </c>
    </row>
    <row r="22" spans="2:12">
      <c r="B22" s="22">
        <v>4</v>
      </c>
      <c r="C22" s="157">
        <v>45807</v>
      </c>
      <c r="D22" s="157">
        <v>45807</v>
      </c>
      <c r="E22" s="24" t="s">
        <v>110</v>
      </c>
      <c r="H22" s="166">
        <v>8000</v>
      </c>
      <c r="I22" s="115" t="s">
        <v>111</v>
      </c>
      <c r="J22" s="115" t="s">
        <v>112</v>
      </c>
      <c r="K22" s="115" t="s">
        <v>52</v>
      </c>
      <c r="L22" s="163" t="s">
        <v>488</v>
      </c>
    </row>
    <row r="23" spans="2:12">
      <c r="B23" s="22">
        <v>5</v>
      </c>
      <c r="C23" s="157">
        <v>45821</v>
      </c>
      <c r="D23" s="157">
        <v>45821</v>
      </c>
      <c r="E23" s="24" t="s">
        <v>148</v>
      </c>
      <c r="H23" s="183">
        <v>24000</v>
      </c>
      <c r="I23" s="115" t="s">
        <v>147</v>
      </c>
      <c r="J23" s="115" t="s">
        <v>146</v>
      </c>
      <c r="K23" s="115" t="s">
        <v>52</v>
      </c>
      <c r="L23" s="163" t="s">
        <v>488</v>
      </c>
    </row>
    <row r="24" spans="2:12">
      <c r="B24" s="22">
        <v>6</v>
      </c>
      <c r="C24" s="157">
        <v>45821</v>
      </c>
      <c r="D24" s="157">
        <v>45821</v>
      </c>
      <c r="E24" s="24" t="s">
        <v>145</v>
      </c>
      <c r="H24" s="183">
        <v>24800</v>
      </c>
      <c r="I24" s="115" t="s">
        <v>144</v>
      </c>
      <c r="J24" s="115" t="s">
        <v>143</v>
      </c>
      <c r="K24" s="115" t="s">
        <v>83</v>
      </c>
      <c r="L24" s="163" t="s">
        <v>488</v>
      </c>
    </row>
    <row r="25" spans="2:12">
      <c r="B25" s="22">
        <v>7</v>
      </c>
      <c r="C25" s="157">
        <v>45825</v>
      </c>
      <c r="D25" s="157">
        <v>45825</v>
      </c>
      <c r="E25" s="24" t="s">
        <v>142</v>
      </c>
      <c r="F25" s="158"/>
      <c r="H25" s="183">
        <v>20000</v>
      </c>
      <c r="I25" s="115" t="s">
        <v>141</v>
      </c>
      <c r="J25" s="115" t="s">
        <v>195</v>
      </c>
      <c r="K25" s="115" t="s">
        <v>52</v>
      </c>
      <c r="L25" s="163" t="s">
        <v>488</v>
      </c>
    </row>
    <row r="26" spans="2:12">
      <c r="B26" s="22">
        <v>8</v>
      </c>
      <c r="C26" s="157">
        <v>45839</v>
      </c>
      <c r="D26" s="157">
        <v>45839</v>
      </c>
      <c r="E26" s="24" t="s">
        <v>113</v>
      </c>
      <c r="F26" s="158"/>
      <c r="H26" s="183">
        <v>579000</v>
      </c>
      <c r="I26" s="115" t="s">
        <v>106</v>
      </c>
      <c r="J26" s="115" t="s">
        <v>114</v>
      </c>
      <c r="K26" s="115" t="s">
        <v>52</v>
      </c>
      <c r="L26" s="163" t="s">
        <v>493</v>
      </c>
    </row>
    <row r="27" spans="2:12">
      <c r="B27" s="22">
        <v>9</v>
      </c>
      <c r="C27" s="157">
        <v>45846</v>
      </c>
      <c r="D27" s="157">
        <v>45846</v>
      </c>
      <c r="E27" s="24" t="s">
        <v>115</v>
      </c>
      <c r="F27" s="158"/>
      <c r="H27" s="183">
        <v>50000</v>
      </c>
      <c r="I27" s="115" t="s">
        <v>140</v>
      </c>
      <c r="J27" s="115" t="s">
        <v>196</v>
      </c>
      <c r="K27" s="115" t="s">
        <v>52</v>
      </c>
      <c r="L27" s="163" t="s">
        <v>488</v>
      </c>
    </row>
    <row r="28" spans="2:12">
      <c r="B28" s="22">
        <v>10</v>
      </c>
      <c r="C28" s="157">
        <v>45848</v>
      </c>
      <c r="D28" s="157">
        <v>45848</v>
      </c>
      <c r="E28" s="24" t="s">
        <v>116</v>
      </c>
      <c r="H28" s="183">
        <v>19500</v>
      </c>
      <c r="I28" s="115" t="s">
        <v>117</v>
      </c>
      <c r="J28" s="115" t="s">
        <v>114</v>
      </c>
      <c r="K28" s="115" t="s">
        <v>52</v>
      </c>
      <c r="L28" s="163" t="s">
        <v>488</v>
      </c>
    </row>
    <row r="29" spans="2:12">
      <c r="B29" s="22">
        <v>11</v>
      </c>
      <c r="C29" s="157">
        <v>45852</v>
      </c>
      <c r="D29" s="157">
        <v>45852</v>
      </c>
      <c r="E29" s="24" t="s">
        <v>116</v>
      </c>
      <c r="F29" s="158"/>
      <c r="H29" s="183">
        <v>19500</v>
      </c>
      <c r="I29" s="96" t="s">
        <v>117</v>
      </c>
      <c r="J29" s="115" t="s">
        <v>114</v>
      </c>
      <c r="K29" s="96" t="s">
        <v>52</v>
      </c>
      <c r="L29" s="163" t="s">
        <v>488</v>
      </c>
    </row>
    <row r="30" spans="2:12">
      <c r="B30" s="22">
        <v>12</v>
      </c>
      <c r="C30" s="157">
        <v>45856</v>
      </c>
      <c r="D30" s="157">
        <v>45855</v>
      </c>
      <c r="E30" s="24" t="s">
        <v>118</v>
      </c>
      <c r="F30" s="158"/>
      <c r="H30" s="183">
        <v>13600</v>
      </c>
      <c r="I30" s="115" t="s">
        <v>119</v>
      </c>
      <c r="J30" s="115"/>
      <c r="K30" s="115" t="s">
        <v>52</v>
      </c>
      <c r="L30" s="163" t="s">
        <v>488</v>
      </c>
    </row>
    <row r="31" spans="2:12">
      <c r="B31" s="22">
        <v>13</v>
      </c>
      <c r="C31" s="157">
        <v>45861</v>
      </c>
      <c r="D31" s="157">
        <v>45861</v>
      </c>
      <c r="E31" s="24" t="s">
        <v>120</v>
      </c>
      <c r="H31" s="183">
        <v>12500</v>
      </c>
      <c r="I31" s="115" t="s">
        <v>139</v>
      </c>
      <c r="J31" s="115" t="s">
        <v>197</v>
      </c>
      <c r="K31" s="115" t="s">
        <v>82</v>
      </c>
      <c r="L31" s="163" t="s">
        <v>493</v>
      </c>
    </row>
    <row r="32" spans="2:12">
      <c r="B32" s="22">
        <v>14</v>
      </c>
      <c r="C32" s="157">
        <v>45867</v>
      </c>
      <c r="D32" s="157">
        <v>45867</v>
      </c>
      <c r="E32" s="24" t="s">
        <v>138</v>
      </c>
      <c r="F32" s="158"/>
      <c r="H32" s="183">
        <v>34500</v>
      </c>
      <c r="I32" s="115" t="s">
        <v>227</v>
      </c>
      <c r="J32" s="115" t="s">
        <v>198</v>
      </c>
      <c r="K32" s="115" t="s">
        <v>83</v>
      </c>
      <c r="L32" s="163" t="s">
        <v>488</v>
      </c>
    </row>
    <row r="33" spans="2:12">
      <c r="B33" s="22">
        <v>15</v>
      </c>
      <c r="C33" s="157">
        <v>45869</v>
      </c>
      <c r="D33" s="157">
        <v>45869</v>
      </c>
      <c r="E33" s="24" t="s">
        <v>121</v>
      </c>
      <c r="F33" s="158"/>
      <c r="H33" s="183">
        <v>168000</v>
      </c>
      <c r="I33" s="115" t="s">
        <v>199</v>
      </c>
      <c r="J33" s="115" t="s">
        <v>199</v>
      </c>
      <c r="K33" s="115" t="s">
        <v>83</v>
      </c>
      <c r="L33" s="163" t="s">
        <v>488</v>
      </c>
    </row>
    <row r="34" spans="2:12">
      <c r="B34" s="22">
        <v>16</v>
      </c>
      <c r="C34" s="157">
        <v>45875</v>
      </c>
      <c r="D34" s="157">
        <v>45875</v>
      </c>
      <c r="E34" s="24" t="s">
        <v>137</v>
      </c>
      <c r="F34" s="158"/>
      <c r="H34" s="183">
        <v>18000</v>
      </c>
      <c r="I34" s="115" t="s">
        <v>200</v>
      </c>
      <c r="J34" s="115" t="s">
        <v>200</v>
      </c>
      <c r="K34" s="115" t="s">
        <v>83</v>
      </c>
      <c r="L34" s="163" t="s">
        <v>488</v>
      </c>
    </row>
    <row r="35" spans="2:12">
      <c r="B35" s="22">
        <v>17</v>
      </c>
      <c r="C35" s="157">
        <v>45881</v>
      </c>
      <c r="D35" s="157">
        <v>45881</v>
      </c>
      <c r="E35" s="24" t="s">
        <v>122</v>
      </c>
      <c r="H35" s="183">
        <v>14700</v>
      </c>
      <c r="I35" s="115" t="s">
        <v>201</v>
      </c>
      <c r="J35" s="115" t="s">
        <v>201</v>
      </c>
      <c r="K35" s="115" t="s">
        <v>52</v>
      </c>
      <c r="L35" s="163" t="s">
        <v>488</v>
      </c>
    </row>
    <row r="36" spans="2:12">
      <c r="B36" s="22">
        <v>18</v>
      </c>
      <c r="C36" s="157">
        <v>45883</v>
      </c>
      <c r="D36" s="157">
        <v>45883</v>
      </c>
      <c r="E36" s="24" t="s">
        <v>118</v>
      </c>
      <c r="F36" s="158"/>
      <c r="H36" s="183">
        <v>60000</v>
      </c>
      <c r="I36" s="115" t="s">
        <v>136</v>
      </c>
      <c r="J36" s="115" t="s">
        <v>135</v>
      </c>
      <c r="K36" s="115" t="s">
        <v>51</v>
      </c>
      <c r="L36" s="163" t="s">
        <v>493</v>
      </c>
    </row>
    <row r="37" spans="2:12">
      <c r="B37" s="22">
        <v>19</v>
      </c>
      <c r="C37" s="157">
        <v>45892</v>
      </c>
      <c r="D37" s="157">
        <v>45892</v>
      </c>
      <c r="E37" s="24" t="s">
        <v>123</v>
      </c>
      <c r="F37" s="158"/>
      <c r="H37" s="183">
        <v>68000</v>
      </c>
      <c r="I37" s="115" t="s">
        <v>134</v>
      </c>
      <c r="J37" s="115" t="s">
        <v>202</v>
      </c>
      <c r="K37" s="115" t="s">
        <v>83</v>
      </c>
      <c r="L37" s="163" t="s">
        <v>488</v>
      </c>
    </row>
    <row r="38" spans="2:12">
      <c r="B38" s="22">
        <v>20</v>
      </c>
      <c r="C38" s="157">
        <v>45896</v>
      </c>
      <c r="D38" s="157">
        <v>45896</v>
      </c>
      <c r="E38" s="24" t="s">
        <v>124</v>
      </c>
      <c r="F38" s="158"/>
      <c r="H38" s="183">
        <v>20950</v>
      </c>
      <c r="I38" s="115" t="s">
        <v>133</v>
      </c>
      <c r="J38" s="115" t="s">
        <v>132</v>
      </c>
      <c r="K38" s="115" t="s">
        <v>52</v>
      </c>
      <c r="L38" s="163" t="s">
        <v>488</v>
      </c>
    </row>
    <row r="39" spans="2:12">
      <c r="B39" s="22">
        <v>21</v>
      </c>
      <c r="C39" s="157">
        <v>45902</v>
      </c>
      <c r="D39" s="157">
        <v>45902</v>
      </c>
      <c r="E39" s="24" t="s">
        <v>128</v>
      </c>
      <c r="F39" s="158"/>
      <c r="H39" s="183">
        <v>36625</v>
      </c>
      <c r="I39" s="115" t="s">
        <v>203</v>
      </c>
      <c r="J39" s="115" t="s">
        <v>204</v>
      </c>
      <c r="K39" s="115" t="s">
        <v>83</v>
      </c>
      <c r="L39" s="163" t="s">
        <v>494</v>
      </c>
    </row>
    <row r="40" spans="2:12">
      <c r="B40" s="22">
        <v>22</v>
      </c>
      <c r="C40" s="157">
        <v>45903</v>
      </c>
      <c r="D40" s="157">
        <v>45903</v>
      </c>
      <c r="E40" s="24" t="s">
        <v>127</v>
      </c>
      <c r="H40" s="183">
        <v>40000</v>
      </c>
      <c r="I40" s="115" t="s">
        <v>205</v>
      </c>
      <c r="J40" s="115" t="s">
        <v>206</v>
      </c>
      <c r="K40" s="115" t="s">
        <v>82</v>
      </c>
      <c r="L40" s="163" t="s">
        <v>494</v>
      </c>
    </row>
    <row r="41" spans="2:12">
      <c r="B41" s="22">
        <v>23</v>
      </c>
      <c r="C41" s="157">
        <v>45912</v>
      </c>
      <c r="D41" s="157">
        <v>45912</v>
      </c>
      <c r="E41" s="24" t="s">
        <v>126</v>
      </c>
      <c r="F41" s="158"/>
      <c r="H41" s="183">
        <v>40000</v>
      </c>
      <c r="I41" s="115" t="s">
        <v>117</v>
      </c>
      <c r="J41" s="115"/>
      <c r="K41" s="115" t="s">
        <v>52</v>
      </c>
      <c r="L41" s="163" t="s">
        <v>488</v>
      </c>
    </row>
    <row r="42" spans="2:12">
      <c r="B42" s="22">
        <v>24</v>
      </c>
      <c r="C42" s="157">
        <v>45931</v>
      </c>
      <c r="D42" s="157">
        <v>45930</v>
      </c>
      <c r="E42" s="24" t="s">
        <v>100</v>
      </c>
      <c r="F42" s="158"/>
      <c r="H42" s="183">
        <v>1000</v>
      </c>
      <c r="I42" s="115" t="s">
        <v>228</v>
      </c>
      <c r="J42" s="115"/>
      <c r="K42" s="115" t="s">
        <v>52</v>
      </c>
      <c r="L42" s="163" t="s">
        <v>488</v>
      </c>
    </row>
    <row r="43" spans="2:12">
      <c r="B43" s="22">
        <v>25</v>
      </c>
      <c r="C43" s="157">
        <v>45931</v>
      </c>
      <c r="D43" s="157">
        <v>45930</v>
      </c>
      <c r="E43" s="24" t="s">
        <v>118</v>
      </c>
      <c r="F43" s="24">
        <v>92928</v>
      </c>
      <c r="H43" s="183">
        <v>20000</v>
      </c>
      <c r="I43" s="115" t="s">
        <v>229</v>
      </c>
      <c r="J43" s="115"/>
      <c r="K43" s="115" t="s">
        <v>83</v>
      </c>
      <c r="L43" s="163" t="s">
        <v>488</v>
      </c>
    </row>
    <row r="44" spans="2:12">
      <c r="B44" s="22">
        <v>26</v>
      </c>
      <c r="C44" s="157">
        <v>45931</v>
      </c>
      <c r="D44" s="157">
        <v>45930</v>
      </c>
      <c r="E44" s="24" t="s">
        <v>118</v>
      </c>
      <c r="F44" s="158"/>
      <c r="H44" s="183">
        <v>36000</v>
      </c>
      <c r="I44" s="115" t="s">
        <v>230</v>
      </c>
      <c r="J44" s="115"/>
      <c r="K44" s="115" t="s">
        <v>83</v>
      </c>
      <c r="L44" s="163" t="s">
        <v>488</v>
      </c>
    </row>
    <row r="45" spans="2:12">
      <c r="B45" s="22">
        <v>27</v>
      </c>
      <c r="C45" s="157">
        <v>45931</v>
      </c>
      <c r="D45" s="157">
        <v>45931</v>
      </c>
      <c r="E45" s="24" t="s">
        <v>207</v>
      </c>
      <c r="F45" s="24">
        <v>83812</v>
      </c>
      <c r="H45" s="183">
        <v>36300</v>
      </c>
      <c r="I45" s="115" t="s">
        <v>42</v>
      </c>
      <c r="J45" s="115" t="s">
        <v>272</v>
      </c>
      <c r="K45" s="115"/>
      <c r="L45" s="162" t="s">
        <v>50</v>
      </c>
    </row>
    <row r="46" spans="2:12">
      <c r="B46" s="22">
        <v>28</v>
      </c>
      <c r="C46" s="157">
        <v>45931</v>
      </c>
      <c r="D46" s="157">
        <v>45930</v>
      </c>
      <c r="E46" s="24" t="s">
        <v>118</v>
      </c>
      <c r="F46" s="24">
        <v>100321</v>
      </c>
      <c r="H46" s="183">
        <v>40000</v>
      </c>
      <c r="I46" s="115" t="s">
        <v>231</v>
      </c>
      <c r="J46" s="115"/>
      <c r="K46" s="115" t="s">
        <v>52</v>
      </c>
      <c r="L46" s="163" t="s">
        <v>488</v>
      </c>
    </row>
    <row r="47" spans="2:12">
      <c r="B47" s="22">
        <v>29</v>
      </c>
      <c r="C47" s="157">
        <v>45934</v>
      </c>
      <c r="D47" s="157">
        <v>45934</v>
      </c>
      <c r="E47" s="24" t="s">
        <v>208</v>
      </c>
      <c r="F47" s="158"/>
      <c r="H47" s="183">
        <v>38600</v>
      </c>
      <c r="I47" s="115" t="s">
        <v>258</v>
      </c>
      <c r="J47" s="115" t="s">
        <v>259</v>
      </c>
      <c r="K47" s="115" t="s">
        <v>52</v>
      </c>
      <c r="L47" s="162" t="s">
        <v>50</v>
      </c>
    </row>
    <row r="48" spans="2:12">
      <c r="B48" s="22">
        <v>30</v>
      </c>
      <c r="C48" s="157">
        <v>45936</v>
      </c>
      <c r="D48" s="157">
        <v>45936</v>
      </c>
      <c r="E48" s="24" t="s">
        <v>209</v>
      </c>
      <c r="F48" s="158"/>
      <c r="H48" s="183">
        <v>107000</v>
      </c>
      <c r="I48" s="115" t="s">
        <v>260</v>
      </c>
      <c r="J48" s="115" t="s">
        <v>261</v>
      </c>
      <c r="K48" s="115" t="s">
        <v>52</v>
      </c>
      <c r="L48" s="163" t="s">
        <v>488</v>
      </c>
    </row>
    <row r="49" spans="2:12">
      <c r="B49" s="22">
        <v>31</v>
      </c>
      <c r="C49" s="157">
        <v>45937</v>
      </c>
      <c r="D49" s="157">
        <v>45937</v>
      </c>
      <c r="E49" s="24" t="s">
        <v>210</v>
      </c>
      <c r="F49" s="24">
        <v>619040</v>
      </c>
      <c r="H49" s="183">
        <v>48400</v>
      </c>
      <c r="I49" s="115" t="s">
        <v>262</v>
      </c>
      <c r="J49" s="115" t="s">
        <v>263</v>
      </c>
      <c r="K49" s="115" t="s">
        <v>83</v>
      </c>
      <c r="L49" s="163" t="s">
        <v>488</v>
      </c>
    </row>
    <row r="50" spans="2:12">
      <c r="B50" s="22">
        <v>32</v>
      </c>
      <c r="C50" s="157">
        <v>45940</v>
      </c>
      <c r="D50" s="157">
        <v>45940</v>
      </c>
      <c r="E50" s="24" t="s">
        <v>211</v>
      </c>
      <c r="F50" s="24">
        <v>111754</v>
      </c>
      <c r="H50" s="183">
        <v>500000</v>
      </c>
      <c r="I50" s="115" t="s">
        <v>264</v>
      </c>
      <c r="J50" s="163" t="s">
        <v>265</v>
      </c>
      <c r="K50" s="115" t="s">
        <v>83</v>
      </c>
      <c r="L50" s="163" t="s">
        <v>488</v>
      </c>
    </row>
    <row r="51" spans="2:12">
      <c r="B51" s="22">
        <v>33</v>
      </c>
      <c r="C51" s="157">
        <v>45948</v>
      </c>
      <c r="D51" s="157">
        <v>45948</v>
      </c>
      <c r="E51" s="24" t="s">
        <v>118</v>
      </c>
      <c r="F51" s="24">
        <v>133257</v>
      </c>
      <c r="H51" s="183">
        <v>60000</v>
      </c>
      <c r="I51" s="115" t="s">
        <v>452</v>
      </c>
      <c r="J51" s="115" t="s">
        <v>399</v>
      </c>
      <c r="K51" s="115"/>
      <c r="L51" s="162" t="s">
        <v>355</v>
      </c>
    </row>
    <row r="52" spans="2:12">
      <c r="B52" s="22">
        <v>34</v>
      </c>
      <c r="C52" s="157">
        <v>45954</v>
      </c>
      <c r="D52" s="157">
        <v>45954</v>
      </c>
      <c r="E52" s="24" t="s">
        <v>212</v>
      </c>
      <c r="F52" s="158"/>
      <c r="H52" s="183">
        <v>120000</v>
      </c>
      <c r="I52" s="115" t="s">
        <v>258</v>
      </c>
      <c r="J52" s="115" t="s">
        <v>266</v>
      </c>
      <c r="K52" s="115" t="s">
        <v>52</v>
      </c>
      <c r="L52" s="162" t="s">
        <v>50</v>
      </c>
    </row>
    <row r="53" spans="2:12">
      <c r="B53" s="22">
        <v>35</v>
      </c>
      <c r="C53" s="157">
        <v>45957</v>
      </c>
      <c r="D53" s="157">
        <v>45957</v>
      </c>
      <c r="E53" s="24" t="s">
        <v>213</v>
      </c>
      <c r="F53" s="158"/>
      <c r="H53" s="183">
        <v>16000</v>
      </c>
      <c r="I53" s="115" t="s">
        <v>268</v>
      </c>
      <c r="J53" s="96" t="s">
        <v>269</v>
      </c>
      <c r="K53" s="115" t="s">
        <v>52</v>
      </c>
      <c r="L53" s="162" t="s">
        <v>50</v>
      </c>
    </row>
    <row r="54" spans="2:12">
      <c r="B54" s="22">
        <v>36</v>
      </c>
      <c r="C54" s="157">
        <v>45957</v>
      </c>
      <c r="D54" s="157">
        <v>45955</v>
      </c>
      <c r="E54" s="24" t="s">
        <v>118</v>
      </c>
      <c r="F54" s="158"/>
      <c r="H54" s="183">
        <v>240000</v>
      </c>
      <c r="I54" s="115" t="s">
        <v>267</v>
      </c>
      <c r="J54" s="115"/>
      <c r="K54" s="115"/>
      <c r="L54" s="162" t="s">
        <v>356</v>
      </c>
    </row>
    <row r="55" spans="2:12">
      <c r="B55" s="22">
        <v>37</v>
      </c>
      <c r="C55" s="157">
        <v>45965</v>
      </c>
      <c r="D55" s="157">
        <v>45961</v>
      </c>
      <c r="E55" s="24" t="s">
        <v>118</v>
      </c>
      <c r="F55" s="24">
        <v>92420</v>
      </c>
      <c r="H55" s="183">
        <v>20000</v>
      </c>
      <c r="I55" s="115" t="s">
        <v>293</v>
      </c>
      <c r="J55" s="115"/>
      <c r="K55" s="115"/>
      <c r="L55" s="162" t="s">
        <v>306</v>
      </c>
    </row>
    <row r="56" spans="2:12">
      <c r="B56" s="22">
        <v>38</v>
      </c>
      <c r="C56" s="157">
        <v>45965</v>
      </c>
      <c r="D56" s="157">
        <v>45965</v>
      </c>
      <c r="E56" s="24" t="s">
        <v>232</v>
      </c>
      <c r="F56" s="24"/>
      <c r="H56" s="183">
        <v>32500</v>
      </c>
      <c r="I56" s="115" t="s">
        <v>283</v>
      </c>
      <c r="J56" s="115" t="s">
        <v>282</v>
      </c>
      <c r="K56" s="115" t="s">
        <v>82</v>
      </c>
      <c r="L56" s="162" t="s">
        <v>50</v>
      </c>
    </row>
    <row r="57" spans="2:12">
      <c r="B57" s="22">
        <v>39</v>
      </c>
      <c r="C57" s="157">
        <v>45965</v>
      </c>
      <c r="D57" s="157">
        <v>45965</v>
      </c>
      <c r="E57" s="24" t="s">
        <v>233</v>
      </c>
      <c r="F57" s="24"/>
      <c r="H57" s="183">
        <v>37500</v>
      </c>
      <c r="I57" s="115" t="s">
        <v>285</v>
      </c>
      <c r="J57" s="115" t="s">
        <v>284</v>
      </c>
      <c r="K57" s="115" t="s">
        <v>52</v>
      </c>
      <c r="L57" s="162" t="s">
        <v>50</v>
      </c>
    </row>
    <row r="58" spans="2:12">
      <c r="B58" s="22">
        <v>40</v>
      </c>
      <c r="C58" s="157">
        <v>45967</v>
      </c>
      <c r="D58" s="157">
        <v>45967</v>
      </c>
      <c r="E58" s="24" t="s">
        <v>234</v>
      </c>
      <c r="F58" s="24"/>
      <c r="H58" s="183">
        <v>15000</v>
      </c>
      <c r="I58" s="115" t="s">
        <v>286</v>
      </c>
      <c r="J58" s="115" t="s">
        <v>357</v>
      </c>
      <c r="K58" s="115" t="s">
        <v>83</v>
      </c>
      <c r="L58" s="162" t="s">
        <v>307</v>
      </c>
    </row>
    <row r="59" spans="2:12">
      <c r="B59" s="22">
        <v>41</v>
      </c>
      <c r="C59" s="157">
        <v>45971</v>
      </c>
      <c r="D59" s="157">
        <v>45969</v>
      </c>
      <c r="E59" s="24" t="s">
        <v>118</v>
      </c>
      <c r="F59" s="24">
        <v>605628</v>
      </c>
      <c r="H59" s="183">
        <v>120000</v>
      </c>
      <c r="I59" s="115" t="s">
        <v>293</v>
      </c>
      <c r="J59" s="115"/>
      <c r="K59" s="115" t="s">
        <v>52</v>
      </c>
      <c r="L59" s="163" t="s">
        <v>488</v>
      </c>
    </row>
    <row r="60" spans="2:12">
      <c r="B60" s="22">
        <v>42</v>
      </c>
      <c r="C60" s="157">
        <v>45972</v>
      </c>
      <c r="D60" s="157">
        <v>45972</v>
      </c>
      <c r="E60" s="24" t="s">
        <v>235</v>
      </c>
      <c r="F60" s="24"/>
      <c r="H60" s="183">
        <v>90000</v>
      </c>
      <c r="I60" s="115" t="s">
        <v>260</v>
      </c>
      <c r="J60" s="115" t="s">
        <v>287</v>
      </c>
      <c r="K60" s="115" t="s">
        <v>52</v>
      </c>
      <c r="L60" s="162" t="s">
        <v>50</v>
      </c>
    </row>
    <row r="61" spans="2:12">
      <c r="B61" s="22">
        <v>43</v>
      </c>
      <c r="C61" s="157">
        <v>45975</v>
      </c>
      <c r="D61" s="157">
        <v>45975</v>
      </c>
      <c r="E61" s="24" t="s">
        <v>236</v>
      </c>
      <c r="F61" s="24"/>
      <c r="H61" s="183">
        <v>12000</v>
      </c>
      <c r="I61" s="115" t="s">
        <v>260</v>
      </c>
      <c r="J61" s="115" t="s">
        <v>288</v>
      </c>
      <c r="K61" s="115" t="s">
        <v>52</v>
      </c>
      <c r="L61" s="162" t="s">
        <v>50</v>
      </c>
    </row>
    <row r="62" spans="2:12">
      <c r="B62" s="22">
        <v>44</v>
      </c>
      <c r="C62" s="157">
        <v>45975</v>
      </c>
      <c r="D62" s="157">
        <v>45975</v>
      </c>
      <c r="E62" s="24" t="s">
        <v>237</v>
      </c>
      <c r="F62" s="24"/>
      <c r="H62" s="183">
        <v>12400</v>
      </c>
      <c r="I62" s="163" t="s">
        <v>270</v>
      </c>
      <c r="J62" s="115" t="s">
        <v>289</v>
      </c>
      <c r="K62" s="115" t="s">
        <v>82</v>
      </c>
      <c r="L62" s="162" t="s">
        <v>50</v>
      </c>
    </row>
    <row r="63" spans="2:12">
      <c r="B63" s="22">
        <v>45</v>
      </c>
      <c r="C63" s="157">
        <v>45979</v>
      </c>
      <c r="D63" s="157">
        <v>45979</v>
      </c>
      <c r="E63" s="24" t="s">
        <v>299</v>
      </c>
      <c r="F63" s="24"/>
      <c r="H63" s="183">
        <v>60000</v>
      </c>
      <c r="I63" s="96" t="s">
        <v>300</v>
      </c>
      <c r="J63" s="115" t="s">
        <v>301</v>
      </c>
      <c r="K63" s="115" t="s">
        <v>82</v>
      </c>
      <c r="L63" s="162" t="s">
        <v>308</v>
      </c>
    </row>
    <row r="64" spans="2:12">
      <c r="B64" s="22">
        <v>46</v>
      </c>
      <c r="C64" s="157">
        <v>45979</v>
      </c>
      <c r="D64" s="157">
        <v>45979</v>
      </c>
      <c r="E64" s="24" t="s">
        <v>238</v>
      </c>
      <c r="F64" s="24"/>
      <c r="H64" s="183">
        <v>71037</v>
      </c>
      <c r="I64" s="163" t="s">
        <v>290</v>
      </c>
      <c r="J64" s="115" t="s">
        <v>291</v>
      </c>
      <c r="K64" s="115" t="s">
        <v>83</v>
      </c>
      <c r="L64" s="162" t="s">
        <v>309</v>
      </c>
    </row>
    <row r="65" spans="2:12">
      <c r="B65" s="22">
        <v>47</v>
      </c>
      <c r="C65" s="157">
        <v>45981</v>
      </c>
      <c r="D65" s="157">
        <v>45981</v>
      </c>
      <c r="E65" s="24" t="s">
        <v>239</v>
      </c>
      <c r="F65" s="24"/>
      <c r="H65" s="183">
        <v>130000</v>
      </c>
      <c r="I65" s="162" t="s">
        <v>270</v>
      </c>
      <c r="J65" s="115" t="s">
        <v>292</v>
      </c>
      <c r="K65" s="115" t="s">
        <v>82</v>
      </c>
      <c r="L65" s="163" t="s">
        <v>50</v>
      </c>
    </row>
    <row r="66" spans="2:12">
      <c r="B66" s="22">
        <v>48</v>
      </c>
      <c r="C66" s="157">
        <v>45987</v>
      </c>
      <c r="D66" s="157">
        <v>45987</v>
      </c>
      <c r="E66" s="24" t="s">
        <v>358</v>
      </c>
      <c r="F66" s="24"/>
      <c r="H66" s="183">
        <v>47880</v>
      </c>
      <c r="I66" s="162" t="s">
        <v>359</v>
      </c>
      <c r="J66" s="115" t="s">
        <v>360</v>
      </c>
      <c r="K66" s="115" t="s">
        <v>52</v>
      </c>
      <c r="L66" s="162" t="s">
        <v>361</v>
      </c>
    </row>
    <row r="67" spans="2:12">
      <c r="B67" s="22">
        <v>49</v>
      </c>
      <c r="C67" s="157">
        <v>45989</v>
      </c>
      <c r="D67" s="157">
        <v>45988</v>
      </c>
      <c r="E67" s="24" t="s">
        <v>118</v>
      </c>
      <c r="F67" s="24">
        <v>806124</v>
      </c>
      <c r="H67" s="183">
        <v>1450000</v>
      </c>
      <c r="I67" s="162" t="s">
        <v>131</v>
      </c>
      <c r="J67" s="115" t="s">
        <v>130</v>
      </c>
      <c r="K67" s="115" t="s">
        <v>495</v>
      </c>
      <c r="L67" s="162" t="s">
        <v>310</v>
      </c>
    </row>
    <row r="68" spans="2:12">
      <c r="B68" s="22">
        <v>50</v>
      </c>
      <c r="C68" s="157">
        <v>45992</v>
      </c>
      <c r="D68" s="157">
        <v>45990</v>
      </c>
      <c r="E68" s="24" t="s">
        <v>100</v>
      </c>
      <c r="F68" s="24">
        <v>100552</v>
      </c>
      <c r="H68" s="183">
        <v>84000</v>
      </c>
      <c r="I68" s="163" t="s">
        <v>362</v>
      </c>
      <c r="J68" s="115"/>
      <c r="K68" s="115" t="s">
        <v>83</v>
      </c>
      <c r="L68" s="163" t="s">
        <v>494</v>
      </c>
    </row>
    <row r="69" spans="2:12">
      <c r="B69" s="22">
        <v>51</v>
      </c>
      <c r="C69" s="157">
        <v>45993</v>
      </c>
      <c r="D69" s="157">
        <v>45993</v>
      </c>
      <c r="E69" s="24" t="s">
        <v>313</v>
      </c>
      <c r="F69" s="158"/>
      <c r="H69" s="183">
        <v>135000</v>
      </c>
      <c r="I69" s="169" t="s">
        <v>453</v>
      </c>
      <c r="J69" s="115" t="s">
        <v>454</v>
      </c>
      <c r="K69" s="115"/>
      <c r="L69" s="163" t="s">
        <v>50</v>
      </c>
    </row>
    <row r="70" spans="2:12">
      <c r="B70" s="22">
        <v>52</v>
      </c>
      <c r="C70" s="157">
        <v>45996</v>
      </c>
      <c r="D70" s="157">
        <v>45996</v>
      </c>
      <c r="E70" s="24" t="s">
        <v>315</v>
      </c>
      <c r="F70" s="158"/>
      <c r="H70" s="183">
        <v>33000</v>
      </c>
      <c r="I70" s="162" t="s">
        <v>363</v>
      </c>
      <c r="J70" s="115" t="s">
        <v>364</v>
      </c>
      <c r="K70" s="115" t="s">
        <v>83</v>
      </c>
      <c r="L70" s="163" t="s">
        <v>494</v>
      </c>
    </row>
    <row r="71" spans="2:12">
      <c r="B71" s="22">
        <v>53</v>
      </c>
      <c r="C71" s="157">
        <v>46000</v>
      </c>
      <c r="D71" s="157">
        <v>46000</v>
      </c>
      <c r="E71" s="24" t="s">
        <v>316</v>
      </c>
      <c r="F71" s="158"/>
      <c r="H71" s="183">
        <v>56000</v>
      </c>
      <c r="I71" s="163" t="s">
        <v>366</v>
      </c>
      <c r="J71" s="115" t="s">
        <v>367</v>
      </c>
      <c r="K71" s="115" t="s">
        <v>52</v>
      </c>
      <c r="L71" s="163" t="s">
        <v>494</v>
      </c>
    </row>
    <row r="72" spans="2:12">
      <c r="B72" s="22">
        <v>54</v>
      </c>
      <c r="C72" s="157">
        <v>46000</v>
      </c>
      <c r="D72" s="157">
        <v>45996</v>
      </c>
      <c r="E72" s="24" t="s">
        <v>100</v>
      </c>
      <c r="F72" s="24">
        <v>98359</v>
      </c>
      <c r="H72" s="183">
        <v>416780</v>
      </c>
      <c r="I72" s="162" t="s">
        <v>365</v>
      </c>
      <c r="J72" s="115"/>
      <c r="K72" s="115" t="s">
        <v>83</v>
      </c>
      <c r="L72" s="163" t="s">
        <v>494</v>
      </c>
    </row>
    <row r="73" spans="2:12">
      <c r="B73" s="22">
        <v>55</v>
      </c>
      <c r="C73" s="157">
        <v>46000</v>
      </c>
      <c r="D73" s="157">
        <v>45996</v>
      </c>
      <c r="E73" s="24" t="s">
        <v>100</v>
      </c>
      <c r="F73" s="24">
        <v>98724</v>
      </c>
      <c r="H73" s="183">
        <v>416780</v>
      </c>
      <c r="I73" s="163" t="s">
        <v>365</v>
      </c>
      <c r="J73" s="115"/>
      <c r="K73" s="115" t="s">
        <v>83</v>
      </c>
      <c r="L73" s="163" t="s">
        <v>494</v>
      </c>
    </row>
    <row r="74" spans="2:12">
      <c r="B74" s="22">
        <v>56</v>
      </c>
      <c r="C74" s="157">
        <v>46008</v>
      </c>
      <c r="D74" s="157">
        <v>46008</v>
      </c>
      <c r="E74" s="24" t="s">
        <v>317</v>
      </c>
      <c r="F74" s="158"/>
      <c r="H74" s="183">
        <v>180000</v>
      </c>
      <c r="I74" s="169" t="s">
        <v>368</v>
      </c>
      <c r="J74" s="115" t="s">
        <v>369</v>
      </c>
      <c r="K74" s="115" t="s">
        <v>215</v>
      </c>
      <c r="L74" s="163" t="s">
        <v>494</v>
      </c>
    </row>
    <row r="75" spans="2:12">
      <c r="B75" s="22">
        <v>57</v>
      </c>
      <c r="C75" s="157">
        <v>46009</v>
      </c>
      <c r="D75" s="157">
        <v>46009</v>
      </c>
      <c r="E75" s="24" t="s">
        <v>318</v>
      </c>
      <c r="F75" s="158"/>
      <c r="H75" s="183">
        <v>54000</v>
      </c>
      <c r="I75" s="169" t="s">
        <v>370</v>
      </c>
      <c r="J75" s="115" t="s">
        <v>371</v>
      </c>
      <c r="K75" s="115" t="s">
        <v>83</v>
      </c>
      <c r="L75" s="163" t="s">
        <v>494</v>
      </c>
    </row>
    <row r="76" spans="2:12">
      <c r="B76" s="22">
        <v>58</v>
      </c>
      <c r="C76" s="157">
        <v>46009</v>
      </c>
      <c r="D76" s="157">
        <v>46009</v>
      </c>
      <c r="E76" s="24" t="s">
        <v>319</v>
      </c>
      <c r="F76" s="158"/>
      <c r="H76" s="183">
        <v>120000</v>
      </c>
      <c r="I76" s="169" t="s">
        <v>286</v>
      </c>
      <c r="J76" s="115" t="s">
        <v>372</v>
      </c>
      <c r="K76" s="115" t="s">
        <v>83</v>
      </c>
      <c r="L76" s="163" t="s">
        <v>494</v>
      </c>
    </row>
    <row r="77" spans="2:12">
      <c r="B77" s="22">
        <v>59</v>
      </c>
      <c r="C77" s="157">
        <v>46010</v>
      </c>
      <c r="D77" s="157">
        <v>46009</v>
      </c>
      <c r="E77" s="24" t="s">
        <v>118</v>
      </c>
      <c r="F77" s="24">
        <v>802450</v>
      </c>
      <c r="H77" s="183">
        <v>240000</v>
      </c>
      <c r="I77" s="174" t="s">
        <v>373</v>
      </c>
      <c r="J77" s="115"/>
      <c r="K77" s="115" t="s">
        <v>52</v>
      </c>
      <c r="L77" s="163" t="s">
        <v>494</v>
      </c>
    </row>
    <row r="78" spans="2:12">
      <c r="B78" s="22">
        <v>60</v>
      </c>
      <c r="C78" s="157">
        <v>46013</v>
      </c>
      <c r="D78" s="157">
        <v>46013</v>
      </c>
      <c r="E78" s="24" t="s">
        <v>314</v>
      </c>
      <c r="F78" s="158"/>
      <c r="H78" s="183">
        <v>44000</v>
      </c>
      <c r="I78" s="174" t="s">
        <v>374</v>
      </c>
      <c r="J78" s="115" t="s">
        <v>375</v>
      </c>
      <c r="K78" s="115" t="s">
        <v>52</v>
      </c>
      <c r="L78" s="162" t="s">
        <v>50</v>
      </c>
    </row>
    <row r="79" spans="2:12">
      <c r="B79" s="22">
        <v>61</v>
      </c>
      <c r="C79" s="157">
        <v>46013</v>
      </c>
      <c r="D79" s="157">
        <v>46013</v>
      </c>
      <c r="E79" s="24" t="s">
        <v>376</v>
      </c>
      <c r="F79" s="158"/>
      <c r="H79" s="183">
        <v>136800</v>
      </c>
      <c r="I79" s="96" t="s">
        <v>377</v>
      </c>
      <c r="J79" s="115"/>
      <c r="K79" s="115" t="s">
        <v>83</v>
      </c>
      <c r="L79" s="163" t="s">
        <v>488</v>
      </c>
    </row>
    <row r="80" spans="2:12">
      <c r="B80" s="22">
        <v>62</v>
      </c>
      <c r="C80" s="157">
        <v>46017</v>
      </c>
      <c r="D80" s="157">
        <v>46017</v>
      </c>
      <c r="E80" s="24" t="s">
        <v>320</v>
      </c>
      <c r="F80" s="158"/>
      <c r="H80" s="183">
        <v>21000</v>
      </c>
      <c r="I80" s="115" t="s">
        <v>455</v>
      </c>
      <c r="J80" s="115" t="s">
        <v>456</v>
      </c>
      <c r="K80" s="115"/>
      <c r="L80" s="162" t="s">
        <v>50</v>
      </c>
    </row>
    <row r="81" spans="2:12">
      <c r="B81" s="22">
        <v>63</v>
      </c>
      <c r="C81" s="157">
        <v>46020</v>
      </c>
      <c r="D81" s="157">
        <v>46020</v>
      </c>
      <c r="E81" s="24" t="s">
        <v>321</v>
      </c>
      <c r="F81" s="158"/>
      <c r="H81" s="183">
        <v>100000</v>
      </c>
      <c r="I81" s="115" t="s">
        <v>378</v>
      </c>
      <c r="J81" s="115" t="s">
        <v>379</v>
      </c>
      <c r="K81" s="115" t="s">
        <v>52</v>
      </c>
      <c r="L81" s="163" t="s">
        <v>494</v>
      </c>
    </row>
    <row r="82" spans="2:12">
      <c r="B82" s="22">
        <v>64</v>
      </c>
      <c r="C82" s="157">
        <v>46021</v>
      </c>
      <c r="D82" s="157">
        <v>46021</v>
      </c>
      <c r="E82" s="24" t="s">
        <v>322</v>
      </c>
      <c r="F82" s="158"/>
      <c r="H82" s="183">
        <v>40000</v>
      </c>
      <c r="I82" s="115" t="s">
        <v>380</v>
      </c>
      <c r="J82" s="115" t="s">
        <v>381</v>
      </c>
      <c r="K82" s="115" t="s">
        <v>52</v>
      </c>
      <c r="L82" s="163" t="s">
        <v>494</v>
      </c>
    </row>
    <row r="83" spans="2:12">
      <c r="B83" s="22">
        <v>65</v>
      </c>
      <c r="C83" s="157">
        <v>46027</v>
      </c>
      <c r="D83" s="157">
        <v>46024</v>
      </c>
      <c r="E83" s="185" t="s">
        <v>100</v>
      </c>
      <c r="F83" s="185">
        <v>817178</v>
      </c>
      <c r="G83" s="187"/>
      <c r="H83" s="194">
        <v>26640</v>
      </c>
      <c r="I83" s="96" t="s">
        <v>457</v>
      </c>
      <c r="J83" s="115" t="s">
        <v>458</v>
      </c>
      <c r="K83" s="115" t="s">
        <v>52</v>
      </c>
      <c r="L83" s="163" t="s">
        <v>488</v>
      </c>
    </row>
    <row r="84" spans="2:12">
      <c r="B84" s="22">
        <v>66</v>
      </c>
      <c r="C84" s="184">
        <v>46028</v>
      </c>
      <c r="D84" s="184">
        <v>46028</v>
      </c>
      <c r="E84" s="185" t="s">
        <v>390</v>
      </c>
      <c r="F84" s="186"/>
      <c r="G84" s="187"/>
      <c r="H84" s="194">
        <v>42000</v>
      </c>
      <c r="I84" s="96" t="s">
        <v>459</v>
      </c>
      <c r="J84" s="115" t="s">
        <v>460</v>
      </c>
      <c r="K84" s="115" t="s">
        <v>396</v>
      </c>
      <c r="L84" s="163" t="s">
        <v>493</v>
      </c>
    </row>
    <row r="85" spans="2:12">
      <c r="B85" s="22">
        <v>67</v>
      </c>
      <c r="C85" s="184">
        <v>46030</v>
      </c>
      <c r="D85" s="184">
        <v>46030</v>
      </c>
      <c r="E85" s="185" t="s">
        <v>385</v>
      </c>
      <c r="F85" s="186"/>
      <c r="G85" s="187"/>
      <c r="H85" s="194">
        <v>25000</v>
      </c>
      <c r="I85" s="96" t="s">
        <v>461</v>
      </c>
      <c r="J85" s="115" t="s">
        <v>462</v>
      </c>
      <c r="K85" s="115" t="s">
        <v>52</v>
      </c>
      <c r="L85" s="163" t="s">
        <v>488</v>
      </c>
    </row>
    <row r="86" spans="2:12">
      <c r="B86" s="22">
        <v>68</v>
      </c>
      <c r="C86" s="184">
        <v>46037</v>
      </c>
      <c r="D86" s="184">
        <v>46037</v>
      </c>
      <c r="E86" s="185" t="s">
        <v>391</v>
      </c>
      <c r="F86" s="186"/>
      <c r="G86" s="187"/>
      <c r="H86" s="194">
        <v>51900</v>
      </c>
      <c r="I86" s="162" t="s">
        <v>205</v>
      </c>
      <c r="J86" s="115" t="s">
        <v>463</v>
      </c>
      <c r="K86" s="115" t="s">
        <v>82</v>
      </c>
      <c r="L86" s="163" t="s">
        <v>493</v>
      </c>
    </row>
    <row r="87" spans="2:12">
      <c r="B87" s="22">
        <v>69</v>
      </c>
      <c r="C87" s="184">
        <v>46038</v>
      </c>
      <c r="D87" s="184">
        <v>46038</v>
      </c>
      <c r="E87" s="185" t="s">
        <v>382</v>
      </c>
      <c r="F87" s="186"/>
      <c r="G87" s="187"/>
      <c r="H87" s="194">
        <v>10000</v>
      </c>
      <c r="I87" s="162" t="s">
        <v>205</v>
      </c>
      <c r="J87" s="115" t="s">
        <v>464</v>
      </c>
      <c r="K87" s="115" t="s">
        <v>82</v>
      </c>
      <c r="L87" s="163" t="s">
        <v>493</v>
      </c>
    </row>
    <row r="88" spans="2:12">
      <c r="B88" s="22">
        <v>70</v>
      </c>
      <c r="C88" s="184">
        <v>46038</v>
      </c>
      <c r="D88" s="184">
        <v>46038</v>
      </c>
      <c r="E88" s="185" t="s">
        <v>389</v>
      </c>
      <c r="F88" s="186"/>
      <c r="G88" s="187"/>
      <c r="H88" s="194">
        <v>36000</v>
      </c>
      <c r="I88" s="162" t="s">
        <v>465</v>
      </c>
      <c r="J88" s="115" t="s">
        <v>466</v>
      </c>
      <c r="K88" s="115" t="s">
        <v>396</v>
      </c>
      <c r="L88" s="163" t="s">
        <v>493</v>
      </c>
    </row>
    <row r="89" spans="2:12">
      <c r="B89" s="22">
        <v>71</v>
      </c>
      <c r="C89" s="184">
        <v>46042</v>
      </c>
      <c r="D89" s="184">
        <v>46042</v>
      </c>
      <c r="E89" s="185" t="s">
        <v>386</v>
      </c>
      <c r="F89" s="186"/>
      <c r="G89" s="187"/>
      <c r="H89" s="194">
        <v>31275</v>
      </c>
      <c r="I89" s="162" t="s">
        <v>467</v>
      </c>
      <c r="J89" s="115" t="s">
        <v>468</v>
      </c>
      <c r="K89" s="115" t="s">
        <v>52</v>
      </c>
      <c r="L89" s="163" t="s">
        <v>488</v>
      </c>
    </row>
    <row r="90" spans="2:12">
      <c r="B90" s="22">
        <v>72</v>
      </c>
      <c r="C90" s="184">
        <v>46043</v>
      </c>
      <c r="D90" s="184">
        <v>46043</v>
      </c>
      <c r="E90" s="185" t="s">
        <v>387</v>
      </c>
      <c r="F90" s="186"/>
      <c r="G90" s="187"/>
      <c r="H90" s="194">
        <v>32000</v>
      </c>
      <c r="I90" s="162" t="s">
        <v>469</v>
      </c>
      <c r="J90" s="115"/>
      <c r="K90" s="115" t="s">
        <v>215</v>
      </c>
      <c r="L90" s="163" t="s">
        <v>493</v>
      </c>
    </row>
    <row r="91" spans="2:12">
      <c r="B91" s="22">
        <v>73</v>
      </c>
      <c r="C91" s="184">
        <v>46045</v>
      </c>
      <c r="D91" s="184">
        <v>46045</v>
      </c>
      <c r="E91" s="185" t="s">
        <v>388</v>
      </c>
      <c r="F91" s="186"/>
      <c r="G91" s="187"/>
      <c r="H91" s="194">
        <v>34500</v>
      </c>
      <c r="I91" s="162" t="s">
        <v>470</v>
      </c>
      <c r="J91" s="115"/>
      <c r="K91" s="115" t="s">
        <v>52</v>
      </c>
      <c r="L91" s="163" t="s">
        <v>488</v>
      </c>
    </row>
    <row r="92" spans="2:12">
      <c r="B92" s="22">
        <v>74</v>
      </c>
      <c r="C92" s="184">
        <v>46048</v>
      </c>
      <c r="D92" s="184">
        <v>46048</v>
      </c>
      <c r="E92" s="185" t="s">
        <v>383</v>
      </c>
      <c r="F92" s="186"/>
      <c r="G92" s="187"/>
      <c r="H92" s="194">
        <v>20100</v>
      </c>
      <c r="I92" s="163" t="s">
        <v>205</v>
      </c>
      <c r="J92" s="115" t="s">
        <v>471</v>
      </c>
      <c r="K92" s="115" t="s">
        <v>82</v>
      </c>
      <c r="L92" s="163" t="s">
        <v>493</v>
      </c>
    </row>
    <row r="93" spans="2:12">
      <c r="B93" s="22">
        <v>75</v>
      </c>
      <c r="C93" s="184">
        <v>46048</v>
      </c>
      <c r="D93" s="184">
        <v>46048</v>
      </c>
      <c r="E93" s="185" t="s">
        <v>392</v>
      </c>
      <c r="F93" s="186"/>
      <c r="G93" s="187"/>
      <c r="H93" s="194">
        <v>600000</v>
      </c>
      <c r="I93" s="162" t="s">
        <v>472</v>
      </c>
      <c r="J93" s="115" t="s">
        <v>473</v>
      </c>
      <c r="K93" s="115" t="s">
        <v>271</v>
      </c>
      <c r="L93" s="163" t="s">
        <v>493</v>
      </c>
    </row>
    <row r="94" spans="2:12">
      <c r="B94" s="22">
        <v>76</v>
      </c>
      <c r="C94" s="184">
        <v>46053</v>
      </c>
      <c r="D94" s="184">
        <v>46053</v>
      </c>
      <c r="E94" s="185" t="s">
        <v>384</v>
      </c>
      <c r="F94" s="186"/>
      <c r="G94" s="187"/>
      <c r="H94" s="194">
        <v>24200</v>
      </c>
      <c r="I94" s="163" t="s">
        <v>474</v>
      </c>
      <c r="J94" s="115" t="s">
        <v>475</v>
      </c>
      <c r="K94" s="115" t="s">
        <v>83</v>
      </c>
      <c r="L94" s="163" t="s">
        <v>488</v>
      </c>
    </row>
    <row r="95" spans="2:12">
      <c r="B95" s="22">
        <v>77</v>
      </c>
      <c r="C95" s="184">
        <v>46057</v>
      </c>
      <c r="D95" s="184">
        <v>46057</v>
      </c>
      <c r="E95" s="185" t="s">
        <v>123</v>
      </c>
      <c r="F95" s="186"/>
      <c r="G95" s="187"/>
      <c r="H95" s="194">
        <v>24000</v>
      </c>
      <c r="I95" s="162" t="s">
        <v>498</v>
      </c>
      <c r="J95" s="115" t="s">
        <v>499</v>
      </c>
      <c r="K95" s="115" t="s">
        <v>52</v>
      </c>
      <c r="L95" s="163" t="s">
        <v>50</v>
      </c>
    </row>
    <row r="96" spans="2:12">
      <c r="B96" s="22">
        <v>78</v>
      </c>
      <c r="C96" s="184">
        <v>46057</v>
      </c>
      <c r="D96" s="184">
        <v>46057</v>
      </c>
      <c r="E96" s="185" t="s">
        <v>477</v>
      </c>
      <c r="F96" s="186"/>
      <c r="G96" s="187"/>
      <c r="H96" s="194">
        <v>48600</v>
      </c>
      <c r="I96" s="162" t="s">
        <v>500</v>
      </c>
      <c r="J96" s="115" t="s">
        <v>501</v>
      </c>
      <c r="K96" s="115" t="s">
        <v>52</v>
      </c>
      <c r="L96" s="163" t="s">
        <v>502</v>
      </c>
    </row>
    <row r="97" spans="2:12">
      <c r="B97" s="22">
        <v>79</v>
      </c>
      <c r="C97" s="184">
        <v>46064</v>
      </c>
      <c r="D97" s="184">
        <v>46063</v>
      </c>
      <c r="E97" s="185" t="s">
        <v>100</v>
      </c>
      <c r="F97" s="185">
        <v>167650</v>
      </c>
      <c r="G97" s="187"/>
      <c r="H97" s="194">
        <v>81000</v>
      </c>
      <c r="I97" s="162" t="s">
        <v>503</v>
      </c>
      <c r="J97" s="162" t="s">
        <v>503</v>
      </c>
      <c r="K97" s="115" t="s">
        <v>52</v>
      </c>
      <c r="L97" s="163" t="s">
        <v>502</v>
      </c>
    </row>
    <row r="98" spans="2:12">
      <c r="B98" s="22">
        <v>80</v>
      </c>
      <c r="C98" s="184">
        <v>46067</v>
      </c>
      <c r="D98" s="184">
        <v>46067</v>
      </c>
      <c r="E98" s="185" t="s">
        <v>480</v>
      </c>
      <c r="F98" s="186"/>
      <c r="G98" s="187"/>
      <c r="H98" s="194">
        <v>241500</v>
      </c>
      <c r="I98" s="162" t="s">
        <v>504</v>
      </c>
      <c r="J98" s="115" t="s">
        <v>505</v>
      </c>
      <c r="K98" s="115" t="s">
        <v>52</v>
      </c>
      <c r="L98" s="163" t="s">
        <v>502</v>
      </c>
    </row>
    <row r="99" spans="2:12">
      <c r="B99" s="22">
        <v>81</v>
      </c>
      <c r="C99" s="184">
        <v>46073</v>
      </c>
      <c r="D99" s="184">
        <v>46073</v>
      </c>
      <c r="E99" s="185" t="s">
        <v>476</v>
      </c>
      <c r="F99" s="186"/>
      <c r="G99" s="187"/>
      <c r="H99" s="194">
        <v>32000</v>
      </c>
      <c r="I99" s="162" t="s">
        <v>506</v>
      </c>
      <c r="J99" s="115" t="s">
        <v>507</v>
      </c>
      <c r="K99" s="115" t="s">
        <v>508</v>
      </c>
      <c r="L99" s="163" t="s">
        <v>502</v>
      </c>
    </row>
    <row r="100" spans="2:12">
      <c r="B100" s="22">
        <v>82</v>
      </c>
      <c r="C100" s="184">
        <v>46077</v>
      </c>
      <c r="D100" s="184">
        <v>46077</v>
      </c>
      <c r="E100" s="185" t="s">
        <v>478</v>
      </c>
      <c r="F100" s="186"/>
      <c r="G100" s="187"/>
      <c r="H100" s="194">
        <v>55200</v>
      </c>
      <c r="I100" s="162" t="s">
        <v>509</v>
      </c>
      <c r="J100" s="115" t="s">
        <v>510</v>
      </c>
      <c r="K100" s="115" t="s">
        <v>83</v>
      </c>
      <c r="L100" s="163" t="s">
        <v>502</v>
      </c>
    </row>
    <row r="101" spans="2:12">
      <c r="B101" s="22">
        <v>83</v>
      </c>
      <c r="C101" s="184">
        <v>46081</v>
      </c>
      <c r="D101" s="184">
        <v>46081</v>
      </c>
      <c r="E101" s="185" t="s">
        <v>479</v>
      </c>
      <c r="F101" s="186"/>
      <c r="G101" s="187"/>
      <c r="H101" s="194">
        <v>64100</v>
      </c>
      <c r="I101" s="162" t="s">
        <v>511</v>
      </c>
      <c r="J101" s="115" t="s">
        <v>512</v>
      </c>
      <c r="K101" s="115" t="s">
        <v>82</v>
      </c>
      <c r="L101" s="163" t="s">
        <v>50</v>
      </c>
    </row>
    <row r="102" spans="2:12">
      <c r="B102" s="22">
        <v>84</v>
      </c>
      <c r="C102" s="184">
        <v>46084</v>
      </c>
      <c r="D102" s="184">
        <v>46084</v>
      </c>
      <c r="E102" s="182" t="s">
        <v>514</v>
      </c>
      <c r="F102" s="182"/>
      <c r="H102" s="194">
        <v>12000</v>
      </c>
      <c r="I102" s="162" t="s">
        <v>929</v>
      </c>
      <c r="J102" s="115" t="s">
        <v>930</v>
      </c>
      <c r="K102" s="115" t="s">
        <v>496</v>
      </c>
      <c r="L102" s="163" t="s">
        <v>595</v>
      </c>
    </row>
    <row r="103" spans="2:12">
      <c r="B103" s="22">
        <v>85</v>
      </c>
      <c r="C103" s="184">
        <v>46087</v>
      </c>
      <c r="D103" s="184">
        <v>46087</v>
      </c>
      <c r="E103" s="182" t="s">
        <v>515</v>
      </c>
      <c r="F103" s="182"/>
      <c r="H103" s="194">
        <v>95800</v>
      </c>
      <c r="I103" s="162" t="s">
        <v>931</v>
      </c>
      <c r="J103" s="115" t="s">
        <v>932</v>
      </c>
      <c r="K103" s="115" t="s">
        <v>52</v>
      </c>
      <c r="L103" s="163" t="s">
        <v>592</v>
      </c>
    </row>
    <row r="104" spans="2:12">
      <c r="B104" s="22">
        <v>86</v>
      </c>
      <c r="C104" s="184">
        <v>46087</v>
      </c>
      <c r="D104" s="184">
        <v>46087</v>
      </c>
      <c r="E104" s="182" t="s">
        <v>516</v>
      </c>
      <c r="F104" s="182"/>
      <c r="H104" s="194">
        <v>149265</v>
      </c>
      <c r="I104" s="162" t="s">
        <v>101</v>
      </c>
      <c r="J104" s="115" t="s">
        <v>933</v>
      </c>
      <c r="K104" s="115"/>
      <c r="L104" s="163" t="s">
        <v>50</v>
      </c>
    </row>
    <row r="105" spans="2:12">
      <c r="B105" s="22">
        <v>87</v>
      </c>
      <c r="C105" s="184">
        <v>46093</v>
      </c>
      <c r="D105" s="184">
        <v>46093</v>
      </c>
      <c r="E105" s="182" t="s">
        <v>517</v>
      </c>
      <c r="F105" s="182"/>
      <c r="H105" s="194">
        <v>18800</v>
      </c>
      <c r="I105" s="162" t="s">
        <v>934</v>
      </c>
      <c r="J105" s="115" t="s">
        <v>935</v>
      </c>
      <c r="K105" s="115" t="s">
        <v>83</v>
      </c>
      <c r="L105" s="163" t="s">
        <v>592</v>
      </c>
    </row>
    <row r="106" spans="2:12">
      <c r="B106" s="22">
        <v>88</v>
      </c>
      <c r="C106" s="184">
        <v>46099</v>
      </c>
      <c r="D106" s="184">
        <v>46099</v>
      </c>
      <c r="E106" s="182" t="s">
        <v>518</v>
      </c>
      <c r="F106" s="182"/>
      <c r="H106" s="194">
        <v>273000</v>
      </c>
      <c r="I106" s="162" t="s">
        <v>936</v>
      </c>
      <c r="J106" s="115" t="s">
        <v>937</v>
      </c>
      <c r="K106" s="115" t="s">
        <v>83</v>
      </c>
      <c r="L106" s="163" t="s">
        <v>592</v>
      </c>
    </row>
    <row r="107" spans="2:12">
      <c r="B107" s="22">
        <v>89</v>
      </c>
      <c r="C107" s="184">
        <v>46107</v>
      </c>
      <c r="D107" s="184">
        <v>46107</v>
      </c>
      <c r="E107" s="182" t="s">
        <v>519</v>
      </c>
      <c r="F107" s="182"/>
      <c r="H107" s="194">
        <v>11400</v>
      </c>
      <c r="I107" s="162" t="s">
        <v>938</v>
      </c>
      <c r="J107" s="115" t="s">
        <v>939</v>
      </c>
      <c r="K107" s="115" t="s">
        <v>83</v>
      </c>
      <c r="L107" s="163" t="s">
        <v>592</v>
      </c>
    </row>
    <row r="108" spans="2:12">
      <c r="B108" s="22">
        <v>90</v>
      </c>
      <c r="C108" s="184">
        <v>46112</v>
      </c>
      <c r="D108" s="184">
        <v>46112</v>
      </c>
      <c r="E108" s="182" t="s">
        <v>520</v>
      </c>
      <c r="F108" s="182"/>
      <c r="H108" s="194">
        <v>10000</v>
      </c>
      <c r="I108" s="162" t="s">
        <v>543</v>
      </c>
      <c r="J108" s="115"/>
      <c r="K108" s="115"/>
      <c r="L108" s="163" t="s">
        <v>596</v>
      </c>
    </row>
    <row r="109" spans="2:12">
      <c r="B109" s="22">
        <v>91</v>
      </c>
      <c r="C109" s="200">
        <v>46112</v>
      </c>
      <c r="D109" s="200">
        <v>46112</v>
      </c>
      <c r="E109" s="182" t="s">
        <v>940</v>
      </c>
      <c r="F109" s="182"/>
      <c r="H109" s="195">
        <v>22648</v>
      </c>
      <c r="I109" s="162"/>
      <c r="J109" s="115"/>
      <c r="K109" s="115"/>
      <c r="L109" s="163"/>
    </row>
    <row r="110" spans="2:12">
      <c r="B110" s="22">
        <v>92</v>
      </c>
      <c r="C110" s="200">
        <v>46112</v>
      </c>
      <c r="D110" s="200">
        <v>46112</v>
      </c>
      <c r="E110" s="182" t="s">
        <v>521</v>
      </c>
      <c r="F110" s="182"/>
      <c r="H110" s="194">
        <v>220000</v>
      </c>
      <c r="I110" s="162" t="s">
        <v>543</v>
      </c>
      <c r="J110" s="163"/>
      <c r="K110" s="115"/>
      <c r="L110" s="163" t="s">
        <v>596</v>
      </c>
    </row>
    <row r="111" spans="2:12">
      <c r="B111" s="22">
        <v>93</v>
      </c>
      <c r="C111" s="200">
        <v>46113</v>
      </c>
      <c r="D111" s="200">
        <v>46112</v>
      </c>
      <c r="E111" s="182" t="s">
        <v>118</v>
      </c>
      <c r="F111" s="182" t="s">
        <v>941</v>
      </c>
      <c r="H111" s="195">
        <v>15000</v>
      </c>
      <c r="I111" s="162"/>
      <c r="J111" s="115"/>
      <c r="K111" s="115"/>
      <c r="L111" s="163"/>
    </row>
    <row r="112" spans="2:12">
      <c r="B112" s="22">
        <v>94</v>
      </c>
      <c r="C112" s="200">
        <v>46113</v>
      </c>
      <c r="D112" s="200">
        <v>46112</v>
      </c>
      <c r="E112" s="182" t="s">
        <v>118</v>
      </c>
      <c r="F112" s="182" t="s">
        <v>942</v>
      </c>
      <c r="H112" s="195">
        <v>25800</v>
      </c>
      <c r="I112" s="162"/>
      <c r="J112" s="115"/>
      <c r="K112" s="115"/>
      <c r="L112" s="163"/>
    </row>
    <row r="113" spans="2:12">
      <c r="B113" s="22">
        <v>95</v>
      </c>
      <c r="C113" s="200">
        <v>46113</v>
      </c>
      <c r="D113" s="200">
        <v>46112</v>
      </c>
      <c r="E113" s="182" t="s">
        <v>100</v>
      </c>
      <c r="F113" s="182" t="s">
        <v>943</v>
      </c>
      <c r="H113" s="195">
        <v>60000</v>
      </c>
      <c r="I113" s="162"/>
      <c r="J113" s="115"/>
      <c r="K113" s="115"/>
      <c r="L113" s="163"/>
    </row>
    <row r="114" spans="2:12">
      <c r="B114" s="22">
        <v>96</v>
      </c>
      <c r="C114" s="200">
        <v>46118</v>
      </c>
      <c r="D114" s="200">
        <v>46118</v>
      </c>
      <c r="E114" s="182" t="s">
        <v>944</v>
      </c>
      <c r="F114" s="182"/>
      <c r="H114" s="195">
        <v>21100</v>
      </c>
      <c r="I114" s="162"/>
      <c r="J114" s="115"/>
      <c r="K114" s="115"/>
      <c r="L114" s="163"/>
    </row>
    <row r="115" spans="2:12">
      <c r="B115" s="22">
        <v>97</v>
      </c>
      <c r="C115" s="200">
        <v>46118</v>
      </c>
      <c r="D115" s="200">
        <v>46118</v>
      </c>
      <c r="E115" s="182" t="s">
        <v>945</v>
      </c>
      <c r="F115" s="182"/>
      <c r="H115" s="195">
        <v>104000</v>
      </c>
      <c r="I115" s="162"/>
      <c r="J115" s="115"/>
      <c r="K115" s="115"/>
      <c r="L115" s="163"/>
    </row>
    <row r="116" spans="2:12">
      <c r="B116" s="22">
        <v>98</v>
      </c>
      <c r="C116" s="184">
        <v>46121</v>
      </c>
      <c r="D116" s="184">
        <v>46121</v>
      </c>
      <c r="E116" s="182" t="s">
        <v>946</v>
      </c>
      <c r="F116" s="182"/>
      <c r="H116" s="195">
        <v>8050</v>
      </c>
      <c r="I116" s="162"/>
      <c r="K116" s="115"/>
      <c r="L116" s="163"/>
    </row>
    <row r="117" spans="2:12">
      <c r="B117" s="22">
        <v>99</v>
      </c>
      <c r="C117" s="184">
        <v>46121</v>
      </c>
      <c r="D117" s="184">
        <v>46121</v>
      </c>
      <c r="E117" s="182" t="s">
        <v>947</v>
      </c>
      <c r="F117" s="248"/>
      <c r="H117" s="195">
        <v>10000</v>
      </c>
      <c r="I117" s="162"/>
      <c r="J117" s="115"/>
      <c r="K117" s="115"/>
      <c r="L117" s="163"/>
    </row>
    <row r="118" spans="2:12">
      <c r="B118" s="22">
        <v>100</v>
      </c>
      <c r="C118" s="200">
        <v>46121</v>
      </c>
      <c r="D118" s="200">
        <v>46121</v>
      </c>
      <c r="E118" s="182" t="s">
        <v>948</v>
      </c>
      <c r="F118" s="182"/>
      <c r="H118" s="195">
        <v>51690</v>
      </c>
      <c r="I118" s="162"/>
      <c r="J118" s="115"/>
      <c r="K118" s="115"/>
      <c r="L118" s="163"/>
    </row>
    <row r="119" spans="2:12">
      <c r="B119" s="22">
        <v>101</v>
      </c>
      <c r="C119" s="200">
        <v>46121</v>
      </c>
      <c r="D119" s="200">
        <v>46121</v>
      </c>
      <c r="E119" s="182" t="s">
        <v>949</v>
      </c>
      <c r="F119" s="182"/>
      <c r="H119" s="195">
        <v>126000</v>
      </c>
      <c r="I119" s="162"/>
      <c r="J119" s="115"/>
      <c r="K119" s="115"/>
      <c r="L119" s="163"/>
    </row>
    <row r="120" spans="2:12">
      <c r="B120" s="22">
        <v>102</v>
      </c>
      <c r="C120" s="200">
        <v>46123</v>
      </c>
      <c r="D120" s="200">
        <v>46123</v>
      </c>
      <c r="E120" s="182" t="s">
        <v>950</v>
      </c>
      <c r="F120" s="182"/>
      <c r="H120" s="195">
        <v>29250</v>
      </c>
      <c r="I120" s="162"/>
      <c r="J120" s="115"/>
      <c r="K120" s="115"/>
      <c r="L120" s="163"/>
    </row>
    <row r="121" spans="2:12">
      <c r="B121" s="22">
        <v>103</v>
      </c>
      <c r="C121" s="200">
        <v>46123</v>
      </c>
      <c r="D121" s="200">
        <v>46123</v>
      </c>
      <c r="E121" s="182" t="s">
        <v>951</v>
      </c>
      <c r="F121" s="182"/>
      <c r="H121" s="195">
        <v>179500</v>
      </c>
      <c r="I121" s="162"/>
      <c r="J121" s="115"/>
      <c r="K121" s="115"/>
      <c r="L121" s="163"/>
    </row>
    <row r="122" spans="2:12">
      <c r="B122" s="22">
        <v>104</v>
      </c>
      <c r="C122" s="200">
        <v>46125</v>
      </c>
      <c r="D122" s="200">
        <v>46125</v>
      </c>
      <c r="E122" s="182" t="s">
        <v>952</v>
      </c>
      <c r="F122" s="248"/>
      <c r="H122" s="195">
        <v>10300</v>
      </c>
      <c r="I122" s="162"/>
      <c r="J122" s="115"/>
      <c r="K122" s="115"/>
      <c r="L122" s="163"/>
    </row>
    <row r="123" spans="2:12">
      <c r="B123" s="22">
        <v>105</v>
      </c>
      <c r="C123" s="200">
        <v>46125</v>
      </c>
      <c r="D123" s="200">
        <v>46125</v>
      </c>
      <c r="E123" s="182" t="s">
        <v>953</v>
      </c>
      <c r="F123" s="248"/>
      <c r="H123" s="195">
        <v>11400</v>
      </c>
      <c r="I123" s="162"/>
      <c r="J123" s="115"/>
      <c r="K123" s="115"/>
      <c r="L123" s="163"/>
    </row>
    <row r="124" spans="2:12">
      <c r="B124" s="22">
        <v>106</v>
      </c>
      <c r="C124" s="200">
        <v>46125</v>
      </c>
      <c r="D124" s="200">
        <v>46125</v>
      </c>
      <c r="E124" s="182" t="s">
        <v>954</v>
      </c>
      <c r="F124" s="182"/>
      <c r="H124" s="195">
        <v>22150</v>
      </c>
      <c r="I124" s="162"/>
      <c r="J124" s="115"/>
      <c r="K124" s="115"/>
      <c r="L124" s="163"/>
    </row>
    <row r="125" spans="2:12">
      <c r="B125" s="22">
        <v>107</v>
      </c>
      <c r="C125" s="200">
        <v>46125</v>
      </c>
      <c r="D125" s="200">
        <v>46125</v>
      </c>
      <c r="E125" s="182" t="s">
        <v>955</v>
      </c>
      <c r="F125" s="182"/>
      <c r="H125" s="195">
        <v>74700</v>
      </c>
      <c r="I125" s="162"/>
      <c r="J125" s="115"/>
      <c r="K125" s="115"/>
      <c r="L125" s="163"/>
    </row>
    <row r="126" spans="2:12">
      <c r="B126" s="22">
        <v>108</v>
      </c>
      <c r="C126" s="200">
        <v>46125</v>
      </c>
      <c r="D126" s="200">
        <v>46125</v>
      </c>
      <c r="E126" s="182" t="s">
        <v>956</v>
      </c>
      <c r="F126" s="182"/>
      <c r="H126" s="195">
        <v>350000</v>
      </c>
      <c r="I126" s="162"/>
      <c r="J126" s="115"/>
      <c r="K126" s="115"/>
      <c r="L126" s="163"/>
    </row>
    <row r="127" spans="2:12">
      <c r="B127" s="22">
        <v>109</v>
      </c>
      <c r="C127" s="200">
        <v>46125</v>
      </c>
      <c r="D127" s="200">
        <v>46125</v>
      </c>
      <c r="E127" s="182" t="s">
        <v>957</v>
      </c>
      <c r="F127" s="182"/>
      <c r="H127" s="195">
        <v>917700</v>
      </c>
      <c r="I127" s="162"/>
      <c r="J127" s="115"/>
      <c r="K127" s="115"/>
      <c r="L127" s="163"/>
    </row>
    <row r="128" spans="2:12">
      <c r="B128" s="22">
        <v>110</v>
      </c>
      <c r="C128" s="200">
        <v>46126</v>
      </c>
      <c r="D128" s="200">
        <v>46126</v>
      </c>
      <c r="E128" s="182" t="s">
        <v>958</v>
      </c>
      <c r="F128" s="182"/>
      <c r="H128" s="195">
        <v>91800</v>
      </c>
      <c r="I128" s="162"/>
      <c r="J128" s="115"/>
      <c r="K128" s="115"/>
      <c r="L128" s="163"/>
    </row>
    <row r="129" spans="2:12">
      <c r="B129" s="22">
        <v>111</v>
      </c>
      <c r="C129" s="200">
        <v>46126</v>
      </c>
      <c r="D129" s="200">
        <v>46126</v>
      </c>
      <c r="E129" s="182" t="s">
        <v>959</v>
      </c>
      <c r="F129" s="182"/>
      <c r="H129" s="195">
        <v>225600</v>
      </c>
      <c r="I129" s="162"/>
      <c r="J129" s="115"/>
      <c r="K129" s="115"/>
      <c r="L129" s="163"/>
    </row>
    <row r="130" spans="2:12">
      <c r="B130" s="22">
        <v>112</v>
      </c>
      <c r="C130" s="200">
        <v>46126</v>
      </c>
      <c r="D130" s="200">
        <v>46126</v>
      </c>
      <c r="E130" s="182" t="s">
        <v>960</v>
      </c>
      <c r="F130" s="182"/>
      <c r="H130" s="195">
        <v>340350</v>
      </c>
      <c r="I130" s="162"/>
      <c r="J130" s="115"/>
      <c r="K130" s="115"/>
      <c r="L130" s="163"/>
    </row>
    <row r="131" spans="2:12">
      <c r="B131" s="22">
        <v>113</v>
      </c>
      <c r="C131" s="200">
        <v>46127</v>
      </c>
      <c r="D131" s="200">
        <v>46127</v>
      </c>
      <c r="E131" s="182" t="s">
        <v>961</v>
      </c>
      <c r="F131" s="248"/>
      <c r="H131" s="195">
        <v>14940</v>
      </c>
      <c r="I131" s="162"/>
      <c r="J131" s="115"/>
      <c r="K131" s="115"/>
      <c r="L131" s="163"/>
    </row>
    <row r="132" spans="2:12">
      <c r="B132" s="22">
        <v>114</v>
      </c>
      <c r="C132" s="200">
        <v>46127</v>
      </c>
      <c r="D132" s="200">
        <v>46127</v>
      </c>
      <c r="E132" s="182" t="s">
        <v>962</v>
      </c>
      <c r="F132" s="182"/>
      <c r="H132" s="195">
        <v>77550</v>
      </c>
      <c r="I132" s="162"/>
      <c r="J132" s="115"/>
      <c r="K132" s="115"/>
      <c r="L132" s="163"/>
    </row>
    <row r="133" spans="2:12">
      <c r="B133" s="22">
        <v>115</v>
      </c>
      <c r="C133" s="200">
        <v>46127</v>
      </c>
      <c r="D133" s="200">
        <v>46127</v>
      </c>
      <c r="E133" s="182" t="s">
        <v>963</v>
      </c>
      <c r="F133" s="182"/>
      <c r="H133" s="195">
        <v>120250</v>
      </c>
      <c r="I133" s="162"/>
      <c r="J133" s="115"/>
      <c r="K133" s="115"/>
      <c r="L133" s="163"/>
    </row>
    <row r="134" spans="2:12">
      <c r="B134" s="22">
        <v>116</v>
      </c>
      <c r="C134" s="200">
        <v>46128</v>
      </c>
      <c r="D134" s="200">
        <v>46128</v>
      </c>
      <c r="E134" s="182" t="s">
        <v>964</v>
      </c>
      <c r="F134" s="182"/>
      <c r="H134" s="195">
        <v>35451</v>
      </c>
      <c r="I134" s="162"/>
      <c r="J134" s="115"/>
      <c r="K134" s="115"/>
      <c r="L134" s="163"/>
    </row>
    <row r="135" spans="2:12">
      <c r="B135" s="22">
        <v>117</v>
      </c>
      <c r="C135" s="200">
        <v>46128</v>
      </c>
      <c r="D135" s="200">
        <v>46128</v>
      </c>
      <c r="E135" s="182" t="s">
        <v>965</v>
      </c>
      <c r="F135" s="182"/>
      <c r="H135" s="195">
        <v>61600</v>
      </c>
      <c r="I135" s="162"/>
      <c r="J135" s="115"/>
      <c r="K135" s="115"/>
      <c r="L135" s="163"/>
    </row>
    <row r="136" spans="2:12">
      <c r="B136" s="22">
        <v>118</v>
      </c>
      <c r="C136" s="200">
        <v>46128</v>
      </c>
      <c r="D136" s="200">
        <v>46128</v>
      </c>
      <c r="E136" s="182" t="s">
        <v>966</v>
      </c>
      <c r="F136" s="182"/>
      <c r="H136" s="195">
        <v>150000</v>
      </c>
      <c r="I136" s="162"/>
      <c r="J136" s="115"/>
      <c r="K136" s="115"/>
      <c r="L136" s="163"/>
    </row>
    <row r="137" spans="2:12">
      <c r="B137" s="22">
        <v>119</v>
      </c>
      <c r="C137" s="200">
        <v>46129</v>
      </c>
      <c r="D137" s="200">
        <v>46129</v>
      </c>
      <c r="E137" s="182" t="s">
        <v>967</v>
      </c>
      <c r="F137" s="182"/>
      <c r="H137" s="195">
        <v>72700</v>
      </c>
      <c r="I137" s="162"/>
      <c r="J137" s="115"/>
      <c r="K137" s="115"/>
      <c r="L137" s="163"/>
    </row>
    <row r="138" spans="2:12">
      <c r="B138" s="22">
        <v>120</v>
      </c>
      <c r="C138" s="200">
        <v>46129</v>
      </c>
      <c r="D138" s="200">
        <v>46129</v>
      </c>
      <c r="E138" s="182" t="s">
        <v>968</v>
      </c>
      <c r="F138" s="182"/>
      <c r="H138" s="195">
        <v>211500</v>
      </c>
      <c r="I138" s="162"/>
      <c r="J138" s="115"/>
      <c r="K138" s="115"/>
      <c r="L138" s="163"/>
    </row>
    <row r="139" spans="2:12">
      <c r="B139" s="22">
        <v>121</v>
      </c>
      <c r="C139" s="200">
        <v>46130</v>
      </c>
      <c r="D139" s="200">
        <v>46130</v>
      </c>
      <c r="E139" s="182" t="s">
        <v>969</v>
      </c>
      <c r="F139" s="182"/>
      <c r="H139" s="195">
        <v>95000</v>
      </c>
      <c r="I139" s="162"/>
      <c r="J139" s="115"/>
      <c r="K139" s="115"/>
      <c r="L139" s="163"/>
    </row>
    <row r="140" spans="2:12">
      <c r="B140" s="22">
        <v>122</v>
      </c>
      <c r="C140" s="200">
        <v>46130</v>
      </c>
      <c r="D140" s="200">
        <v>46130</v>
      </c>
      <c r="E140" s="182" t="s">
        <v>970</v>
      </c>
      <c r="F140" s="182"/>
      <c r="H140" s="195">
        <v>432394</v>
      </c>
      <c r="I140" s="162"/>
      <c r="J140" s="115"/>
      <c r="K140" s="115"/>
      <c r="L140" s="163"/>
    </row>
    <row r="141" spans="2:12">
      <c r="B141" s="22">
        <v>123</v>
      </c>
      <c r="C141" s="200">
        <v>46132</v>
      </c>
      <c r="D141" s="200">
        <v>46129</v>
      </c>
      <c r="E141" s="182" t="s">
        <v>100</v>
      </c>
      <c r="F141" s="182" t="s">
        <v>971</v>
      </c>
      <c r="H141" s="195">
        <v>439700</v>
      </c>
      <c r="I141" s="162"/>
      <c r="J141" s="115"/>
      <c r="K141" s="115"/>
      <c r="L141" s="163"/>
    </row>
    <row r="142" spans="2:12">
      <c r="B142" s="22">
        <v>124</v>
      </c>
      <c r="C142" s="200">
        <v>46133</v>
      </c>
      <c r="D142" s="200">
        <v>46133</v>
      </c>
      <c r="E142" s="182" t="s">
        <v>972</v>
      </c>
      <c r="F142" s="182"/>
      <c r="H142" s="195">
        <v>19000</v>
      </c>
      <c r="I142" s="162"/>
      <c r="J142" s="115"/>
      <c r="K142" s="115"/>
      <c r="L142" s="163"/>
    </row>
    <row r="143" spans="2:12">
      <c r="B143" s="22">
        <v>125</v>
      </c>
      <c r="C143" s="200">
        <v>46133</v>
      </c>
      <c r="D143" s="200">
        <v>46132</v>
      </c>
      <c r="E143" s="182" t="s">
        <v>118</v>
      </c>
      <c r="F143" s="182" t="s">
        <v>973</v>
      </c>
      <c r="H143" s="195">
        <v>264000</v>
      </c>
      <c r="I143" s="162"/>
      <c r="J143" s="115"/>
      <c r="K143" s="115"/>
      <c r="L143" s="163"/>
    </row>
    <row r="144" spans="2:12">
      <c r="B144" s="22">
        <v>126</v>
      </c>
      <c r="C144" s="200">
        <v>46133</v>
      </c>
      <c r="D144" s="200">
        <v>46132</v>
      </c>
      <c r="E144" s="182" t="s">
        <v>100</v>
      </c>
      <c r="F144" s="182" t="s">
        <v>974</v>
      </c>
      <c r="H144" s="195">
        <v>607626</v>
      </c>
      <c r="I144" s="162"/>
      <c r="J144" s="115"/>
      <c r="K144" s="115"/>
      <c r="L144" s="163"/>
    </row>
    <row r="145" spans="2:12">
      <c r="B145" s="22">
        <v>127</v>
      </c>
      <c r="C145" s="200">
        <v>46134</v>
      </c>
      <c r="D145" s="200">
        <v>46134</v>
      </c>
      <c r="E145" s="182" t="s">
        <v>975</v>
      </c>
      <c r="F145" s="182"/>
      <c r="H145" s="195">
        <v>39950</v>
      </c>
      <c r="I145" s="162"/>
      <c r="J145" s="115"/>
      <c r="K145" s="115"/>
      <c r="L145" s="163"/>
    </row>
    <row r="146" spans="2:12">
      <c r="B146" s="22">
        <v>128</v>
      </c>
      <c r="C146" s="200">
        <v>46134</v>
      </c>
      <c r="D146" s="200">
        <v>46134</v>
      </c>
      <c r="E146" s="182" t="s">
        <v>976</v>
      </c>
      <c r="F146" s="182"/>
      <c r="H146" s="195">
        <v>192000</v>
      </c>
      <c r="I146" s="162"/>
      <c r="J146" s="115"/>
      <c r="K146" s="115"/>
      <c r="L146" s="163"/>
    </row>
    <row r="147" spans="2:12">
      <c r="B147" s="22">
        <v>129</v>
      </c>
      <c r="C147" s="200">
        <v>46134</v>
      </c>
      <c r="D147" s="200">
        <v>46134</v>
      </c>
      <c r="E147" s="182" t="s">
        <v>669</v>
      </c>
      <c r="F147" s="182"/>
      <c r="H147" s="195">
        <v>891000</v>
      </c>
      <c r="I147" s="162"/>
      <c r="J147" s="115"/>
      <c r="K147" s="115"/>
      <c r="L147" s="163"/>
    </row>
    <row r="148" spans="2:12">
      <c r="B148" s="22">
        <v>130</v>
      </c>
      <c r="C148" s="200">
        <v>46135</v>
      </c>
      <c r="D148" s="200">
        <v>46134</v>
      </c>
      <c r="E148" s="182" t="s">
        <v>118</v>
      </c>
      <c r="F148" s="182" t="s">
        <v>977</v>
      </c>
      <c r="H148" s="195">
        <v>100000</v>
      </c>
      <c r="I148" s="162"/>
      <c r="J148" s="115"/>
      <c r="K148" s="115"/>
      <c r="L148" s="163"/>
    </row>
    <row r="149" spans="2:12">
      <c r="B149" s="22">
        <v>131</v>
      </c>
      <c r="C149" s="200">
        <v>46135</v>
      </c>
      <c r="D149" s="200">
        <v>46135</v>
      </c>
      <c r="E149" s="182" t="s">
        <v>978</v>
      </c>
      <c r="F149" s="182"/>
      <c r="H149" s="195">
        <v>111350</v>
      </c>
      <c r="I149" s="162"/>
      <c r="J149" s="115"/>
      <c r="K149" s="115"/>
      <c r="L149" s="163"/>
    </row>
    <row r="150" spans="2:12">
      <c r="B150" s="22">
        <v>132</v>
      </c>
      <c r="C150" s="200">
        <v>46135</v>
      </c>
      <c r="D150" s="200">
        <v>46135</v>
      </c>
      <c r="E150" s="182" t="s">
        <v>979</v>
      </c>
      <c r="F150" s="182"/>
      <c r="H150" s="195">
        <v>3342128</v>
      </c>
      <c r="I150" s="162"/>
      <c r="J150" s="115"/>
      <c r="K150" s="115"/>
      <c r="L150" s="163"/>
    </row>
    <row r="151" spans="2:12">
      <c r="B151" s="22">
        <v>133</v>
      </c>
      <c r="C151" s="200">
        <v>46136</v>
      </c>
      <c r="D151" s="200">
        <v>46135</v>
      </c>
      <c r="E151" s="182" t="s">
        <v>100</v>
      </c>
      <c r="F151" s="182" t="s">
        <v>980</v>
      </c>
      <c r="H151" s="195">
        <v>214800</v>
      </c>
      <c r="I151" s="162"/>
      <c r="J151" s="115"/>
      <c r="K151" s="115"/>
      <c r="L151" s="163"/>
    </row>
    <row r="152" spans="2:12">
      <c r="B152" s="22">
        <v>134</v>
      </c>
      <c r="C152" s="200">
        <v>46136</v>
      </c>
      <c r="D152" s="200">
        <v>46136</v>
      </c>
      <c r="E152" s="182" t="s">
        <v>981</v>
      </c>
      <c r="F152" s="182"/>
      <c r="H152" s="195">
        <v>449301</v>
      </c>
      <c r="I152" s="162"/>
      <c r="J152" s="115"/>
      <c r="K152" s="115"/>
      <c r="L152" s="163"/>
    </row>
    <row r="153" spans="2:12">
      <c r="B153" s="22">
        <v>135</v>
      </c>
      <c r="C153" s="200">
        <v>46136</v>
      </c>
      <c r="D153" s="200">
        <v>46136</v>
      </c>
      <c r="E153" s="182" t="s">
        <v>982</v>
      </c>
      <c r="F153" s="182"/>
      <c r="H153" s="195">
        <v>465503</v>
      </c>
      <c r="I153" s="162"/>
      <c r="J153" s="115"/>
      <c r="K153" s="115"/>
      <c r="L153" s="163"/>
    </row>
    <row r="154" spans="2:12">
      <c r="B154" s="22">
        <v>136</v>
      </c>
      <c r="C154" s="184">
        <v>46137</v>
      </c>
      <c r="D154" s="184">
        <v>46137</v>
      </c>
      <c r="E154" s="182" t="s">
        <v>983</v>
      </c>
      <c r="F154" s="248"/>
      <c r="H154" s="195">
        <v>11350</v>
      </c>
      <c r="I154" s="162"/>
      <c r="J154" s="115"/>
      <c r="K154" s="115"/>
      <c r="L154" s="163"/>
    </row>
    <row r="155" spans="2:12">
      <c r="B155" s="22">
        <v>137</v>
      </c>
      <c r="C155" s="200">
        <v>46139</v>
      </c>
      <c r="D155" s="200">
        <v>46139</v>
      </c>
      <c r="E155" s="182" t="s">
        <v>984</v>
      </c>
      <c r="F155" s="182"/>
      <c r="H155" s="195">
        <v>396422</v>
      </c>
      <c r="I155" s="162"/>
      <c r="J155" s="115"/>
      <c r="K155" s="115"/>
      <c r="L155" s="163"/>
    </row>
    <row r="156" spans="2:12">
      <c r="B156" s="22">
        <v>138</v>
      </c>
      <c r="C156" s="200">
        <v>46139</v>
      </c>
      <c r="D156" s="200">
        <v>46136</v>
      </c>
      <c r="E156" s="182" t="s">
        <v>118</v>
      </c>
      <c r="F156" s="182" t="s">
        <v>985</v>
      </c>
      <c r="H156" s="195">
        <v>1400100</v>
      </c>
      <c r="I156" s="162"/>
      <c r="J156" s="115"/>
      <c r="K156" s="115"/>
      <c r="L156" s="163"/>
    </row>
    <row r="157" spans="2:12">
      <c r="B157" s="22">
        <v>139</v>
      </c>
      <c r="C157" s="200">
        <v>46140</v>
      </c>
      <c r="D157" s="200">
        <v>46139</v>
      </c>
      <c r="E157" s="182" t="s">
        <v>118</v>
      </c>
      <c r="F157" s="182" t="s">
        <v>986</v>
      </c>
      <c r="H157" s="195">
        <v>44000</v>
      </c>
      <c r="I157" s="162"/>
      <c r="J157" s="115"/>
      <c r="K157" s="115"/>
      <c r="L157" s="163"/>
    </row>
    <row r="158" spans="2:12">
      <c r="B158" s="22">
        <v>140</v>
      </c>
      <c r="C158" s="200">
        <v>46140</v>
      </c>
      <c r="D158" s="200">
        <v>46140</v>
      </c>
      <c r="E158" s="182" t="s">
        <v>987</v>
      </c>
      <c r="F158" s="182"/>
      <c r="H158" s="195">
        <v>122000</v>
      </c>
      <c r="I158" s="162"/>
      <c r="J158" s="115"/>
      <c r="K158" s="115"/>
      <c r="L158" s="163"/>
    </row>
    <row r="159" spans="2:12">
      <c r="B159" s="22">
        <v>141</v>
      </c>
      <c r="C159" s="200">
        <v>46140</v>
      </c>
      <c r="D159" s="200">
        <v>46140</v>
      </c>
      <c r="E159" s="182" t="s">
        <v>988</v>
      </c>
      <c r="F159" s="182"/>
      <c r="H159" s="195">
        <v>130000</v>
      </c>
      <c r="I159" s="162"/>
      <c r="J159" s="115"/>
      <c r="K159" s="115"/>
      <c r="L159" s="163"/>
    </row>
    <row r="160" spans="2:12">
      <c r="B160" s="22">
        <v>142</v>
      </c>
      <c r="C160" s="200">
        <v>46141</v>
      </c>
      <c r="D160" s="200">
        <v>46141</v>
      </c>
      <c r="E160" s="182" t="s">
        <v>989</v>
      </c>
      <c r="F160" s="182"/>
      <c r="H160" s="195">
        <v>25600</v>
      </c>
      <c r="I160" s="162"/>
      <c r="J160" s="115"/>
      <c r="K160" s="115"/>
      <c r="L160" s="163"/>
    </row>
    <row r="161" spans="2:12">
      <c r="B161" s="22">
        <v>143</v>
      </c>
      <c r="C161" s="200">
        <v>46141</v>
      </c>
      <c r="D161" s="200">
        <v>46141</v>
      </c>
      <c r="E161" s="182" t="s">
        <v>990</v>
      </c>
      <c r="F161" s="182"/>
      <c r="H161" s="195">
        <v>108750</v>
      </c>
      <c r="I161" s="162"/>
      <c r="J161" s="115"/>
      <c r="K161" s="115"/>
      <c r="L161" s="163"/>
    </row>
    <row r="162" spans="2:12">
      <c r="B162" s="22">
        <v>144</v>
      </c>
      <c r="C162" s="200">
        <v>46141</v>
      </c>
      <c r="D162" s="200">
        <v>46141</v>
      </c>
      <c r="E162" s="182" t="s">
        <v>991</v>
      </c>
      <c r="F162" s="182"/>
      <c r="H162" s="195">
        <v>320000</v>
      </c>
      <c r="I162" s="162"/>
      <c r="J162" s="115"/>
      <c r="K162" s="115"/>
      <c r="L162" s="163"/>
    </row>
    <row r="163" spans="2:12">
      <c r="B163" s="22">
        <v>145</v>
      </c>
      <c r="C163" s="200">
        <v>46141</v>
      </c>
      <c r="D163" s="200">
        <v>46140</v>
      </c>
      <c r="E163" s="182" t="s">
        <v>118</v>
      </c>
      <c r="F163" s="182" t="s">
        <v>992</v>
      </c>
      <c r="H163" s="195">
        <v>630000</v>
      </c>
      <c r="I163" s="162"/>
      <c r="J163" s="115"/>
      <c r="K163" s="115"/>
      <c r="L163" s="163"/>
    </row>
    <row r="164" spans="2:12">
      <c r="B164" s="22">
        <v>146</v>
      </c>
      <c r="C164" s="200">
        <v>46142</v>
      </c>
      <c r="D164" s="200">
        <v>46142</v>
      </c>
      <c r="E164" s="182" t="s">
        <v>993</v>
      </c>
      <c r="F164" s="182"/>
      <c r="H164" s="195">
        <v>22000</v>
      </c>
      <c r="I164" s="162"/>
      <c r="J164" s="115"/>
      <c r="K164" s="115"/>
      <c r="L164" s="163"/>
    </row>
    <row r="165" spans="2:12">
      <c r="B165" s="22">
        <v>147</v>
      </c>
      <c r="C165" s="200">
        <v>46142</v>
      </c>
      <c r="D165" s="200">
        <v>46142</v>
      </c>
      <c r="E165" s="182" t="s">
        <v>994</v>
      </c>
      <c r="F165" s="182"/>
      <c r="H165" s="195">
        <v>23000</v>
      </c>
      <c r="I165" s="162"/>
      <c r="J165" s="115"/>
      <c r="K165" s="115"/>
      <c r="L165" s="163"/>
    </row>
    <row r="166" spans="2:12">
      <c r="B166" s="22">
        <v>148</v>
      </c>
      <c r="C166" s="200">
        <v>46142</v>
      </c>
      <c r="D166" s="200">
        <v>46142</v>
      </c>
      <c r="E166" s="182" t="s">
        <v>995</v>
      </c>
      <c r="F166" s="182"/>
      <c r="H166" s="195">
        <v>28800</v>
      </c>
      <c r="I166" s="162"/>
      <c r="J166" s="115"/>
      <c r="K166" s="115"/>
      <c r="L166" s="163"/>
    </row>
    <row r="167" spans="2:12">
      <c r="B167" s="22">
        <v>149</v>
      </c>
      <c r="C167" s="200">
        <v>46142</v>
      </c>
      <c r="D167" s="200">
        <v>46142</v>
      </c>
      <c r="E167" s="182" t="s">
        <v>996</v>
      </c>
      <c r="F167" s="182"/>
      <c r="H167" s="195">
        <v>37500</v>
      </c>
      <c r="I167" s="162"/>
      <c r="J167" s="115"/>
      <c r="K167" s="115"/>
      <c r="L167" s="163"/>
    </row>
    <row r="168" spans="2:12">
      <c r="B168" s="22">
        <v>150</v>
      </c>
      <c r="C168" s="200">
        <v>46142</v>
      </c>
      <c r="D168" s="200">
        <v>46142</v>
      </c>
      <c r="E168" s="182" t="s">
        <v>997</v>
      </c>
      <c r="F168" s="182"/>
      <c r="H168" s="195">
        <v>65520</v>
      </c>
      <c r="I168" s="162"/>
      <c r="J168" s="115"/>
      <c r="K168" s="115"/>
      <c r="L168" s="163"/>
    </row>
    <row r="169" spans="2:12">
      <c r="B169" s="22">
        <v>151</v>
      </c>
      <c r="C169" s="200">
        <v>46142</v>
      </c>
      <c r="D169" s="200">
        <v>46142</v>
      </c>
      <c r="E169" s="182" t="s">
        <v>994</v>
      </c>
      <c r="F169" s="182"/>
      <c r="H169" s="195">
        <v>90000</v>
      </c>
      <c r="I169" s="162"/>
      <c r="J169" s="115"/>
      <c r="K169" s="115"/>
      <c r="L169" s="163"/>
    </row>
    <row r="170" spans="2:12">
      <c r="B170" s="22">
        <v>152</v>
      </c>
      <c r="C170" s="200">
        <v>46142</v>
      </c>
      <c r="D170" s="200">
        <v>46142</v>
      </c>
      <c r="E170" s="182" t="s">
        <v>998</v>
      </c>
      <c r="F170" s="182"/>
      <c r="H170" s="195">
        <v>100000</v>
      </c>
      <c r="I170" s="162"/>
      <c r="J170" s="115"/>
      <c r="K170" s="115"/>
      <c r="L170" s="163"/>
    </row>
    <row r="171" spans="2:12">
      <c r="B171" s="22">
        <v>153</v>
      </c>
      <c r="C171" s="200">
        <v>46142</v>
      </c>
      <c r="D171" s="200">
        <v>46142</v>
      </c>
      <c r="E171" s="182" t="s">
        <v>999</v>
      </c>
      <c r="F171" s="182"/>
      <c r="H171" s="195">
        <v>109325</v>
      </c>
      <c r="I171" s="162"/>
      <c r="J171" s="115"/>
      <c r="K171" s="115"/>
      <c r="L171" s="163"/>
    </row>
    <row r="172" spans="2:12">
      <c r="B172" s="22">
        <v>154</v>
      </c>
      <c r="C172" s="200">
        <v>46142</v>
      </c>
      <c r="D172" s="200">
        <v>46142</v>
      </c>
      <c r="E172" s="182" t="s">
        <v>1000</v>
      </c>
      <c r="F172" s="182"/>
      <c r="H172" s="195">
        <v>250000</v>
      </c>
      <c r="I172" s="162"/>
      <c r="J172" s="115"/>
      <c r="K172" s="115"/>
      <c r="L172" s="163"/>
    </row>
    <row r="173" spans="2:12">
      <c r="B173" s="22">
        <v>155</v>
      </c>
      <c r="C173" s="200">
        <v>46142</v>
      </c>
      <c r="D173" s="200">
        <v>46141</v>
      </c>
      <c r="E173" s="182" t="s">
        <v>118</v>
      </c>
      <c r="F173" s="182" t="s">
        <v>1001</v>
      </c>
      <c r="H173" s="195">
        <v>300000</v>
      </c>
      <c r="I173" s="162"/>
      <c r="J173" s="115"/>
      <c r="K173" s="115"/>
      <c r="L173" s="163"/>
    </row>
    <row r="174" spans="2:12">
      <c r="B174" s="22">
        <v>156</v>
      </c>
      <c r="C174" s="200">
        <v>46142</v>
      </c>
      <c r="D174" s="200">
        <v>46142</v>
      </c>
      <c r="E174" s="182" t="s">
        <v>1002</v>
      </c>
      <c r="F174" s="182"/>
      <c r="H174" s="195">
        <v>426020</v>
      </c>
      <c r="I174" s="162"/>
      <c r="J174" s="115"/>
      <c r="K174" s="115"/>
      <c r="L174" s="163"/>
    </row>
    <row r="175" spans="2:12">
      <c r="B175" s="22">
        <v>157</v>
      </c>
      <c r="C175" s="200">
        <v>46142</v>
      </c>
      <c r="D175" s="200">
        <v>46142</v>
      </c>
      <c r="E175" s="182" t="s">
        <v>1003</v>
      </c>
      <c r="F175" s="182"/>
      <c r="H175" s="195">
        <v>1054300</v>
      </c>
      <c r="I175" s="162"/>
      <c r="J175" s="115"/>
      <c r="K175" s="115"/>
      <c r="L175" s="163"/>
    </row>
    <row r="176" spans="2:12">
      <c r="B176" s="22">
        <v>161</v>
      </c>
      <c r="C176" s="200"/>
      <c r="D176" s="200"/>
      <c r="E176" s="182"/>
      <c r="F176" s="182"/>
      <c r="H176" s="195"/>
      <c r="I176" s="162"/>
      <c r="J176" s="115"/>
      <c r="K176" s="115"/>
      <c r="L176" s="163"/>
    </row>
    <row r="177" spans="1:12">
      <c r="B177" s="22">
        <v>162</v>
      </c>
      <c r="C177" s="200"/>
      <c r="D177" s="200"/>
      <c r="E177" s="182"/>
      <c r="F177" s="182"/>
      <c r="H177" s="195"/>
      <c r="I177" s="162"/>
      <c r="J177" s="115"/>
      <c r="K177" s="115"/>
      <c r="L177" s="163"/>
    </row>
    <row r="178" spans="1:12">
      <c r="B178" s="22">
        <v>163</v>
      </c>
      <c r="C178" s="200"/>
      <c r="D178" s="200"/>
      <c r="E178" s="182"/>
      <c r="F178" s="182"/>
      <c r="H178" s="195"/>
      <c r="I178" s="162"/>
      <c r="J178" s="115"/>
      <c r="K178" s="115"/>
      <c r="L178" s="163"/>
    </row>
    <row r="179" spans="1:12">
      <c r="B179" s="22">
        <v>164</v>
      </c>
      <c r="C179" s="157"/>
      <c r="D179" s="157"/>
      <c r="E179" s="24"/>
      <c r="F179" s="158"/>
      <c r="H179" s="188"/>
      <c r="I179" s="114"/>
      <c r="J179" s="115"/>
      <c r="K179" s="115"/>
      <c r="L179" s="134"/>
    </row>
    <row r="180" spans="1:12">
      <c r="B180" s="22">
        <v>165</v>
      </c>
      <c r="C180" s="157"/>
      <c r="D180" s="157"/>
      <c r="E180" s="24"/>
      <c r="H180" s="94"/>
      <c r="I180" s="114"/>
      <c r="J180" s="115"/>
      <c r="K180" s="115"/>
      <c r="L180" s="134"/>
    </row>
    <row r="181" spans="1:12" ht="12.75" thickBot="1">
      <c r="B181" s="22">
        <v>166</v>
      </c>
      <c r="C181" s="31" t="s">
        <v>15</v>
      </c>
      <c r="D181" s="31"/>
      <c r="H181" s="131">
        <f>SUM(H184:H188)</f>
        <v>4930010</v>
      </c>
      <c r="I181" s="114"/>
      <c r="J181" s="115"/>
      <c r="K181" s="115"/>
      <c r="L181" s="134"/>
    </row>
    <row r="182" spans="1:12" ht="12.75" thickTop="1">
      <c r="B182" s="22">
        <v>167</v>
      </c>
      <c r="C182" s="31"/>
      <c r="D182" s="31"/>
      <c r="H182" s="155"/>
      <c r="I182" s="114"/>
      <c r="J182" s="115"/>
      <c r="K182" s="115"/>
      <c r="L182" s="134"/>
    </row>
    <row r="183" spans="1:12">
      <c r="A183" s="35">
        <v>2</v>
      </c>
      <c r="B183" s="22">
        <v>168</v>
      </c>
      <c r="C183" s="14" t="s">
        <v>4</v>
      </c>
      <c r="D183" s="14" t="s">
        <v>5</v>
      </c>
      <c r="E183" s="14" t="s">
        <v>6</v>
      </c>
      <c r="F183" s="14"/>
      <c r="G183" s="132" t="s">
        <v>8</v>
      </c>
      <c r="H183" s="167" t="s">
        <v>9</v>
      </c>
      <c r="I183" s="114"/>
      <c r="J183" s="115"/>
      <c r="K183" s="115"/>
      <c r="L183" s="134"/>
    </row>
    <row r="184" spans="1:12">
      <c r="B184" s="22">
        <v>169</v>
      </c>
      <c r="C184" s="26">
        <v>46122</v>
      </c>
      <c r="D184" s="26" t="s">
        <v>1004</v>
      </c>
      <c r="E184" s="24" t="s">
        <v>1005</v>
      </c>
      <c r="G184" s="96" t="s">
        <v>1006</v>
      </c>
      <c r="H184" s="178">
        <v>92010</v>
      </c>
      <c r="I184" s="115"/>
      <c r="J184" s="115"/>
      <c r="K184" s="115"/>
      <c r="L184" s="162"/>
    </row>
    <row r="185" spans="1:12">
      <c r="B185" s="22">
        <v>170</v>
      </c>
      <c r="C185" s="26">
        <v>46128</v>
      </c>
      <c r="D185" s="26" t="s">
        <v>1007</v>
      </c>
      <c r="E185" s="24" t="s">
        <v>1008</v>
      </c>
      <c r="G185" s="96" t="s">
        <v>1009</v>
      </c>
      <c r="H185" s="178">
        <v>4500000</v>
      </c>
      <c r="I185" s="114"/>
      <c r="J185" s="115"/>
      <c r="K185" s="115"/>
      <c r="L185" s="162"/>
    </row>
    <row r="186" spans="1:12">
      <c r="B186" s="22">
        <v>171</v>
      </c>
      <c r="C186" s="26">
        <v>46139</v>
      </c>
      <c r="D186" s="26" t="s">
        <v>1010</v>
      </c>
      <c r="E186" s="24" t="s">
        <v>1011</v>
      </c>
      <c r="G186" s="96" t="s">
        <v>1012</v>
      </c>
      <c r="H186" s="178">
        <v>338000</v>
      </c>
      <c r="I186" s="114"/>
      <c r="J186" s="115"/>
      <c r="K186" s="115"/>
      <c r="L186" s="162"/>
    </row>
    <row r="187" spans="1:12">
      <c r="B187" s="22">
        <v>172</v>
      </c>
      <c r="C187" s="26"/>
      <c r="D187" s="26"/>
      <c r="E187" s="24"/>
      <c r="G187" s="96"/>
      <c r="H187" s="178"/>
      <c r="I187" s="114"/>
      <c r="J187" s="115"/>
      <c r="K187" s="115"/>
      <c r="L187" s="162"/>
    </row>
    <row r="188" spans="1:12">
      <c r="B188" s="22">
        <v>173</v>
      </c>
      <c r="C188" s="26"/>
      <c r="D188" s="26"/>
      <c r="E188" s="24"/>
      <c r="G188" s="96"/>
      <c r="H188" s="178"/>
      <c r="I188" s="114"/>
      <c r="J188" s="115"/>
      <c r="K188" s="115"/>
      <c r="L188" s="162"/>
    </row>
    <row r="189" spans="1:12">
      <c r="B189" s="22">
        <v>174</v>
      </c>
      <c r="C189" s="26"/>
      <c r="D189" s="26"/>
      <c r="G189" s="189"/>
      <c r="H189" s="139"/>
      <c r="I189" s="114"/>
      <c r="J189" s="115"/>
      <c r="K189" s="115"/>
      <c r="L189" s="134"/>
    </row>
    <row r="190" spans="1:12">
      <c r="B190" s="22">
        <v>175</v>
      </c>
      <c r="C190" s="26"/>
      <c r="D190" s="26"/>
      <c r="G190" s="189"/>
      <c r="H190" s="139"/>
      <c r="I190" s="114"/>
      <c r="J190" s="115"/>
      <c r="K190" s="115"/>
      <c r="L190" s="134"/>
    </row>
    <row r="191" spans="1:12">
      <c r="B191" s="22">
        <v>176</v>
      </c>
      <c r="C191" s="26"/>
      <c r="D191" s="26"/>
      <c r="H191" s="139"/>
      <c r="I191" s="114"/>
      <c r="J191" s="115"/>
      <c r="K191" s="115"/>
      <c r="L191" s="134"/>
    </row>
    <row r="192" spans="1:12" ht="12.75" thickBot="1">
      <c r="B192" s="22">
        <v>177</v>
      </c>
      <c r="C192" s="31" t="s">
        <v>16</v>
      </c>
      <c r="D192" s="31"/>
      <c r="H192" s="131">
        <f>SUM(H195:H195)</f>
        <v>0</v>
      </c>
      <c r="I192" s="114"/>
      <c r="J192" s="115"/>
      <c r="K192" s="115"/>
      <c r="L192" s="134"/>
    </row>
    <row r="193" spans="1:12" ht="12.75" thickTop="1">
      <c r="B193" s="22">
        <v>178</v>
      </c>
      <c r="C193" s="31"/>
      <c r="D193" s="31"/>
      <c r="H193" s="155"/>
      <c r="I193" s="114"/>
      <c r="J193" s="115"/>
      <c r="K193" s="115"/>
      <c r="L193" s="134"/>
    </row>
    <row r="194" spans="1:12">
      <c r="A194" s="35">
        <v>3</v>
      </c>
      <c r="B194" s="22">
        <v>179</v>
      </c>
      <c r="C194" s="14" t="s">
        <v>4</v>
      </c>
      <c r="D194" s="14" t="s">
        <v>5</v>
      </c>
      <c r="E194" s="14" t="s">
        <v>6</v>
      </c>
      <c r="F194" s="14"/>
      <c r="G194" s="132" t="s">
        <v>8</v>
      </c>
      <c r="H194" s="154" t="s">
        <v>9</v>
      </c>
      <c r="I194" s="114"/>
      <c r="J194" s="115"/>
      <c r="K194" s="115"/>
      <c r="L194" s="134"/>
    </row>
    <row r="195" spans="1:12">
      <c r="B195" s="22">
        <v>180</v>
      </c>
      <c r="C195" s="190"/>
      <c r="D195" s="190"/>
      <c r="E195" s="24"/>
      <c r="F195" s="158"/>
      <c r="G195" s="140"/>
      <c r="H195" s="188"/>
      <c r="I195" s="114"/>
      <c r="J195" s="115"/>
      <c r="K195" s="115"/>
      <c r="L195" s="162"/>
    </row>
    <row r="196" spans="1:12">
      <c r="B196" s="22">
        <v>181</v>
      </c>
      <c r="C196" s="190"/>
      <c r="D196" s="190"/>
      <c r="E196" s="24"/>
      <c r="F196" s="158"/>
      <c r="G196" s="140"/>
      <c r="H196" s="188"/>
      <c r="I196" s="114"/>
      <c r="J196" s="115"/>
      <c r="K196" s="115"/>
      <c r="L196" s="162"/>
    </row>
    <row r="197" spans="1:12">
      <c r="B197" s="22">
        <v>182</v>
      </c>
      <c r="C197" s="190"/>
      <c r="D197" s="190"/>
      <c r="E197" s="24"/>
      <c r="F197" s="158"/>
      <c r="G197" s="140"/>
      <c r="H197" s="188"/>
      <c r="I197" s="114"/>
      <c r="J197" s="115"/>
      <c r="K197" s="115"/>
      <c r="L197" s="162"/>
    </row>
    <row r="198" spans="1:12">
      <c r="B198" s="22">
        <v>183</v>
      </c>
      <c r="C198" s="190"/>
      <c r="D198" s="190"/>
      <c r="E198" s="24"/>
      <c r="F198" s="158"/>
      <c r="G198" s="140"/>
      <c r="H198" s="188"/>
      <c r="I198" s="114"/>
      <c r="J198" s="115"/>
      <c r="K198" s="115"/>
      <c r="L198" s="162"/>
    </row>
    <row r="199" spans="1:12">
      <c r="B199" s="22">
        <v>184</v>
      </c>
      <c r="C199" s="190"/>
      <c r="D199" s="190"/>
      <c r="E199" s="24"/>
      <c r="F199" s="158"/>
      <c r="G199" s="140"/>
      <c r="H199" s="188"/>
      <c r="I199" s="114"/>
      <c r="J199" s="115"/>
      <c r="K199" s="115"/>
      <c r="L199" s="162"/>
    </row>
    <row r="200" spans="1:12">
      <c r="B200" s="22">
        <v>185</v>
      </c>
      <c r="C200" s="190"/>
      <c r="D200" s="190"/>
      <c r="E200" s="24"/>
      <c r="F200" s="158"/>
      <c r="G200" s="140"/>
      <c r="H200" s="188"/>
      <c r="I200" s="114"/>
      <c r="J200" s="115"/>
      <c r="K200" s="115"/>
      <c r="L200" s="162"/>
    </row>
    <row r="201" spans="1:12">
      <c r="B201" s="22">
        <v>186</v>
      </c>
      <c r="C201" s="190"/>
      <c r="D201" s="190"/>
      <c r="E201" s="24"/>
      <c r="F201" s="158"/>
      <c r="G201" s="140"/>
      <c r="H201" s="188"/>
      <c r="I201" s="114"/>
      <c r="J201" s="115"/>
      <c r="K201" s="115"/>
      <c r="L201" s="162"/>
    </row>
    <row r="202" spans="1:12">
      <c r="B202" s="22">
        <v>187</v>
      </c>
      <c r="C202" s="157"/>
      <c r="D202" s="157"/>
      <c r="E202" s="24"/>
      <c r="H202" s="94"/>
      <c r="I202" s="114"/>
      <c r="J202" s="115"/>
      <c r="K202" s="115"/>
      <c r="L202" s="134"/>
    </row>
    <row r="203" spans="1:12" ht="12.75" thickBot="1">
      <c r="B203" s="22">
        <v>188</v>
      </c>
      <c r="C203" s="31" t="s">
        <v>17</v>
      </c>
      <c r="D203" s="31"/>
      <c r="H203" s="131">
        <f>SUM(H206:H529)</f>
        <v>94260871.219999999</v>
      </c>
      <c r="L203" s="120"/>
    </row>
    <row r="204" spans="1:12" ht="12.75" thickTop="1">
      <c r="B204" s="22">
        <v>189</v>
      </c>
      <c r="C204" s="31"/>
      <c r="D204" s="31"/>
      <c r="H204" s="155"/>
      <c r="L204" s="120"/>
    </row>
    <row r="205" spans="1:12" s="3" customFormat="1">
      <c r="A205" s="3">
        <v>4</v>
      </c>
      <c r="B205" s="22">
        <v>190</v>
      </c>
      <c r="C205" s="14" t="s">
        <v>4</v>
      </c>
      <c r="D205" s="14" t="s">
        <v>5</v>
      </c>
      <c r="E205" s="14" t="s">
        <v>6</v>
      </c>
      <c r="F205" s="14"/>
      <c r="G205" s="132" t="s">
        <v>8</v>
      </c>
      <c r="H205" s="154" t="s">
        <v>9</v>
      </c>
      <c r="I205" s="191"/>
      <c r="J205" s="192"/>
      <c r="K205" s="192"/>
      <c r="L205" s="137"/>
    </row>
    <row r="206" spans="1:12">
      <c r="B206" s="22">
        <v>191</v>
      </c>
      <c r="C206" s="76">
        <v>46113</v>
      </c>
      <c r="D206" s="76">
        <v>46113</v>
      </c>
      <c r="E206" s="24" t="s">
        <v>1013</v>
      </c>
      <c r="F206" s="24"/>
      <c r="G206" s="24" t="s">
        <v>1014</v>
      </c>
      <c r="H206" s="199">
        <v>73250</v>
      </c>
      <c r="I206" s="115"/>
      <c r="J206" s="201"/>
      <c r="K206" s="202"/>
      <c r="L206" s="162"/>
    </row>
    <row r="207" spans="1:12">
      <c r="B207" s="22">
        <v>192</v>
      </c>
      <c r="C207" s="76">
        <v>46113</v>
      </c>
      <c r="D207" s="76">
        <v>46113</v>
      </c>
      <c r="E207" s="24" t="s">
        <v>348</v>
      </c>
      <c r="F207" s="24"/>
      <c r="G207" s="24" t="s">
        <v>1015</v>
      </c>
      <c r="H207" s="199">
        <v>76000</v>
      </c>
      <c r="I207" s="115"/>
      <c r="J207" s="201"/>
      <c r="K207" s="202"/>
      <c r="L207" s="162"/>
    </row>
    <row r="208" spans="1:12">
      <c r="B208" s="22">
        <v>193</v>
      </c>
      <c r="C208" s="76">
        <v>46113</v>
      </c>
      <c r="D208" s="76">
        <v>46113</v>
      </c>
      <c r="E208" s="24" t="s">
        <v>1016</v>
      </c>
      <c r="F208" s="24"/>
      <c r="G208" s="24" t="s">
        <v>1017</v>
      </c>
      <c r="H208" s="199">
        <v>129000</v>
      </c>
      <c r="I208" s="115"/>
      <c r="J208" s="201"/>
      <c r="K208" s="202"/>
      <c r="L208" s="162"/>
    </row>
    <row r="209" spans="2:12">
      <c r="B209" s="22">
        <v>194</v>
      </c>
      <c r="C209" s="76">
        <v>46118</v>
      </c>
      <c r="D209" s="76">
        <v>46118</v>
      </c>
      <c r="E209" s="24" t="s">
        <v>1018</v>
      </c>
      <c r="F209" s="24"/>
      <c r="G209" s="24" t="s">
        <v>1019</v>
      </c>
      <c r="H209" s="199">
        <v>20000</v>
      </c>
      <c r="I209" s="201"/>
      <c r="J209" s="203"/>
      <c r="K209" s="115"/>
      <c r="L209" s="162"/>
    </row>
    <row r="210" spans="2:12">
      <c r="B210" s="22">
        <v>195</v>
      </c>
      <c r="C210" s="76">
        <v>46118</v>
      </c>
      <c r="D210" s="76">
        <v>46118</v>
      </c>
      <c r="E210" s="24" t="s">
        <v>348</v>
      </c>
      <c r="F210" s="24"/>
      <c r="G210" s="24" t="s">
        <v>1020</v>
      </c>
      <c r="H210" s="199">
        <v>21000</v>
      </c>
      <c r="I210" s="201"/>
      <c r="J210" s="203"/>
      <c r="K210" s="115"/>
      <c r="L210" s="162"/>
    </row>
    <row r="211" spans="2:12">
      <c r="B211" s="22">
        <v>196</v>
      </c>
      <c r="C211" s="76">
        <v>46118</v>
      </c>
      <c r="D211" s="76">
        <v>46118</v>
      </c>
      <c r="E211" s="24" t="s">
        <v>1021</v>
      </c>
      <c r="F211" s="24"/>
      <c r="G211" s="24" t="s">
        <v>1022</v>
      </c>
      <c r="H211" s="199">
        <v>25000</v>
      </c>
      <c r="I211" s="201"/>
      <c r="J211" s="203"/>
      <c r="K211" s="115"/>
      <c r="L211" s="162"/>
    </row>
    <row r="212" spans="2:12">
      <c r="B212" s="22">
        <v>197</v>
      </c>
      <c r="C212" s="76">
        <v>46118</v>
      </c>
      <c r="D212" s="76">
        <v>46118</v>
      </c>
      <c r="E212" s="24" t="s">
        <v>481</v>
      </c>
      <c r="F212" s="24"/>
      <c r="G212" s="24" t="s">
        <v>1023</v>
      </c>
      <c r="H212" s="199">
        <v>268500</v>
      </c>
      <c r="I212" s="115"/>
      <c r="J212" s="201"/>
      <c r="K212" s="202"/>
      <c r="L212" s="162"/>
    </row>
    <row r="213" spans="2:12">
      <c r="B213" s="22">
        <v>198</v>
      </c>
      <c r="C213" s="76">
        <v>46119</v>
      </c>
      <c r="D213" s="76">
        <v>46119</v>
      </c>
      <c r="E213" s="24" t="s">
        <v>1024</v>
      </c>
      <c r="F213" s="24" t="s">
        <v>1025</v>
      </c>
      <c r="G213" s="24" t="s">
        <v>1026</v>
      </c>
      <c r="H213" s="199">
        <v>102442</v>
      </c>
      <c r="I213" s="115"/>
      <c r="J213" s="201"/>
      <c r="K213" s="202"/>
      <c r="L213" s="162"/>
    </row>
    <row r="214" spans="2:12">
      <c r="B214" s="22">
        <v>199</v>
      </c>
      <c r="C214" s="76">
        <v>46121</v>
      </c>
      <c r="D214" s="76">
        <v>46121</v>
      </c>
      <c r="E214" s="24" t="s">
        <v>862</v>
      </c>
      <c r="F214" s="24"/>
      <c r="G214" s="24" t="s">
        <v>1027</v>
      </c>
      <c r="H214" s="199">
        <v>479448</v>
      </c>
      <c r="I214" s="115"/>
      <c r="J214" s="201"/>
      <c r="K214" s="202"/>
      <c r="L214" s="162"/>
    </row>
    <row r="215" spans="2:12">
      <c r="B215" s="22">
        <v>200</v>
      </c>
      <c r="C215" s="76">
        <v>46122</v>
      </c>
      <c r="D215" s="76">
        <v>46122</v>
      </c>
      <c r="E215" s="24" t="s">
        <v>1028</v>
      </c>
      <c r="F215" s="24"/>
      <c r="G215" s="24" t="s">
        <v>1029</v>
      </c>
      <c r="H215" s="199">
        <v>75000</v>
      </c>
      <c r="I215" s="115"/>
      <c r="J215" s="201"/>
      <c r="K215" s="202"/>
      <c r="L215" s="162"/>
    </row>
    <row r="216" spans="2:12">
      <c r="B216" s="22">
        <v>201</v>
      </c>
      <c r="C216" s="76">
        <v>46122</v>
      </c>
      <c r="D216" s="76">
        <v>46122</v>
      </c>
      <c r="E216" s="24" t="s">
        <v>1005</v>
      </c>
      <c r="F216" s="24"/>
      <c r="G216" s="24" t="s">
        <v>1006</v>
      </c>
      <c r="H216" s="199">
        <v>92000</v>
      </c>
      <c r="I216" s="115"/>
      <c r="J216" s="201"/>
      <c r="K216" s="202"/>
      <c r="L216" s="162"/>
    </row>
    <row r="217" spans="2:12">
      <c r="B217" s="22">
        <v>202</v>
      </c>
      <c r="C217" s="76">
        <v>46122</v>
      </c>
      <c r="D217" s="76">
        <v>46122</v>
      </c>
      <c r="E217" s="24" t="s">
        <v>1030</v>
      </c>
      <c r="F217" s="24"/>
      <c r="G217" s="24" t="s">
        <v>1031</v>
      </c>
      <c r="H217" s="199">
        <v>296000</v>
      </c>
      <c r="I217" s="115"/>
      <c r="J217" s="201"/>
      <c r="K217" s="202"/>
      <c r="L217" s="162"/>
    </row>
    <row r="218" spans="2:12">
      <c r="B218" s="22">
        <v>203</v>
      </c>
      <c r="C218" s="76">
        <v>46122</v>
      </c>
      <c r="D218" s="76">
        <v>46122</v>
      </c>
      <c r="E218" s="24" t="s">
        <v>1032</v>
      </c>
      <c r="F218" s="24"/>
      <c r="G218" s="24" t="s">
        <v>1033</v>
      </c>
      <c r="H218" s="199">
        <v>562320</v>
      </c>
      <c r="I218" s="115"/>
      <c r="J218" s="201"/>
      <c r="K218" s="202"/>
      <c r="L218" s="162"/>
    </row>
    <row r="219" spans="2:12">
      <c r="B219" s="22">
        <v>204</v>
      </c>
      <c r="C219" s="76">
        <v>46122</v>
      </c>
      <c r="D219" s="76">
        <v>46122</v>
      </c>
      <c r="E219" s="24" t="s">
        <v>1034</v>
      </c>
      <c r="F219" s="24"/>
      <c r="G219" s="24" t="s">
        <v>1035</v>
      </c>
      <c r="H219" s="199">
        <v>1585000</v>
      </c>
      <c r="I219" s="115"/>
      <c r="J219" s="201"/>
      <c r="K219" s="202"/>
      <c r="L219" s="162"/>
    </row>
    <row r="220" spans="2:12">
      <c r="B220" s="22">
        <v>205</v>
      </c>
      <c r="C220" s="76">
        <v>46123</v>
      </c>
      <c r="D220" s="76">
        <v>46123</v>
      </c>
      <c r="E220" s="24" t="s">
        <v>1036</v>
      </c>
      <c r="F220" s="24"/>
      <c r="G220" s="24" t="s">
        <v>1037</v>
      </c>
      <c r="H220" s="199">
        <v>29230</v>
      </c>
      <c r="I220" s="201"/>
      <c r="J220" s="203"/>
      <c r="K220" s="115"/>
      <c r="L220" s="162"/>
    </row>
    <row r="221" spans="2:12">
      <c r="B221" s="22">
        <v>206</v>
      </c>
      <c r="C221" s="76">
        <v>46123</v>
      </c>
      <c r="D221" s="76">
        <v>46123</v>
      </c>
      <c r="E221" s="24" t="s">
        <v>1038</v>
      </c>
      <c r="F221" s="24"/>
      <c r="G221" s="24" t="s">
        <v>1039</v>
      </c>
      <c r="H221" s="199">
        <v>200000</v>
      </c>
      <c r="I221" s="115"/>
      <c r="J221" s="201"/>
      <c r="K221" s="202"/>
      <c r="L221" s="162"/>
    </row>
    <row r="222" spans="2:12">
      <c r="B222" s="22">
        <v>207</v>
      </c>
      <c r="C222" s="76">
        <v>46125</v>
      </c>
      <c r="D222" s="76">
        <v>46125</v>
      </c>
      <c r="E222" s="24" t="s">
        <v>1040</v>
      </c>
      <c r="F222" s="24"/>
      <c r="G222" s="24" t="s">
        <v>1041</v>
      </c>
      <c r="H222" s="199">
        <v>22125</v>
      </c>
      <c r="I222" s="201"/>
      <c r="J222" s="203"/>
      <c r="K222" s="115"/>
      <c r="L222" s="162"/>
    </row>
    <row r="223" spans="2:12">
      <c r="B223" s="22">
        <v>208</v>
      </c>
      <c r="C223" s="76">
        <v>46125</v>
      </c>
      <c r="D223" s="76">
        <v>46125</v>
      </c>
      <c r="E223" s="24" t="s">
        <v>1042</v>
      </c>
      <c r="F223" s="24" t="s">
        <v>1043</v>
      </c>
      <c r="G223" s="24" t="s">
        <v>1044</v>
      </c>
      <c r="H223" s="199">
        <v>500000</v>
      </c>
      <c r="I223" s="115"/>
      <c r="J223" s="201"/>
      <c r="K223" s="202"/>
      <c r="L223" s="162"/>
    </row>
    <row r="224" spans="2:12">
      <c r="B224" s="22">
        <v>209</v>
      </c>
      <c r="C224" s="76">
        <v>46126</v>
      </c>
      <c r="D224" s="76">
        <v>46126</v>
      </c>
      <c r="E224" s="24" t="s">
        <v>1045</v>
      </c>
      <c r="F224" s="24"/>
      <c r="G224" s="24" t="s">
        <v>1046</v>
      </c>
      <c r="H224" s="199">
        <v>2388045</v>
      </c>
      <c r="I224" s="115"/>
      <c r="J224" s="201"/>
      <c r="K224" s="202"/>
      <c r="L224" s="162"/>
    </row>
    <row r="225" spans="2:12">
      <c r="B225" s="22">
        <v>210</v>
      </c>
      <c r="C225" s="76">
        <v>46127</v>
      </c>
      <c r="D225" s="76">
        <v>46127</v>
      </c>
      <c r="E225" s="24" t="s">
        <v>1047</v>
      </c>
      <c r="F225" s="24"/>
      <c r="G225" s="24" t="s">
        <v>1048</v>
      </c>
      <c r="H225" s="199">
        <v>31800</v>
      </c>
      <c r="I225" s="201"/>
      <c r="J225" s="203"/>
      <c r="K225" s="115"/>
      <c r="L225" s="162"/>
    </row>
    <row r="226" spans="2:12">
      <c r="B226" s="22">
        <v>211</v>
      </c>
      <c r="C226" s="76">
        <v>46127</v>
      </c>
      <c r="D226" s="76">
        <v>46127</v>
      </c>
      <c r="E226" s="24" t="s">
        <v>1049</v>
      </c>
      <c r="F226" s="24"/>
      <c r="G226" s="24" t="s">
        <v>1050</v>
      </c>
      <c r="H226" s="199">
        <v>96250</v>
      </c>
      <c r="I226" s="115"/>
      <c r="J226" s="201"/>
      <c r="K226" s="202"/>
      <c r="L226" s="162"/>
    </row>
    <row r="227" spans="2:12">
      <c r="B227" s="22">
        <v>212</v>
      </c>
      <c r="C227" s="76">
        <v>46127</v>
      </c>
      <c r="D227" s="76">
        <v>46127</v>
      </c>
      <c r="E227" s="24" t="s">
        <v>1051</v>
      </c>
      <c r="F227" s="24" t="s">
        <v>1052</v>
      </c>
      <c r="G227" s="24" t="s">
        <v>1053</v>
      </c>
      <c r="H227" s="199">
        <v>137500</v>
      </c>
      <c r="I227" s="115"/>
      <c r="J227" s="201"/>
      <c r="K227" s="202"/>
      <c r="L227" s="162"/>
    </row>
    <row r="228" spans="2:12">
      <c r="B228" s="22">
        <v>213</v>
      </c>
      <c r="C228" s="76">
        <v>46127</v>
      </c>
      <c r="D228" s="76">
        <v>46127</v>
      </c>
      <c r="E228" s="24" t="s">
        <v>1054</v>
      </c>
      <c r="F228" s="24" t="s">
        <v>1055</v>
      </c>
      <c r="G228" s="24" t="s">
        <v>1056</v>
      </c>
      <c r="H228" s="199">
        <v>212700</v>
      </c>
      <c r="I228" s="115"/>
      <c r="J228" s="201"/>
      <c r="K228" s="202"/>
      <c r="L228" s="162"/>
    </row>
    <row r="229" spans="2:12">
      <c r="B229" s="22">
        <v>214</v>
      </c>
      <c r="C229" s="76">
        <v>46128</v>
      </c>
      <c r="D229" s="76">
        <v>46128</v>
      </c>
      <c r="E229" s="24" t="s">
        <v>1057</v>
      </c>
      <c r="F229" s="24"/>
      <c r="G229" s="24" t="s">
        <v>1058</v>
      </c>
      <c r="H229" s="199">
        <v>16250</v>
      </c>
      <c r="I229" s="201"/>
      <c r="J229" s="203"/>
      <c r="K229" s="115"/>
      <c r="L229" s="162"/>
    </row>
    <row r="230" spans="2:12">
      <c r="B230" s="22">
        <v>215</v>
      </c>
      <c r="C230" s="76">
        <v>46128</v>
      </c>
      <c r="D230" s="76">
        <v>46128</v>
      </c>
      <c r="E230" s="24" t="s">
        <v>1059</v>
      </c>
      <c r="F230" s="24"/>
      <c r="G230" s="24" t="s">
        <v>1060</v>
      </c>
      <c r="H230" s="199">
        <v>35451.25</v>
      </c>
      <c r="I230" s="115"/>
      <c r="J230" s="201"/>
      <c r="K230" s="202"/>
      <c r="L230" s="162"/>
    </row>
    <row r="231" spans="2:12">
      <c r="B231" s="22">
        <v>216</v>
      </c>
      <c r="C231" s="76">
        <v>46128</v>
      </c>
      <c r="D231" s="76">
        <v>46128</v>
      </c>
      <c r="E231" s="24" t="s">
        <v>522</v>
      </c>
      <c r="F231" s="24"/>
      <c r="G231" s="24" t="s">
        <v>1061</v>
      </c>
      <c r="H231" s="199">
        <v>336600</v>
      </c>
      <c r="I231" s="115"/>
      <c r="J231" s="201"/>
      <c r="K231" s="202"/>
      <c r="L231" s="162"/>
    </row>
    <row r="232" spans="2:12">
      <c r="B232" s="22">
        <v>217</v>
      </c>
      <c r="C232" s="76">
        <v>46128</v>
      </c>
      <c r="D232" s="76">
        <v>46128</v>
      </c>
      <c r="E232" s="24" t="s">
        <v>1062</v>
      </c>
      <c r="F232" s="24" t="s">
        <v>1063</v>
      </c>
      <c r="G232" s="24" t="s">
        <v>1064</v>
      </c>
      <c r="H232" s="199">
        <v>4499997</v>
      </c>
      <c r="I232" s="115"/>
      <c r="J232" s="201"/>
      <c r="K232" s="202"/>
      <c r="L232" s="162"/>
    </row>
    <row r="233" spans="2:12">
      <c r="B233" s="22">
        <v>218</v>
      </c>
      <c r="C233" s="76">
        <v>46129</v>
      </c>
      <c r="D233" s="76">
        <v>46129</v>
      </c>
      <c r="E233" s="24" t="s">
        <v>1065</v>
      </c>
      <c r="F233" s="24"/>
      <c r="G233" s="24" t="s">
        <v>1066</v>
      </c>
      <c r="H233" s="199">
        <v>17050</v>
      </c>
      <c r="I233" s="201"/>
      <c r="J233" s="203"/>
      <c r="K233" s="115"/>
      <c r="L233" s="162"/>
    </row>
    <row r="234" spans="2:12">
      <c r="B234" s="22">
        <v>219</v>
      </c>
      <c r="C234" s="76">
        <v>46129</v>
      </c>
      <c r="D234" s="76">
        <v>46129</v>
      </c>
      <c r="E234" s="24" t="s">
        <v>1067</v>
      </c>
      <c r="F234" s="24"/>
      <c r="G234" s="24" t="s">
        <v>1068</v>
      </c>
      <c r="H234" s="199">
        <v>40800</v>
      </c>
      <c r="I234" s="115"/>
      <c r="J234" s="201"/>
      <c r="K234" s="202"/>
      <c r="L234" s="162"/>
    </row>
    <row r="235" spans="2:12">
      <c r="B235" s="22">
        <v>220</v>
      </c>
      <c r="C235" s="76">
        <v>46129</v>
      </c>
      <c r="D235" s="76">
        <v>46129</v>
      </c>
      <c r="E235" s="24" t="s">
        <v>1069</v>
      </c>
      <c r="F235" s="24"/>
      <c r="G235" s="24" t="s">
        <v>1070</v>
      </c>
      <c r="H235" s="199">
        <v>139500</v>
      </c>
      <c r="I235" s="115"/>
      <c r="J235" s="201"/>
      <c r="K235" s="202"/>
      <c r="L235" s="162"/>
    </row>
    <row r="236" spans="2:12">
      <c r="B236" s="22">
        <v>221</v>
      </c>
      <c r="C236" s="76">
        <v>46129</v>
      </c>
      <c r="D236" s="76">
        <v>46129</v>
      </c>
      <c r="E236" s="24" t="s">
        <v>1071</v>
      </c>
      <c r="F236" s="24"/>
      <c r="G236" s="24" t="s">
        <v>1072</v>
      </c>
      <c r="H236" s="199">
        <v>162000</v>
      </c>
      <c r="I236" s="115"/>
      <c r="J236" s="201"/>
      <c r="K236" s="202"/>
      <c r="L236" s="162"/>
    </row>
    <row r="237" spans="2:12">
      <c r="B237" s="22">
        <v>222</v>
      </c>
      <c r="C237" s="76">
        <v>46129</v>
      </c>
      <c r="D237" s="76">
        <v>46129</v>
      </c>
      <c r="E237" s="24" t="s">
        <v>1073</v>
      </c>
      <c r="F237" s="24"/>
      <c r="G237" s="24" t="s">
        <v>1074</v>
      </c>
      <c r="H237" s="199">
        <v>211506.87</v>
      </c>
      <c r="I237" s="115"/>
      <c r="J237" s="201"/>
      <c r="K237" s="202"/>
      <c r="L237" s="162"/>
    </row>
    <row r="238" spans="2:12">
      <c r="B238" s="22">
        <v>223</v>
      </c>
      <c r="C238" s="76">
        <v>46130</v>
      </c>
      <c r="D238" s="76">
        <v>46130</v>
      </c>
      <c r="E238" s="24" t="s">
        <v>1075</v>
      </c>
      <c r="F238" s="24"/>
      <c r="G238" s="24" t="s">
        <v>1076</v>
      </c>
      <c r="H238" s="199">
        <v>49006.400000000001</v>
      </c>
      <c r="I238" s="115"/>
      <c r="J238" s="201"/>
      <c r="K238" s="202"/>
      <c r="L238" s="162"/>
    </row>
    <row r="239" spans="2:12">
      <c r="B239" s="22">
        <v>224</v>
      </c>
      <c r="C239" s="76">
        <v>46130</v>
      </c>
      <c r="D239" s="76">
        <v>46130</v>
      </c>
      <c r="E239" s="24" t="s">
        <v>1077</v>
      </c>
      <c r="F239" s="24"/>
      <c r="G239" s="24" t="s">
        <v>1078</v>
      </c>
      <c r="H239" s="199">
        <v>55009.5</v>
      </c>
      <c r="I239" s="115"/>
      <c r="J239" s="201"/>
      <c r="K239" s="202"/>
      <c r="L239" s="162"/>
    </row>
    <row r="240" spans="2:12">
      <c r="B240" s="22">
        <v>225</v>
      </c>
      <c r="C240" s="76">
        <v>46130</v>
      </c>
      <c r="D240" s="76">
        <v>46130</v>
      </c>
      <c r="E240" s="24" t="s">
        <v>916</v>
      </c>
      <c r="F240" s="24"/>
      <c r="G240" s="24" t="s">
        <v>1079</v>
      </c>
      <c r="H240" s="199">
        <v>119050</v>
      </c>
      <c r="I240" s="115"/>
      <c r="J240" s="201"/>
      <c r="K240" s="202"/>
      <c r="L240" s="162"/>
    </row>
    <row r="241" spans="2:12">
      <c r="B241" s="22">
        <v>226</v>
      </c>
      <c r="C241" s="76">
        <v>46130</v>
      </c>
      <c r="D241" s="76">
        <v>46130</v>
      </c>
      <c r="E241" s="24" t="s">
        <v>1080</v>
      </c>
      <c r="F241" s="24"/>
      <c r="G241" s="24" t="s">
        <v>1081</v>
      </c>
      <c r="H241" s="199">
        <v>231750</v>
      </c>
      <c r="I241" s="115"/>
      <c r="J241" s="201"/>
      <c r="K241" s="202"/>
      <c r="L241" s="162"/>
    </row>
    <row r="242" spans="2:12">
      <c r="B242" s="22">
        <v>227</v>
      </c>
      <c r="C242" s="76">
        <v>46132</v>
      </c>
      <c r="D242" s="76">
        <v>46132</v>
      </c>
      <c r="E242" s="24" t="s">
        <v>1082</v>
      </c>
      <c r="F242" s="24"/>
      <c r="G242" s="24" t="s">
        <v>1083</v>
      </c>
      <c r="H242" s="199">
        <v>252500</v>
      </c>
      <c r="I242" s="115"/>
      <c r="J242" s="201"/>
      <c r="K242" s="202"/>
      <c r="L242" s="162"/>
    </row>
    <row r="243" spans="2:12">
      <c r="B243" s="22">
        <v>228</v>
      </c>
      <c r="C243" s="76">
        <v>46132</v>
      </c>
      <c r="D243" s="76">
        <v>46132</v>
      </c>
      <c r="E243" s="24" t="s">
        <v>1084</v>
      </c>
      <c r="F243" s="24"/>
      <c r="G243" s="24" t="s">
        <v>1085</v>
      </c>
      <c r="H243" s="199">
        <v>1300000</v>
      </c>
      <c r="I243" s="115"/>
      <c r="J243" s="201"/>
      <c r="K243" s="202"/>
      <c r="L243" s="162"/>
    </row>
    <row r="244" spans="2:12">
      <c r="B244" s="22">
        <v>229</v>
      </c>
      <c r="C244" s="76">
        <v>46133</v>
      </c>
      <c r="D244" s="76">
        <v>46133</v>
      </c>
      <c r="E244" s="24" t="s">
        <v>1086</v>
      </c>
      <c r="F244" s="24"/>
      <c r="G244" s="24" t="s">
        <v>1087</v>
      </c>
      <c r="H244" s="199">
        <v>32400</v>
      </c>
      <c r="I244" s="201"/>
      <c r="J244" s="203"/>
      <c r="K244" s="115"/>
      <c r="L244" s="162"/>
    </row>
    <row r="245" spans="2:12">
      <c r="B245" s="22">
        <v>230</v>
      </c>
      <c r="C245" s="76">
        <v>46133</v>
      </c>
      <c r="D245" s="76">
        <v>46133</v>
      </c>
      <c r="E245" s="24" t="s">
        <v>1088</v>
      </c>
      <c r="F245" s="24"/>
      <c r="G245" s="24" t="s">
        <v>1089</v>
      </c>
      <c r="H245" s="199">
        <v>116550</v>
      </c>
      <c r="I245" s="115"/>
      <c r="J245" s="201"/>
      <c r="K245" s="202"/>
      <c r="L245" s="162"/>
    </row>
    <row r="246" spans="2:12">
      <c r="B246" s="22">
        <v>231</v>
      </c>
      <c r="C246" s="76">
        <v>46133</v>
      </c>
      <c r="D246" s="76">
        <v>46133</v>
      </c>
      <c r="E246" s="24" t="s">
        <v>1090</v>
      </c>
      <c r="F246" s="24"/>
      <c r="G246" s="24" t="s">
        <v>1091</v>
      </c>
      <c r="H246" s="199">
        <v>707400</v>
      </c>
      <c r="I246" s="115"/>
      <c r="J246" s="201"/>
      <c r="K246" s="202"/>
      <c r="L246" s="162"/>
    </row>
    <row r="247" spans="2:12">
      <c r="B247" s="22">
        <v>232</v>
      </c>
      <c r="C247" s="76">
        <v>46134</v>
      </c>
      <c r="D247" s="76">
        <v>46134</v>
      </c>
      <c r="E247" s="24" t="s">
        <v>1092</v>
      </c>
      <c r="F247" s="24"/>
      <c r="G247" s="24" t="s">
        <v>1093</v>
      </c>
      <c r="H247" s="199">
        <v>48000</v>
      </c>
      <c r="I247" s="115"/>
      <c r="J247" s="201"/>
      <c r="K247" s="202"/>
      <c r="L247" s="162"/>
    </row>
    <row r="248" spans="2:12">
      <c r="B248" s="22">
        <v>233</v>
      </c>
      <c r="C248" s="76">
        <v>46135</v>
      </c>
      <c r="D248" s="76">
        <v>46135</v>
      </c>
      <c r="E248" s="24" t="s">
        <v>1094</v>
      </c>
      <c r="F248" s="24"/>
      <c r="G248" s="24" t="s">
        <v>1095</v>
      </c>
      <c r="H248" s="199">
        <v>22700</v>
      </c>
      <c r="I248" s="201"/>
      <c r="J248" s="203"/>
      <c r="K248" s="115"/>
      <c r="L248" s="162"/>
    </row>
    <row r="249" spans="2:12">
      <c r="B249" s="22">
        <v>234</v>
      </c>
      <c r="C249" s="76">
        <v>46135</v>
      </c>
      <c r="D249" s="76">
        <v>46135</v>
      </c>
      <c r="E249" s="24" t="s">
        <v>522</v>
      </c>
      <c r="F249" s="24"/>
      <c r="G249" s="24" t="s">
        <v>1096</v>
      </c>
      <c r="H249" s="199">
        <v>157500</v>
      </c>
      <c r="I249" s="115"/>
      <c r="J249" s="201"/>
      <c r="K249" s="202"/>
      <c r="L249" s="162"/>
    </row>
    <row r="250" spans="2:12">
      <c r="B250" s="22">
        <v>235</v>
      </c>
      <c r="C250" s="76">
        <v>46135</v>
      </c>
      <c r="D250" s="76">
        <v>46135</v>
      </c>
      <c r="E250" s="24" t="s">
        <v>1097</v>
      </c>
      <c r="F250" s="24"/>
      <c r="G250" s="24" t="s">
        <v>1098</v>
      </c>
      <c r="H250" s="199">
        <v>439000</v>
      </c>
      <c r="I250" s="115"/>
      <c r="J250" s="201"/>
      <c r="K250" s="202"/>
      <c r="L250" s="162"/>
    </row>
    <row r="251" spans="2:12">
      <c r="B251" s="22">
        <v>236</v>
      </c>
      <c r="C251" s="76">
        <v>46135</v>
      </c>
      <c r="D251" s="76">
        <v>46135</v>
      </c>
      <c r="E251" s="24" t="s">
        <v>1099</v>
      </c>
      <c r="F251" s="24" t="s">
        <v>1100</v>
      </c>
      <c r="G251" s="24" t="s">
        <v>1101</v>
      </c>
      <c r="H251" s="199">
        <v>1500000</v>
      </c>
      <c r="I251" s="115"/>
      <c r="J251" s="201"/>
      <c r="K251" s="202"/>
      <c r="L251" s="162"/>
    </row>
    <row r="252" spans="2:12">
      <c r="B252" s="22">
        <v>237</v>
      </c>
      <c r="C252" s="76">
        <v>46136</v>
      </c>
      <c r="D252" s="76">
        <v>46136</v>
      </c>
      <c r="E252" s="24" t="s">
        <v>1102</v>
      </c>
      <c r="F252" s="24"/>
      <c r="G252" s="24" t="s">
        <v>1103</v>
      </c>
      <c r="H252" s="199">
        <v>29500</v>
      </c>
      <c r="I252" s="201"/>
      <c r="J252" s="203"/>
      <c r="K252" s="115"/>
      <c r="L252" s="162"/>
    </row>
    <row r="253" spans="2:12">
      <c r="B253" s="22">
        <v>238</v>
      </c>
      <c r="C253" s="76">
        <v>46136</v>
      </c>
      <c r="D253" s="76">
        <v>46136</v>
      </c>
      <c r="E253" s="24" t="s">
        <v>1104</v>
      </c>
      <c r="F253" s="24"/>
      <c r="G253" s="24" t="s">
        <v>1105</v>
      </c>
      <c r="H253" s="199">
        <v>55600</v>
      </c>
      <c r="I253" s="115"/>
      <c r="J253" s="201"/>
      <c r="K253" s="202"/>
      <c r="L253" s="162"/>
    </row>
    <row r="254" spans="2:12">
      <c r="B254" s="22">
        <v>239</v>
      </c>
      <c r="C254" s="76">
        <v>46136</v>
      </c>
      <c r="D254" s="76">
        <v>46136</v>
      </c>
      <c r="E254" s="24" t="s">
        <v>481</v>
      </c>
      <c r="F254" s="24"/>
      <c r="G254" s="24" t="s">
        <v>1106</v>
      </c>
      <c r="H254" s="199">
        <v>66000</v>
      </c>
      <c r="I254" s="115"/>
      <c r="J254" s="201"/>
      <c r="K254" s="202"/>
      <c r="L254" s="162"/>
    </row>
    <row r="255" spans="2:12">
      <c r="B255" s="22">
        <v>240</v>
      </c>
      <c r="C255" s="76">
        <v>46136</v>
      </c>
      <c r="D255" s="76">
        <v>46136</v>
      </c>
      <c r="E255" s="24" t="s">
        <v>1107</v>
      </c>
      <c r="F255" s="24"/>
      <c r="G255" s="24" t="s">
        <v>1108</v>
      </c>
      <c r="H255" s="199">
        <v>449301.6</v>
      </c>
      <c r="I255" s="115"/>
      <c r="J255" s="201"/>
      <c r="K255" s="202"/>
      <c r="L255" s="162"/>
    </row>
    <row r="256" spans="2:12">
      <c r="B256" s="22">
        <v>241</v>
      </c>
      <c r="C256" s="76">
        <v>46136</v>
      </c>
      <c r="D256" s="76">
        <v>46136</v>
      </c>
      <c r="E256" s="24" t="s">
        <v>1109</v>
      </c>
      <c r="F256" s="24"/>
      <c r="G256" s="24" t="s">
        <v>1110</v>
      </c>
      <c r="H256" s="199">
        <v>465503.4</v>
      </c>
      <c r="I256" s="115"/>
      <c r="J256" s="201"/>
      <c r="K256" s="202"/>
      <c r="L256" s="162"/>
    </row>
    <row r="257" spans="2:12">
      <c r="B257" s="22">
        <v>242</v>
      </c>
      <c r="C257" s="76">
        <v>46136</v>
      </c>
      <c r="D257" s="76">
        <v>46136</v>
      </c>
      <c r="E257" s="24" t="s">
        <v>1111</v>
      </c>
      <c r="F257" s="24"/>
      <c r="G257" s="24" t="s">
        <v>1112</v>
      </c>
      <c r="H257" s="199">
        <v>2471120</v>
      </c>
      <c r="I257" s="115"/>
      <c r="J257" s="201"/>
      <c r="K257" s="202"/>
      <c r="L257" s="162"/>
    </row>
    <row r="258" spans="2:12">
      <c r="B258" s="22">
        <v>243</v>
      </c>
      <c r="C258" s="76">
        <v>46137</v>
      </c>
      <c r="D258" s="76">
        <v>46137</v>
      </c>
      <c r="E258" s="24" t="s">
        <v>1113</v>
      </c>
      <c r="F258" s="24" t="s">
        <v>1114</v>
      </c>
      <c r="G258" s="24" t="s">
        <v>1115</v>
      </c>
      <c r="H258" s="199">
        <v>81350</v>
      </c>
      <c r="I258" s="115"/>
      <c r="J258" s="201"/>
      <c r="K258" s="202"/>
      <c r="L258" s="162"/>
    </row>
    <row r="259" spans="2:12">
      <c r="B259" s="22">
        <v>244</v>
      </c>
      <c r="C259" s="76">
        <v>46139</v>
      </c>
      <c r="D259" s="76">
        <v>46139</v>
      </c>
      <c r="E259" s="24" t="s">
        <v>1116</v>
      </c>
      <c r="F259" s="24" t="s">
        <v>986</v>
      </c>
      <c r="G259" s="24" t="s">
        <v>1117</v>
      </c>
      <c r="H259" s="199">
        <v>46850</v>
      </c>
      <c r="I259" s="115"/>
      <c r="J259" s="201"/>
      <c r="K259" s="202"/>
      <c r="L259" s="162"/>
    </row>
    <row r="260" spans="2:12">
      <c r="B260" s="22">
        <v>245</v>
      </c>
      <c r="C260" s="76">
        <v>46140</v>
      </c>
      <c r="D260" s="76">
        <v>46140</v>
      </c>
      <c r="E260" s="24" t="s">
        <v>1118</v>
      </c>
      <c r="F260" s="24"/>
      <c r="G260" s="24" t="s">
        <v>1119</v>
      </c>
      <c r="H260" s="199">
        <v>106450</v>
      </c>
      <c r="I260" s="115"/>
      <c r="J260" s="201"/>
      <c r="K260" s="202"/>
      <c r="L260" s="162"/>
    </row>
    <row r="261" spans="2:12">
      <c r="B261" s="22">
        <v>246</v>
      </c>
      <c r="C261" s="76">
        <v>46140</v>
      </c>
      <c r="D261" s="76">
        <v>46140</v>
      </c>
      <c r="E261" s="24" t="s">
        <v>1120</v>
      </c>
      <c r="F261" s="24"/>
      <c r="G261" s="24" t="s">
        <v>1121</v>
      </c>
      <c r="H261" s="199">
        <v>148000</v>
      </c>
      <c r="I261" s="115"/>
      <c r="J261" s="201"/>
      <c r="K261" s="202"/>
      <c r="L261" s="162"/>
    </row>
    <row r="262" spans="2:12">
      <c r="B262" s="22">
        <v>247</v>
      </c>
      <c r="C262" s="76">
        <v>46141</v>
      </c>
      <c r="D262" s="76">
        <v>46141</v>
      </c>
      <c r="E262" s="24" t="s">
        <v>1122</v>
      </c>
      <c r="F262" s="249"/>
      <c r="G262" s="24" t="s">
        <v>1123</v>
      </c>
      <c r="H262" s="199">
        <v>12800</v>
      </c>
      <c r="I262" s="201"/>
      <c r="J262" s="203"/>
      <c r="K262" s="115"/>
      <c r="L262" s="162"/>
    </row>
    <row r="263" spans="2:12">
      <c r="B263" s="22">
        <v>248</v>
      </c>
      <c r="C263" s="76">
        <v>46141</v>
      </c>
      <c r="D263" s="76">
        <v>46141</v>
      </c>
      <c r="E263" s="24" t="s">
        <v>1124</v>
      </c>
      <c r="F263" s="24"/>
      <c r="G263" s="24" t="s">
        <v>1125</v>
      </c>
      <c r="H263" s="199">
        <v>108764</v>
      </c>
      <c r="I263" s="115"/>
      <c r="J263" s="201"/>
      <c r="K263" s="202"/>
      <c r="L263" s="162"/>
    </row>
    <row r="264" spans="2:12">
      <c r="B264" s="22">
        <v>249</v>
      </c>
      <c r="C264" s="76">
        <v>46141</v>
      </c>
      <c r="D264" s="76">
        <v>46141</v>
      </c>
      <c r="E264" s="24" t="s">
        <v>1126</v>
      </c>
      <c r="F264" s="24"/>
      <c r="G264" s="24" t="s">
        <v>1127</v>
      </c>
      <c r="H264" s="199">
        <v>796000</v>
      </c>
      <c r="I264" s="115"/>
      <c r="J264" s="201"/>
      <c r="K264" s="202"/>
      <c r="L264" s="162"/>
    </row>
    <row r="265" spans="2:12">
      <c r="B265" s="22">
        <v>250</v>
      </c>
      <c r="C265" s="193">
        <v>46142</v>
      </c>
      <c r="D265" s="193">
        <v>46142</v>
      </c>
      <c r="E265" s="24" t="s">
        <v>348</v>
      </c>
      <c r="F265" s="24" t="s">
        <v>1128</v>
      </c>
      <c r="G265" s="24" t="s">
        <v>1129</v>
      </c>
      <c r="H265" s="199">
        <v>4500</v>
      </c>
      <c r="I265" s="201"/>
      <c r="J265" s="203"/>
      <c r="K265" s="115"/>
      <c r="L265" s="162"/>
    </row>
    <row r="266" spans="2:12">
      <c r="B266" s="22">
        <v>251</v>
      </c>
      <c r="C266" s="193">
        <v>46142</v>
      </c>
      <c r="D266" s="193">
        <v>46142</v>
      </c>
      <c r="E266" s="24" t="s">
        <v>1130</v>
      </c>
      <c r="F266" s="249" t="s">
        <v>1131</v>
      </c>
      <c r="G266" s="24" t="s">
        <v>1132</v>
      </c>
      <c r="H266" s="199">
        <v>7750</v>
      </c>
      <c r="I266" s="201"/>
      <c r="J266" s="203"/>
      <c r="K266" s="115"/>
      <c r="L266" s="162"/>
    </row>
    <row r="267" spans="2:12">
      <c r="B267" s="22">
        <v>252</v>
      </c>
      <c r="C267" s="76">
        <v>46142</v>
      </c>
      <c r="D267" s="76">
        <v>46142</v>
      </c>
      <c r="E267" s="24" t="s">
        <v>1133</v>
      </c>
      <c r="F267" s="24" t="s">
        <v>1134</v>
      </c>
      <c r="G267" s="24" t="s">
        <v>1135</v>
      </c>
      <c r="H267" s="57">
        <v>7950</v>
      </c>
      <c r="I267" s="201"/>
      <c r="J267" s="203"/>
      <c r="K267" s="115"/>
      <c r="L267" s="162"/>
    </row>
    <row r="268" spans="2:12">
      <c r="B268" s="22">
        <v>253</v>
      </c>
      <c r="C268" s="193">
        <v>46142</v>
      </c>
      <c r="D268" s="193">
        <v>46142</v>
      </c>
      <c r="E268" s="24" t="s">
        <v>348</v>
      </c>
      <c r="F268" s="249" t="s">
        <v>1136</v>
      </c>
      <c r="G268" s="24" t="s">
        <v>1137</v>
      </c>
      <c r="H268" s="199">
        <v>9800</v>
      </c>
      <c r="I268" s="201"/>
      <c r="J268" s="203"/>
      <c r="K268" s="115"/>
      <c r="L268" s="162"/>
    </row>
    <row r="269" spans="2:12">
      <c r="B269" s="22">
        <v>254</v>
      </c>
      <c r="C269" s="193">
        <v>46142</v>
      </c>
      <c r="D269" s="193">
        <v>46142</v>
      </c>
      <c r="E269" s="24" t="s">
        <v>1138</v>
      </c>
      <c r="F269" s="249" t="s">
        <v>1139</v>
      </c>
      <c r="G269" s="24" t="s">
        <v>1140</v>
      </c>
      <c r="H269" s="199">
        <v>11750</v>
      </c>
      <c r="I269" s="201"/>
      <c r="J269" s="203"/>
      <c r="K269" s="115"/>
      <c r="L269" s="162"/>
    </row>
    <row r="270" spans="2:12">
      <c r="B270" s="22">
        <v>255</v>
      </c>
      <c r="C270" s="193">
        <v>46142</v>
      </c>
      <c r="D270" s="193">
        <v>46142</v>
      </c>
      <c r="E270" s="24" t="s">
        <v>1141</v>
      </c>
      <c r="F270" s="249" t="s">
        <v>1142</v>
      </c>
      <c r="G270" s="24" t="s">
        <v>1143</v>
      </c>
      <c r="H270" s="199">
        <v>12350</v>
      </c>
      <c r="I270" s="201"/>
      <c r="J270" s="203"/>
      <c r="K270" s="115"/>
      <c r="L270" s="162"/>
    </row>
    <row r="271" spans="2:12">
      <c r="B271" s="22">
        <v>256</v>
      </c>
      <c r="C271" s="76">
        <v>46142</v>
      </c>
      <c r="D271" s="76">
        <v>46142</v>
      </c>
      <c r="E271" s="24" t="s">
        <v>1144</v>
      </c>
      <c r="F271" s="249" t="s">
        <v>1145</v>
      </c>
      <c r="G271" s="24" t="s">
        <v>1146</v>
      </c>
      <c r="H271" s="250">
        <v>13200</v>
      </c>
      <c r="I271" s="201"/>
      <c r="J271" s="203"/>
      <c r="K271" s="115"/>
      <c r="L271" s="162"/>
    </row>
    <row r="272" spans="2:12">
      <c r="B272" s="22">
        <v>257</v>
      </c>
      <c r="C272" s="76">
        <v>46142</v>
      </c>
      <c r="D272" s="76">
        <v>46142</v>
      </c>
      <c r="E272" s="24" t="s">
        <v>1147</v>
      </c>
      <c r="F272" s="24" t="s">
        <v>1148</v>
      </c>
      <c r="G272" s="24" t="s">
        <v>1149</v>
      </c>
      <c r="H272" s="250">
        <v>15505</v>
      </c>
      <c r="I272" s="201"/>
      <c r="J272" s="203"/>
      <c r="K272" s="115"/>
      <c r="L272" s="162"/>
    </row>
    <row r="273" spans="2:12">
      <c r="B273" s="22">
        <v>258</v>
      </c>
      <c r="C273" s="76">
        <v>46142</v>
      </c>
      <c r="D273" s="76">
        <v>46142</v>
      </c>
      <c r="E273" s="24" t="s">
        <v>1150</v>
      </c>
      <c r="F273" s="24" t="s">
        <v>1151</v>
      </c>
      <c r="G273" s="24" t="s">
        <v>1152</v>
      </c>
      <c r="H273" s="57">
        <v>15900</v>
      </c>
      <c r="I273" s="201"/>
      <c r="J273" s="203"/>
      <c r="K273" s="115"/>
      <c r="L273" s="162"/>
    </row>
    <row r="274" spans="2:12">
      <c r="B274" s="22">
        <v>259</v>
      </c>
      <c r="C274" s="76">
        <v>46142</v>
      </c>
      <c r="D274" s="76">
        <v>46142</v>
      </c>
      <c r="E274" s="24" t="s">
        <v>1153</v>
      </c>
      <c r="F274" s="24" t="s">
        <v>1154</v>
      </c>
      <c r="G274" s="24" t="s">
        <v>1155</v>
      </c>
      <c r="H274" s="199">
        <v>17600</v>
      </c>
      <c r="I274" s="201"/>
      <c r="J274" s="203"/>
      <c r="K274" s="115"/>
      <c r="L274" s="162"/>
    </row>
    <row r="275" spans="2:12">
      <c r="B275" s="22">
        <v>260</v>
      </c>
      <c r="C275" s="76">
        <v>46142</v>
      </c>
      <c r="D275" s="76">
        <v>46142</v>
      </c>
      <c r="E275" s="24" t="s">
        <v>1156</v>
      </c>
      <c r="F275" s="24" t="s">
        <v>1157</v>
      </c>
      <c r="G275" s="24" t="s">
        <v>1158</v>
      </c>
      <c r="H275" s="199">
        <v>18250</v>
      </c>
      <c r="I275" s="201"/>
      <c r="J275" s="203"/>
      <c r="K275" s="115"/>
      <c r="L275" s="162"/>
    </row>
    <row r="276" spans="2:12">
      <c r="B276" s="22">
        <v>261</v>
      </c>
      <c r="C276" s="76">
        <v>46142</v>
      </c>
      <c r="D276" s="76">
        <v>46142</v>
      </c>
      <c r="E276" s="24" t="s">
        <v>348</v>
      </c>
      <c r="F276" s="24" t="s">
        <v>1159</v>
      </c>
      <c r="G276" s="24" t="s">
        <v>1160</v>
      </c>
      <c r="H276" s="199">
        <v>18300</v>
      </c>
      <c r="I276" s="201"/>
      <c r="J276" s="203"/>
      <c r="K276" s="115"/>
      <c r="L276" s="162"/>
    </row>
    <row r="277" spans="2:12">
      <c r="B277" s="22">
        <v>262</v>
      </c>
      <c r="C277" s="76">
        <v>46142</v>
      </c>
      <c r="D277" s="76">
        <v>46142</v>
      </c>
      <c r="E277" s="24" t="s">
        <v>1161</v>
      </c>
      <c r="F277" s="24" t="s">
        <v>1162</v>
      </c>
      <c r="G277" s="24" t="s">
        <v>1163</v>
      </c>
      <c r="H277" s="199">
        <v>18600.75</v>
      </c>
      <c r="I277" s="201"/>
      <c r="J277" s="203"/>
      <c r="K277" s="115"/>
      <c r="L277" s="162"/>
    </row>
    <row r="278" spans="2:12">
      <c r="B278" s="22">
        <v>263</v>
      </c>
      <c r="C278" s="76">
        <v>46142</v>
      </c>
      <c r="D278" s="76">
        <v>46142</v>
      </c>
      <c r="E278" s="24" t="s">
        <v>1164</v>
      </c>
      <c r="F278" s="24" t="s">
        <v>1165</v>
      </c>
      <c r="G278" s="24" t="s">
        <v>1166</v>
      </c>
      <c r="H278" s="199">
        <v>18650.189999999999</v>
      </c>
      <c r="I278" s="201"/>
      <c r="J278" s="203"/>
      <c r="K278" s="115"/>
      <c r="L278" s="162"/>
    </row>
    <row r="279" spans="2:12">
      <c r="B279" s="22">
        <v>264</v>
      </c>
      <c r="C279" s="76">
        <v>46142</v>
      </c>
      <c r="D279" s="76">
        <v>46142</v>
      </c>
      <c r="E279" s="24" t="s">
        <v>348</v>
      </c>
      <c r="F279" s="24" t="s">
        <v>1167</v>
      </c>
      <c r="G279" s="24" t="s">
        <v>1168</v>
      </c>
      <c r="H279" s="199">
        <v>18900</v>
      </c>
      <c r="I279" s="201"/>
      <c r="J279" s="203"/>
      <c r="K279" s="115"/>
      <c r="L279" s="162"/>
    </row>
    <row r="280" spans="2:12">
      <c r="B280" s="22">
        <v>265</v>
      </c>
      <c r="C280" s="76">
        <v>46142</v>
      </c>
      <c r="D280" s="76">
        <v>46142</v>
      </c>
      <c r="E280" s="24" t="s">
        <v>1169</v>
      </c>
      <c r="F280" s="24" t="s">
        <v>1170</v>
      </c>
      <c r="G280" s="24" t="s">
        <v>1171</v>
      </c>
      <c r="H280" s="199">
        <v>19200</v>
      </c>
      <c r="I280" s="201"/>
      <c r="J280" s="203"/>
      <c r="K280" s="115"/>
      <c r="L280" s="162"/>
    </row>
    <row r="281" spans="2:12">
      <c r="B281" s="22">
        <v>266</v>
      </c>
      <c r="C281" s="76">
        <v>46142</v>
      </c>
      <c r="D281" s="76">
        <v>46142</v>
      </c>
      <c r="E281" s="24" t="s">
        <v>1172</v>
      </c>
      <c r="F281" s="24" t="s">
        <v>1173</v>
      </c>
      <c r="G281" s="24" t="s">
        <v>1174</v>
      </c>
      <c r="H281" s="199">
        <v>19400</v>
      </c>
      <c r="I281" s="201"/>
      <c r="J281" s="203"/>
      <c r="K281" s="115"/>
      <c r="L281" s="162"/>
    </row>
    <row r="282" spans="2:12">
      <c r="B282" s="22">
        <v>267</v>
      </c>
      <c r="C282" s="76">
        <v>46142</v>
      </c>
      <c r="D282" s="76">
        <v>46142</v>
      </c>
      <c r="E282" s="24" t="s">
        <v>1175</v>
      </c>
      <c r="F282" s="24" t="s">
        <v>1176</v>
      </c>
      <c r="G282" s="24" t="s">
        <v>1177</v>
      </c>
      <c r="H282" s="199">
        <v>19500</v>
      </c>
      <c r="I282" s="201"/>
      <c r="J282" s="203"/>
      <c r="K282" s="115"/>
      <c r="L282" s="162"/>
    </row>
    <row r="283" spans="2:12">
      <c r="B283" s="22">
        <v>268</v>
      </c>
      <c r="C283" s="76">
        <v>46142</v>
      </c>
      <c r="D283" s="76">
        <v>46142</v>
      </c>
      <c r="E283" s="24" t="s">
        <v>1178</v>
      </c>
      <c r="F283" s="24" t="s">
        <v>1179</v>
      </c>
      <c r="G283" s="24" t="s">
        <v>1180</v>
      </c>
      <c r="H283" s="199">
        <v>19800</v>
      </c>
      <c r="I283" s="201"/>
      <c r="J283" s="203"/>
      <c r="K283" s="115"/>
      <c r="L283" s="162"/>
    </row>
    <row r="284" spans="2:12">
      <c r="B284" s="22">
        <v>269</v>
      </c>
      <c r="C284" s="76">
        <v>46142</v>
      </c>
      <c r="D284" s="76">
        <v>46142</v>
      </c>
      <c r="E284" s="24" t="s">
        <v>1181</v>
      </c>
      <c r="F284" s="24" t="s">
        <v>1182</v>
      </c>
      <c r="G284" s="24" t="s">
        <v>1183</v>
      </c>
      <c r="H284" s="199">
        <v>19800</v>
      </c>
      <c r="I284" s="201"/>
      <c r="J284" s="203"/>
      <c r="K284" s="115"/>
      <c r="L284" s="162"/>
    </row>
    <row r="285" spans="2:12">
      <c r="B285" s="22">
        <v>270</v>
      </c>
      <c r="C285" s="76">
        <v>46142</v>
      </c>
      <c r="D285" s="76">
        <v>46142</v>
      </c>
      <c r="E285" s="24" t="s">
        <v>1184</v>
      </c>
      <c r="F285" s="24" t="s">
        <v>1185</v>
      </c>
      <c r="G285" s="24" t="s">
        <v>1186</v>
      </c>
      <c r="H285" s="199">
        <v>20400</v>
      </c>
      <c r="I285" s="201"/>
      <c r="J285" s="203"/>
      <c r="K285" s="115"/>
      <c r="L285" s="162"/>
    </row>
    <row r="286" spans="2:12">
      <c r="B286" s="22">
        <v>271</v>
      </c>
      <c r="C286" s="76">
        <v>46142</v>
      </c>
      <c r="D286" s="76">
        <v>46142</v>
      </c>
      <c r="E286" s="24" t="s">
        <v>1187</v>
      </c>
      <c r="F286" s="24" t="s">
        <v>1188</v>
      </c>
      <c r="G286" s="24" t="s">
        <v>1189</v>
      </c>
      <c r="H286" s="199">
        <v>21400</v>
      </c>
      <c r="I286" s="201"/>
      <c r="J286" s="203"/>
      <c r="K286" s="115"/>
      <c r="L286" s="162"/>
    </row>
    <row r="287" spans="2:12">
      <c r="B287" s="22">
        <v>272</v>
      </c>
      <c r="C287" s="76">
        <v>46142</v>
      </c>
      <c r="D287" s="76">
        <v>46142</v>
      </c>
      <c r="E287" s="24" t="s">
        <v>525</v>
      </c>
      <c r="F287" s="24" t="s">
        <v>1190</v>
      </c>
      <c r="G287" s="24" t="s">
        <v>1191</v>
      </c>
      <c r="H287" s="57">
        <v>21650</v>
      </c>
      <c r="I287" s="201"/>
      <c r="J287" s="203"/>
      <c r="K287" s="115"/>
      <c r="L287" s="162"/>
    </row>
    <row r="288" spans="2:12">
      <c r="B288" s="22">
        <v>273</v>
      </c>
      <c r="C288" s="76">
        <v>46142</v>
      </c>
      <c r="D288" s="76">
        <v>46142</v>
      </c>
      <c r="E288" s="24" t="s">
        <v>1192</v>
      </c>
      <c r="F288" s="24" t="s">
        <v>1193</v>
      </c>
      <c r="G288" s="24" t="s">
        <v>1194</v>
      </c>
      <c r="H288" s="199">
        <v>21750</v>
      </c>
      <c r="I288" s="201"/>
      <c r="J288" s="203"/>
      <c r="K288" s="115"/>
      <c r="L288" s="162"/>
    </row>
    <row r="289" spans="2:12">
      <c r="B289" s="22">
        <v>274</v>
      </c>
      <c r="C289" s="76">
        <v>46142</v>
      </c>
      <c r="D289" s="76">
        <v>46142</v>
      </c>
      <c r="E289" s="24" t="s">
        <v>1195</v>
      </c>
      <c r="F289" s="24" t="s">
        <v>1196</v>
      </c>
      <c r="G289" s="24" t="s">
        <v>1197</v>
      </c>
      <c r="H289" s="199">
        <v>21750</v>
      </c>
      <c r="I289" s="201"/>
      <c r="J289" s="203"/>
      <c r="K289" s="115"/>
      <c r="L289" s="162"/>
    </row>
    <row r="290" spans="2:12">
      <c r="B290" s="22">
        <v>275</v>
      </c>
      <c r="C290" s="76">
        <v>46142</v>
      </c>
      <c r="D290" s="76">
        <v>46142</v>
      </c>
      <c r="E290" s="24" t="s">
        <v>1198</v>
      </c>
      <c r="F290" s="24" t="s">
        <v>1199</v>
      </c>
      <c r="G290" s="24" t="s">
        <v>1200</v>
      </c>
      <c r="H290" s="199">
        <v>21750.720000000001</v>
      </c>
      <c r="I290" s="201"/>
      <c r="J290" s="203"/>
      <c r="K290" s="115"/>
      <c r="L290" s="162"/>
    </row>
    <row r="291" spans="2:12">
      <c r="B291" s="22">
        <v>276</v>
      </c>
      <c r="C291" s="76">
        <v>46142</v>
      </c>
      <c r="D291" s="76">
        <v>46142</v>
      </c>
      <c r="E291" s="24" t="s">
        <v>1201</v>
      </c>
      <c r="F291" s="24" t="s">
        <v>1202</v>
      </c>
      <c r="G291" s="24" t="s">
        <v>1203</v>
      </c>
      <c r="H291" s="199">
        <v>22500</v>
      </c>
      <c r="I291" s="201"/>
      <c r="J291" s="203"/>
      <c r="K291" s="115"/>
      <c r="L291" s="162"/>
    </row>
    <row r="292" spans="2:12">
      <c r="B292" s="22">
        <v>277</v>
      </c>
      <c r="C292" s="76">
        <v>46142</v>
      </c>
      <c r="D292" s="76">
        <v>46142</v>
      </c>
      <c r="E292" s="24" t="s">
        <v>1204</v>
      </c>
      <c r="F292" s="24" t="s">
        <v>1205</v>
      </c>
      <c r="G292" s="24" t="s">
        <v>1206</v>
      </c>
      <c r="H292" s="199">
        <v>22550</v>
      </c>
      <c r="I292" s="201"/>
      <c r="J292" s="203"/>
      <c r="K292" s="115"/>
      <c r="L292" s="162"/>
    </row>
    <row r="293" spans="2:12">
      <c r="B293" s="22">
        <v>278</v>
      </c>
      <c r="C293" s="76">
        <v>46142</v>
      </c>
      <c r="D293" s="76">
        <v>46142</v>
      </c>
      <c r="E293" s="24" t="s">
        <v>1207</v>
      </c>
      <c r="F293" s="24" t="s">
        <v>1208</v>
      </c>
      <c r="G293" s="24" t="s">
        <v>1209</v>
      </c>
      <c r="H293" s="199">
        <v>22550</v>
      </c>
      <c r="I293" s="201"/>
      <c r="J293" s="203"/>
      <c r="K293" s="115"/>
      <c r="L293" s="162"/>
    </row>
    <row r="294" spans="2:12">
      <c r="B294" s="22">
        <v>279</v>
      </c>
      <c r="C294" s="76">
        <v>46142</v>
      </c>
      <c r="D294" s="76">
        <v>46142</v>
      </c>
      <c r="E294" s="24" t="s">
        <v>1210</v>
      </c>
      <c r="F294" s="24" t="s">
        <v>1211</v>
      </c>
      <c r="G294" s="24" t="s">
        <v>1212</v>
      </c>
      <c r="H294" s="199">
        <v>24750</v>
      </c>
      <c r="I294" s="201"/>
      <c r="J294" s="203"/>
      <c r="K294" s="115"/>
      <c r="L294" s="162"/>
    </row>
    <row r="295" spans="2:12">
      <c r="B295" s="22">
        <v>280</v>
      </c>
      <c r="C295" s="76">
        <v>46142</v>
      </c>
      <c r="D295" s="76">
        <v>46142</v>
      </c>
      <c r="E295" s="24" t="s">
        <v>1213</v>
      </c>
      <c r="F295" s="24" t="s">
        <v>1214</v>
      </c>
      <c r="G295" s="24" t="s">
        <v>1215</v>
      </c>
      <c r="H295" s="199">
        <v>26600</v>
      </c>
      <c r="I295" s="201"/>
      <c r="J295" s="203"/>
      <c r="K295" s="115"/>
      <c r="L295" s="162"/>
    </row>
    <row r="296" spans="2:12">
      <c r="B296" s="22">
        <v>281</v>
      </c>
      <c r="C296" s="76">
        <v>46142</v>
      </c>
      <c r="D296" s="76">
        <v>46142</v>
      </c>
      <c r="E296" s="24" t="s">
        <v>1216</v>
      </c>
      <c r="F296" s="24" t="s">
        <v>1217</v>
      </c>
      <c r="G296" s="24" t="s">
        <v>1218</v>
      </c>
      <c r="H296" s="199">
        <v>26850</v>
      </c>
      <c r="I296" s="201"/>
      <c r="J296" s="203"/>
      <c r="K296" s="115"/>
      <c r="L296" s="162"/>
    </row>
    <row r="297" spans="2:12">
      <c r="B297" s="22">
        <v>282</v>
      </c>
      <c r="C297" s="76">
        <v>46142</v>
      </c>
      <c r="D297" s="76">
        <v>46142</v>
      </c>
      <c r="E297" s="24" t="s">
        <v>1219</v>
      </c>
      <c r="F297" s="24" t="s">
        <v>1220</v>
      </c>
      <c r="G297" s="24" t="s">
        <v>1221</v>
      </c>
      <c r="H297" s="199">
        <v>27150</v>
      </c>
      <c r="I297" s="201"/>
      <c r="J297" s="203"/>
      <c r="K297" s="115"/>
      <c r="L297" s="162"/>
    </row>
    <row r="298" spans="2:12">
      <c r="B298" s="22">
        <v>283</v>
      </c>
      <c r="C298" s="76">
        <v>46142</v>
      </c>
      <c r="D298" s="76">
        <v>46142</v>
      </c>
      <c r="E298" s="24" t="s">
        <v>348</v>
      </c>
      <c r="F298" s="24" t="s">
        <v>1222</v>
      </c>
      <c r="G298" s="24" t="s">
        <v>1223</v>
      </c>
      <c r="H298" s="199">
        <v>27300</v>
      </c>
      <c r="I298" s="201"/>
      <c r="J298" s="203"/>
      <c r="K298" s="115"/>
      <c r="L298" s="162"/>
    </row>
    <row r="299" spans="2:12">
      <c r="B299" s="22">
        <v>284</v>
      </c>
      <c r="C299" s="76">
        <v>46142</v>
      </c>
      <c r="D299" s="76">
        <v>46142</v>
      </c>
      <c r="E299" s="24" t="s">
        <v>1224</v>
      </c>
      <c r="F299" s="24" t="s">
        <v>1225</v>
      </c>
      <c r="G299" s="24" t="s">
        <v>1226</v>
      </c>
      <c r="H299" s="199">
        <v>27500</v>
      </c>
      <c r="I299" s="201"/>
      <c r="J299" s="203"/>
      <c r="K299" s="115"/>
      <c r="L299" s="162"/>
    </row>
    <row r="300" spans="2:12">
      <c r="B300" s="22">
        <v>285</v>
      </c>
      <c r="C300" s="76">
        <v>46142</v>
      </c>
      <c r="D300" s="76">
        <v>46142</v>
      </c>
      <c r="E300" s="24" t="s">
        <v>1227</v>
      </c>
      <c r="F300" s="24" t="s">
        <v>1228</v>
      </c>
      <c r="G300" s="24" t="s">
        <v>1229</v>
      </c>
      <c r="H300" s="199">
        <v>27625</v>
      </c>
      <c r="I300" s="201"/>
      <c r="J300" s="203"/>
      <c r="K300" s="115"/>
      <c r="L300" s="162"/>
    </row>
    <row r="301" spans="2:12">
      <c r="B301" s="22">
        <v>286</v>
      </c>
      <c r="C301" s="76">
        <v>46142</v>
      </c>
      <c r="D301" s="76">
        <v>46142</v>
      </c>
      <c r="E301" s="24" t="s">
        <v>1230</v>
      </c>
      <c r="F301" s="24" t="s">
        <v>1231</v>
      </c>
      <c r="G301" s="24" t="s">
        <v>1232</v>
      </c>
      <c r="H301" s="199">
        <v>28000</v>
      </c>
      <c r="I301" s="201"/>
      <c r="J301" s="203"/>
      <c r="K301" s="115"/>
      <c r="L301" s="162"/>
    </row>
    <row r="302" spans="2:12">
      <c r="B302" s="22">
        <v>287</v>
      </c>
      <c r="C302" s="76">
        <v>46142</v>
      </c>
      <c r="D302" s="76">
        <v>46142</v>
      </c>
      <c r="E302" s="24" t="s">
        <v>1233</v>
      </c>
      <c r="F302" s="158" t="s">
        <v>1234</v>
      </c>
      <c r="G302" s="24" t="s">
        <v>1235</v>
      </c>
      <c r="H302" s="199">
        <v>28000</v>
      </c>
      <c r="I302" s="201"/>
      <c r="J302" s="203"/>
      <c r="K302" s="115"/>
      <c r="L302" s="162"/>
    </row>
    <row r="303" spans="2:12">
      <c r="B303" s="22">
        <v>288</v>
      </c>
      <c r="C303" s="76">
        <v>46142</v>
      </c>
      <c r="D303" s="76">
        <v>46142</v>
      </c>
      <c r="E303" s="24" t="s">
        <v>1236</v>
      </c>
      <c r="F303" s="24" t="s">
        <v>1237</v>
      </c>
      <c r="G303" s="24" t="s">
        <v>1238</v>
      </c>
      <c r="H303" s="199">
        <v>28002</v>
      </c>
      <c r="I303" s="201"/>
      <c r="J303" s="203"/>
      <c r="K303" s="115"/>
      <c r="L303" s="162"/>
    </row>
    <row r="304" spans="2:12">
      <c r="B304" s="22">
        <v>289</v>
      </c>
      <c r="C304" s="76">
        <v>46142</v>
      </c>
      <c r="D304" s="76">
        <v>46142</v>
      </c>
      <c r="E304" s="24" t="s">
        <v>1239</v>
      </c>
      <c r="F304" s="24" t="s">
        <v>1240</v>
      </c>
      <c r="G304" s="24" t="s">
        <v>1241</v>
      </c>
      <c r="H304" s="199">
        <v>28050.880000000001</v>
      </c>
      <c r="I304" s="201"/>
      <c r="J304" s="203"/>
      <c r="K304" s="115"/>
      <c r="L304" s="162"/>
    </row>
    <row r="305" spans="2:12">
      <c r="B305" s="22">
        <v>290</v>
      </c>
      <c r="C305" s="76">
        <v>46142</v>
      </c>
      <c r="D305" s="76">
        <v>46142</v>
      </c>
      <c r="E305" s="24" t="s">
        <v>348</v>
      </c>
      <c r="F305" s="24" t="s">
        <v>1242</v>
      </c>
      <c r="G305" s="24" t="s">
        <v>1243</v>
      </c>
      <c r="H305" s="199">
        <v>28450</v>
      </c>
      <c r="I305" s="201"/>
      <c r="J305" s="203"/>
      <c r="K305" s="115"/>
      <c r="L305" s="162"/>
    </row>
    <row r="306" spans="2:12">
      <c r="B306" s="22">
        <v>291</v>
      </c>
      <c r="C306" s="76">
        <v>46142</v>
      </c>
      <c r="D306" s="76">
        <v>46142</v>
      </c>
      <c r="E306" s="24" t="s">
        <v>1244</v>
      </c>
      <c r="F306" s="24"/>
      <c r="G306" s="24" t="s">
        <v>1245</v>
      </c>
      <c r="H306" s="199">
        <v>28500</v>
      </c>
      <c r="I306" s="201"/>
      <c r="J306" s="203"/>
      <c r="K306" s="115"/>
      <c r="L306" s="162"/>
    </row>
    <row r="307" spans="2:12">
      <c r="B307" s="22">
        <v>292</v>
      </c>
      <c r="C307" s="76">
        <v>46142</v>
      </c>
      <c r="D307" s="76">
        <v>46142</v>
      </c>
      <c r="E307" s="24" t="s">
        <v>1246</v>
      </c>
      <c r="F307" s="24" t="s">
        <v>1247</v>
      </c>
      <c r="G307" s="24" t="s">
        <v>1248</v>
      </c>
      <c r="H307" s="199">
        <v>28875</v>
      </c>
      <c r="I307" s="201"/>
      <c r="J307" s="203"/>
      <c r="K307" s="115"/>
      <c r="L307" s="162"/>
    </row>
    <row r="308" spans="2:12">
      <c r="B308" s="22">
        <v>293</v>
      </c>
      <c r="C308" s="76">
        <v>46142</v>
      </c>
      <c r="D308" s="76">
        <v>46142</v>
      </c>
      <c r="E308" s="24" t="s">
        <v>1249</v>
      </c>
      <c r="F308" s="24" t="s">
        <v>1250</v>
      </c>
      <c r="G308" s="24" t="s">
        <v>1251</v>
      </c>
      <c r="H308" s="199">
        <v>30228</v>
      </c>
      <c r="I308" s="201"/>
      <c r="J308" s="203"/>
      <c r="K308" s="115"/>
      <c r="L308" s="162"/>
    </row>
    <row r="309" spans="2:12">
      <c r="B309" s="22">
        <v>294</v>
      </c>
      <c r="C309" s="76">
        <v>46142</v>
      </c>
      <c r="D309" s="76">
        <v>46142</v>
      </c>
      <c r="E309" s="24" t="s">
        <v>1252</v>
      </c>
      <c r="F309" s="24" t="s">
        <v>1253</v>
      </c>
      <c r="G309" s="24" t="s">
        <v>1254</v>
      </c>
      <c r="H309" s="199">
        <v>30450</v>
      </c>
      <c r="I309" s="201"/>
      <c r="J309" s="203"/>
      <c r="K309" s="115"/>
      <c r="L309" s="162"/>
    </row>
    <row r="310" spans="2:12">
      <c r="B310" s="22">
        <v>295</v>
      </c>
      <c r="C310" s="76">
        <v>46142</v>
      </c>
      <c r="D310" s="76">
        <v>46142</v>
      </c>
      <c r="E310" s="24" t="s">
        <v>1255</v>
      </c>
      <c r="F310" s="24" t="s">
        <v>1256</v>
      </c>
      <c r="G310" s="24" t="s">
        <v>1257</v>
      </c>
      <c r="H310" s="199">
        <v>31100</v>
      </c>
      <c r="I310" s="201"/>
      <c r="J310" s="203"/>
      <c r="K310" s="115"/>
      <c r="L310" s="162"/>
    </row>
    <row r="311" spans="2:12">
      <c r="B311" s="22">
        <v>296</v>
      </c>
      <c r="C311" s="76">
        <v>46142</v>
      </c>
      <c r="D311" s="76">
        <v>46142</v>
      </c>
      <c r="E311" s="24" t="s">
        <v>1258</v>
      </c>
      <c r="F311" s="24" t="s">
        <v>1259</v>
      </c>
      <c r="G311" s="24" t="s">
        <v>1260</v>
      </c>
      <c r="H311" s="199">
        <v>31275</v>
      </c>
      <c r="I311" s="201"/>
      <c r="J311" s="203"/>
      <c r="K311" s="115"/>
      <c r="L311" s="162"/>
    </row>
    <row r="312" spans="2:12">
      <c r="B312" s="22">
        <v>297</v>
      </c>
      <c r="C312" s="76">
        <v>46142</v>
      </c>
      <c r="D312" s="76">
        <v>46142</v>
      </c>
      <c r="E312" s="24" t="s">
        <v>526</v>
      </c>
      <c r="F312" s="24" t="s">
        <v>1261</v>
      </c>
      <c r="G312" s="24" t="s">
        <v>1262</v>
      </c>
      <c r="H312" s="199">
        <v>31842</v>
      </c>
      <c r="I312" s="201"/>
      <c r="J312" s="203"/>
      <c r="K312" s="115"/>
      <c r="L312" s="162"/>
    </row>
    <row r="313" spans="2:12">
      <c r="B313" s="22">
        <v>298</v>
      </c>
      <c r="C313" s="76">
        <v>46142</v>
      </c>
      <c r="D313" s="76">
        <v>46142</v>
      </c>
      <c r="E313" s="24" t="s">
        <v>1263</v>
      </c>
      <c r="F313" s="158" t="s">
        <v>1264</v>
      </c>
      <c r="G313" s="24" t="s">
        <v>1265</v>
      </c>
      <c r="H313" s="199">
        <v>31875</v>
      </c>
      <c r="I313" s="115"/>
      <c r="J313" s="115"/>
      <c r="K313" s="115"/>
      <c r="L313" s="162"/>
    </row>
    <row r="314" spans="2:12">
      <c r="B314" s="22">
        <v>299</v>
      </c>
      <c r="C314" s="76">
        <v>46142</v>
      </c>
      <c r="D314" s="76">
        <v>46142</v>
      </c>
      <c r="E314" s="24" t="s">
        <v>1266</v>
      </c>
      <c r="F314" s="158" t="s">
        <v>1267</v>
      </c>
      <c r="G314" s="24" t="s">
        <v>1268</v>
      </c>
      <c r="H314" s="199">
        <v>32000</v>
      </c>
      <c r="I314" s="201"/>
      <c r="J314" s="203"/>
      <c r="K314" s="115"/>
      <c r="L314" s="162"/>
    </row>
    <row r="315" spans="2:12">
      <c r="B315" s="22">
        <v>300</v>
      </c>
      <c r="C315" s="76">
        <v>46142</v>
      </c>
      <c r="D315" s="76">
        <v>46142</v>
      </c>
      <c r="E315" s="24" t="s">
        <v>1269</v>
      </c>
      <c r="F315" s="24" t="s">
        <v>1270</v>
      </c>
      <c r="G315" s="24" t="s">
        <v>1271</v>
      </c>
      <c r="H315" s="199">
        <v>32000</v>
      </c>
      <c r="I315" s="201"/>
      <c r="J315" s="203"/>
      <c r="K315" s="115"/>
      <c r="L315" s="162"/>
    </row>
    <row r="316" spans="2:12">
      <c r="B316" s="22">
        <v>301</v>
      </c>
      <c r="C316" s="76">
        <v>46142</v>
      </c>
      <c r="D316" s="76">
        <v>46142</v>
      </c>
      <c r="E316" s="24" t="s">
        <v>1272</v>
      </c>
      <c r="F316" s="24" t="s">
        <v>1273</v>
      </c>
      <c r="G316" s="24" t="s">
        <v>1274</v>
      </c>
      <c r="H316" s="199">
        <v>32000</v>
      </c>
      <c r="I316" s="201"/>
      <c r="J316" s="203"/>
      <c r="K316" s="115"/>
      <c r="L316" s="162"/>
    </row>
    <row r="317" spans="2:12">
      <c r="B317" s="22">
        <v>302</v>
      </c>
      <c r="C317" s="76">
        <v>46142</v>
      </c>
      <c r="D317" s="76">
        <v>46142</v>
      </c>
      <c r="E317" s="24" t="s">
        <v>1275</v>
      </c>
      <c r="F317" s="24" t="s">
        <v>1276</v>
      </c>
      <c r="G317" s="24" t="s">
        <v>1277</v>
      </c>
      <c r="H317" s="199">
        <v>32221</v>
      </c>
      <c r="I317" s="201"/>
      <c r="J317" s="203"/>
      <c r="K317" s="115"/>
      <c r="L317" s="162"/>
    </row>
    <row r="318" spans="2:12">
      <c r="B318" s="22">
        <v>303</v>
      </c>
      <c r="C318" s="76">
        <v>46142</v>
      </c>
      <c r="D318" s="76">
        <v>46142</v>
      </c>
      <c r="E318" s="24" t="s">
        <v>1278</v>
      </c>
      <c r="F318" s="24" t="s">
        <v>1279</v>
      </c>
      <c r="G318" s="24" t="s">
        <v>1280</v>
      </c>
      <c r="H318" s="199">
        <v>33600</v>
      </c>
      <c r="I318" s="201"/>
      <c r="J318" s="203"/>
      <c r="K318" s="115"/>
      <c r="L318" s="162"/>
    </row>
    <row r="319" spans="2:12">
      <c r="B319" s="22">
        <v>304</v>
      </c>
      <c r="C319" s="76">
        <v>46142</v>
      </c>
      <c r="D319" s="76">
        <v>46142</v>
      </c>
      <c r="E319" s="24" t="s">
        <v>1281</v>
      </c>
      <c r="F319" s="24" t="s">
        <v>1282</v>
      </c>
      <c r="G319" s="24" t="s">
        <v>1283</v>
      </c>
      <c r="H319" s="199">
        <v>34692</v>
      </c>
      <c r="I319" s="201"/>
      <c r="J319" s="203"/>
      <c r="K319" s="115"/>
      <c r="L319" s="162"/>
    </row>
    <row r="320" spans="2:12">
      <c r="B320" s="22">
        <v>305</v>
      </c>
      <c r="C320" s="76">
        <v>46142</v>
      </c>
      <c r="D320" s="76">
        <v>46142</v>
      </c>
      <c r="E320" s="24" t="s">
        <v>1284</v>
      </c>
      <c r="F320" s="24" t="s">
        <v>1285</v>
      </c>
      <c r="G320" s="24" t="s">
        <v>1286</v>
      </c>
      <c r="H320" s="199">
        <v>34710</v>
      </c>
      <c r="I320" s="201"/>
      <c r="J320" s="203"/>
      <c r="K320" s="115"/>
      <c r="L320" s="162"/>
    </row>
    <row r="321" spans="2:12">
      <c r="B321" s="22">
        <v>306</v>
      </c>
      <c r="C321" s="76">
        <v>46142</v>
      </c>
      <c r="D321" s="76">
        <v>46142</v>
      </c>
      <c r="E321" s="24" t="s">
        <v>1287</v>
      </c>
      <c r="F321" s="24" t="s">
        <v>1288</v>
      </c>
      <c r="G321" s="24" t="s">
        <v>1289</v>
      </c>
      <c r="H321" s="199">
        <v>34850</v>
      </c>
      <c r="I321" s="201"/>
      <c r="J321" s="203"/>
      <c r="K321" s="115"/>
      <c r="L321" s="162"/>
    </row>
    <row r="322" spans="2:12">
      <c r="B322" s="22">
        <v>307</v>
      </c>
      <c r="C322" s="76">
        <v>46142</v>
      </c>
      <c r="D322" s="76">
        <v>46142</v>
      </c>
      <c r="E322" s="24" t="s">
        <v>1290</v>
      </c>
      <c r="F322" s="24" t="s">
        <v>1291</v>
      </c>
      <c r="G322" s="24" t="s">
        <v>1292</v>
      </c>
      <c r="H322" s="199">
        <v>35150</v>
      </c>
      <c r="I322" s="115"/>
      <c r="J322" s="201"/>
      <c r="K322" s="202"/>
      <c r="L322" s="162"/>
    </row>
    <row r="323" spans="2:12">
      <c r="B323" s="22">
        <v>308</v>
      </c>
      <c r="C323" s="76">
        <v>46142</v>
      </c>
      <c r="D323" s="76">
        <v>46142</v>
      </c>
      <c r="E323" s="24" t="s">
        <v>1293</v>
      </c>
      <c r="F323" s="24" t="s">
        <v>1294</v>
      </c>
      <c r="G323" s="24" t="s">
        <v>1295</v>
      </c>
      <c r="H323" s="199">
        <v>35500</v>
      </c>
      <c r="I323" s="115"/>
      <c r="J323" s="201"/>
      <c r="K323" s="202"/>
      <c r="L323" s="162"/>
    </row>
    <row r="324" spans="2:12">
      <c r="B324" s="22">
        <v>309</v>
      </c>
      <c r="C324" s="76">
        <v>46142</v>
      </c>
      <c r="D324" s="76">
        <v>46142</v>
      </c>
      <c r="E324" s="24" t="s">
        <v>1296</v>
      </c>
      <c r="F324" s="24" t="s">
        <v>1297</v>
      </c>
      <c r="G324" s="24" t="s">
        <v>1298</v>
      </c>
      <c r="H324" s="199">
        <v>37000</v>
      </c>
      <c r="I324" s="115"/>
      <c r="J324" s="201"/>
      <c r="K324" s="202"/>
      <c r="L324" s="162"/>
    </row>
    <row r="325" spans="2:12">
      <c r="B325" s="22">
        <v>310</v>
      </c>
      <c r="C325" s="76">
        <v>46142</v>
      </c>
      <c r="D325" s="76">
        <v>46142</v>
      </c>
      <c r="E325" s="24" t="s">
        <v>1299</v>
      </c>
      <c r="F325" s="24" t="s">
        <v>1300</v>
      </c>
      <c r="G325" s="24" t="s">
        <v>1301</v>
      </c>
      <c r="H325" s="199">
        <v>37000</v>
      </c>
      <c r="I325" s="115"/>
      <c r="J325" s="201"/>
      <c r="K325" s="202"/>
      <c r="L325" s="162"/>
    </row>
    <row r="326" spans="2:12">
      <c r="B326" s="22">
        <v>311</v>
      </c>
      <c r="C326" s="76">
        <v>46142</v>
      </c>
      <c r="D326" s="76">
        <v>46142</v>
      </c>
      <c r="E326" s="24" t="s">
        <v>1302</v>
      </c>
      <c r="F326" s="24" t="s">
        <v>1303</v>
      </c>
      <c r="G326" s="24" t="s">
        <v>1304</v>
      </c>
      <c r="H326" s="199">
        <v>40000</v>
      </c>
      <c r="I326" s="115"/>
      <c r="J326" s="201"/>
      <c r="K326" s="202"/>
      <c r="L326" s="162"/>
    </row>
    <row r="327" spans="2:12">
      <c r="B327" s="22">
        <v>312</v>
      </c>
      <c r="C327" s="76">
        <v>46142</v>
      </c>
      <c r="D327" s="76">
        <v>46142</v>
      </c>
      <c r="E327" s="24" t="s">
        <v>1305</v>
      </c>
      <c r="F327" s="24" t="s">
        <v>1306</v>
      </c>
      <c r="G327" s="24" t="s">
        <v>1307</v>
      </c>
      <c r="H327" s="199">
        <v>40000</v>
      </c>
      <c r="I327" s="115"/>
      <c r="J327" s="201"/>
      <c r="K327" s="202"/>
      <c r="L327" s="162"/>
    </row>
    <row r="328" spans="2:12">
      <c r="B328" s="22">
        <v>313</v>
      </c>
      <c r="C328" s="76">
        <v>46142</v>
      </c>
      <c r="D328" s="76">
        <v>46142</v>
      </c>
      <c r="E328" s="24" t="s">
        <v>1308</v>
      </c>
      <c r="F328" s="24" t="s">
        <v>1309</v>
      </c>
      <c r="G328" s="24" t="s">
        <v>1310</v>
      </c>
      <c r="H328" s="199">
        <v>41700</v>
      </c>
      <c r="I328" s="115"/>
      <c r="J328" s="201"/>
      <c r="K328" s="202"/>
      <c r="L328" s="162"/>
    </row>
    <row r="329" spans="2:12">
      <c r="B329" s="22">
        <v>314</v>
      </c>
      <c r="C329" s="76">
        <v>46142</v>
      </c>
      <c r="D329" s="76">
        <v>46142</v>
      </c>
      <c r="E329" s="24" t="s">
        <v>1311</v>
      </c>
      <c r="F329" s="24" t="s">
        <v>1312</v>
      </c>
      <c r="G329" s="24" t="s">
        <v>1313</v>
      </c>
      <c r="H329" s="199">
        <v>41750</v>
      </c>
      <c r="I329" s="115"/>
      <c r="J329" s="201"/>
      <c r="K329" s="202"/>
      <c r="L329" s="162"/>
    </row>
    <row r="330" spans="2:12">
      <c r="B330" s="22">
        <v>315</v>
      </c>
      <c r="C330" s="76">
        <v>46142</v>
      </c>
      <c r="D330" s="76">
        <v>46142</v>
      </c>
      <c r="E330" s="24" t="s">
        <v>348</v>
      </c>
      <c r="F330" s="24" t="s">
        <v>1314</v>
      </c>
      <c r="G330" s="24" t="s">
        <v>1315</v>
      </c>
      <c r="H330" s="199">
        <v>42000</v>
      </c>
      <c r="I330" s="115"/>
      <c r="J330" s="201"/>
      <c r="K330" s="202"/>
      <c r="L330" s="162"/>
    </row>
    <row r="331" spans="2:12">
      <c r="B331" s="22">
        <v>316</v>
      </c>
      <c r="C331" s="76">
        <v>46142</v>
      </c>
      <c r="D331" s="76">
        <v>46142</v>
      </c>
      <c r="E331" s="24" t="s">
        <v>1316</v>
      </c>
      <c r="F331" s="24"/>
      <c r="G331" s="24" t="s">
        <v>1317</v>
      </c>
      <c r="H331" s="199">
        <v>42000</v>
      </c>
      <c r="I331" s="115"/>
      <c r="J331" s="201"/>
      <c r="K331" s="202"/>
      <c r="L331" s="162"/>
    </row>
    <row r="332" spans="2:12">
      <c r="B332" s="22">
        <v>317</v>
      </c>
      <c r="C332" s="76">
        <v>46142</v>
      </c>
      <c r="D332" s="76">
        <v>46142</v>
      </c>
      <c r="E332" s="24" t="s">
        <v>1318</v>
      </c>
      <c r="F332" s="24" t="s">
        <v>1319</v>
      </c>
      <c r="G332" s="24" t="s">
        <v>1320</v>
      </c>
      <c r="H332" s="199">
        <v>42000</v>
      </c>
      <c r="I332" s="115"/>
      <c r="J332" s="201"/>
      <c r="K332" s="202"/>
      <c r="L332" s="162"/>
    </row>
    <row r="333" spans="2:12">
      <c r="B333" s="22">
        <v>318</v>
      </c>
      <c r="C333" s="76">
        <v>46142</v>
      </c>
      <c r="D333" s="76">
        <v>46142</v>
      </c>
      <c r="E333" s="24" t="s">
        <v>1321</v>
      </c>
      <c r="F333" s="24" t="s">
        <v>1322</v>
      </c>
      <c r="G333" s="24" t="s">
        <v>1323</v>
      </c>
      <c r="H333" s="199">
        <v>42075</v>
      </c>
      <c r="I333" s="115"/>
      <c r="J333" s="201"/>
      <c r="K333" s="202"/>
      <c r="L333" s="162"/>
    </row>
    <row r="334" spans="2:12">
      <c r="B334" s="22">
        <v>319</v>
      </c>
      <c r="C334" s="76">
        <v>46142</v>
      </c>
      <c r="D334" s="76">
        <v>46142</v>
      </c>
      <c r="E334" s="24" t="s">
        <v>1324</v>
      </c>
      <c r="F334" s="24" t="s">
        <v>1325</v>
      </c>
      <c r="G334" s="24" t="s">
        <v>1326</v>
      </c>
      <c r="H334" s="199">
        <v>42300</v>
      </c>
      <c r="I334" s="115"/>
      <c r="J334" s="201"/>
      <c r="K334" s="202"/>
      <c r="L334" s="162"/>
    </row>
    <row r="335" spans="2:12">
      <c r="B335" s="22">
        <v>320</v>
      </c>
      <c r="C335" s="76">
        <v>46142</v>
      </c>
      <c r="D335" s="76">
        <v>46142</v>
      </c>
      <c r="E335" s="24" t="s">
        <v>1327</v>
      </c>
      <c r="F335" s="24" t="s">
        <v>1328</v>
      </c>
      <c r="G335" s="24" t="s">
        <v>1329</v>
      </c>
      <c r="H335" s="199">
        <v>43512</v>
      </c>
      <c r="I335" s="115"/>
      <c r="J335" s="201"/>
      <c r="K335" s="202"/>
      <c r="L335" s="162"/>
    </row>
    <row r="336" spans="2:12">
      <c r="B336" s="22">
        <v>321</v>
      </c>
      <c r="C336" s="76">
        <v>46142</v>
      </c>
      <c r="D336" s="76">
        <v>46142</v>
      </c>
      <c r="E336" s="24" t="s">
        <v>1330</v>
      </c>
      <c r="F336" s="24" t="s">
        <v>1331</v>
      </c>
      <c r="G336" s="24" t="s">
        <v>1332</v>
      </c>
      <c r="H336" s="199">
        <v>44588</v>
      </c>
      <c r="I336" s="115"/>
      <c r="J336" s="201"/>
      <c r="K336" s="202"/>
      <c r="L336" s="162"/>
    </row>
    <row r="337" spans="2:12">
      <c r="B337" s="22">
        <v>322</v>
      </c>
      <c r="C337" s="76">
        <v>46142</v>
      </c>
      <c r="D337" s="76">
        <v>46142</v>
      </c>
      <c r="E337" s="24" t="s">
        <v>1333</v>
      </c>
      <c r="F337" s="24" t="s">
        <v>1334</v>
      </c>
      <c r="G337" s="24" t="s">
        <v>1335</v>
      </c>
      <c r="H337" s="199">
        <v>44950</v>
      </c>
      <c r="I337" s="115"/>
      <c r="J337" s="201"/>
      <c r="K337" s="202"/>
      <c r="L337" s="162"/>
    </row>
    <row r="338" spans="2:12">
      <c r="B338" s="22">
        <v>323</v>
      </c>
      <c r="C338" s="76">
        <v>46142</v>
      </c>
      <c r="D338" s="76">
        <v>46142</v>
      </c>
      <c r="E338" s="24" t="s">
        <v>1336</v>
      </c>
      <c r="F338" s="24" t="s">
        <v>1337</v>
      </c>
      <c r="G338" s="24" t="s">
        <v>1338</v>
      </c>
      <c r="H338" s="199">
        <v>46900</v>
      </c>
      <c r="I338" s="115"/>
      <c r="J338" s="201"/>
      <c r="K338" s="202"/>
      <c r="L338" s="162"/>
    </row>
    <row r="339" spans="2:12">
      <c r="B339" s="22">
        <v>324</v>
      </c>
      <c r="C339" s="76">
        <v>46142</v>
      </c>
      <c r="D339" s="76">
        <v>46142</v>
      </c>
      <c r="E339" s="24" t="s">
        <v>1339</v>
      </c>
      <c r="F339" s="24" t="s">
        <v>1340</v>
      </c>
      <c r="G339" s="24" t="s">
        <v>1341</v>
      </c>
      <c r="H339" s="199">
        <v>47000</v>
      </c>
      <c r="I339" s="115"/>
      <c r="J339" s="201"/>
      <c r="K339" s="202"/>
      <c r="L339" s="162"/>
    </row>
    <row r="340" spans="2:12">
      <c r="B340" s="22">
        <v>325</v>
      </c>
      <c r="C340" s="76">
        <v>46142</v>
      </c>
      <c r="D340" s="76">
        <v>46142</v>
      </c>
      <c r="E340" s="24" t="s">
        <v>1339</v>
      </c>
      <c r="F340" s="24" t="s">
        <v>1342</v>
      </c>
      <c r="G340" s="24" t="s">
        <v>1343</v>
      </c>
      <c r="H340" s="199">
        <v>47000</v>
      </c>
      <c r="I340" s="115"/>
      <c r="J340" s="201"/>
      <c r="K340" s="202"/>
      <c r="L340" s="162"/>
    </row>
    <row r="341" spans="2:12">
      <c r="B341" s="22">
        <v>326</v>
      </c>
      <c r="C341" s="76">
        <v>46142</v>
      </c>
      <c r="D341" s="76">
        <v>46142</v>
      </c>
      <c r="E341" s="24" t="s">
        <v>1344</v>
      </c>
      <c r="F341" s="24" t="s">
        <v>1345</v>
      </c>
      <c r="G341" s="24" t="s">
        <v>1346</v>
      </c>
      <c r="H341" s="199">
        <v>47000</v>
      </c>
      <c r="I341" s="115"/>
      <c r="J341" s="201"/>
      <c r="K341" s="202"/>
      <c r="L341" s="162"/>
    </row>
    <row r="342" spans="2:12">
      <c r="B342" s="22">
        <v>327</v>
      </c>
      <c r="C342" s="76">
        <v>46142</v>
      </c>
      <c r="D342" s="76">
        <v>46142</v>
      </c>
      <c r="E342" s="24" t="s">
        <v>1347</v>
      </c>
      <c r="F342" s="24" t="s">
        <v>1348</v>
      </c>
      <c r="G342" s="24" t="s">
        <v>1349</v>
      </c>
      <c r="H342" s="199">
        <v>48000</v>
      </c>
      <c r="I342" s="115"/>
      <c r="J342" s="201"/>
      <c r="K342" s="202"/>
      <c r="L342" s="162"/>
    </row>
    <row r="343" spans="2:12">
      <c r="B343" s="22">
        <v>328</v>
      </c>
      <c r="C343" s="76">
        <v>46142</v>
      </c>
      <c r="D343" s="76">
        <v>46142</v>
      </c>
      <c r="E343" s="24" t="s">
        <v>1350</v>
      </c>
      <c r="F343" s="24" t="s">
        <v>1351</v>
      </c>
      <c r="G343" s="24" t="s">
        <v>1352</v>
      </c>
      <c r="H343" s="199">
        <v>48000</v>
      </c>
      <c r="I343" s="115"/>
      <c r="J343" s="201"/>
      <c r="K343" s="202"/>
      <c r="L343" s="162"/>
    </row>
    <row r="344" spans="2:12">
      <c r="B344" s="22">
        <v>329</v>
      </c>
      <c r="C344" s="76">
        <v>46142</v>
      </c>
      <c r="D344" s="76">
        <v>46142</v>
      </c>
      <c r="E344" s="24" t="s">
        <v>1353</v>
      </c>
      <c r="F344" s="24" t="s">
        <v>1354</v>
      </c>
      <c r="G344" s="24" t="s">
        <v>1355</v>
      </c>
      <c r="H344" s="199">
        <v>48002.22</v>
      </c>
      <c r="I344" s="115"/>
      <c r="J344" s="201"/>
      <c r="K344" s="202"/>
      <c r="L344" s="162"/>
    </row>
    <row r="345" spans="2:12">
      <c r="B345" s="22">
        <v>330</v>
      </c>
      <c r="C345" s="76">
        <v>46142</v>
      </c>
      <c r="D345" s="76">
        <v>46142</v>
      </c>
      <c r="E345" s="24" t="s">
        <v>1356</v>
      </c>
      <c r="F345" s="24" t="s">
        <v>1357</v>
      </c>
      <c r="G345" s="24" t="s">
        <v>1358</v>
      </c>
      <c r="H345" s="199">
        <v>48600</v>
      </c>
      <c r="I345" s="115"/>
      <c r="J345" s="201"/>
      <c r="K345" s="202"/>
      <c r="L345" s="162"/>
    </row>
    <row r="346" spans="2:12">
      <c r="B346" s="22">
        <v>331</v>
      </c>
      <c r="C346" s="76">
        <v>46142</v>
      </c>
      <c r="D346" s="76">
        <v>46142</v>
      </c>
      <c r="E346" s="24" t="s">
        <v>1359</v>
      </c>
      <c r="F346" s="24" t="s">
        <v>1360</v>
      </c>
      <c r="G346" s="24" t="s">
        <v>1361</v>
      </c>
      <c r="H346" s="199">
        <v>49800</v>
      </c>
      <c r="I346" s="115"/>
      <c r="J346" s="201"/>
      <c r="K346" s="202"/>
      <c r="L346" s="162"/>
    </row>
    <row r="347" spans="2:12">
      <c r="B347" s="22">
        <v>332</v>
      </c>
      <c r="C347" s="76">
        <v>46142</v>
      </c>
      <c r="D347" s="76">
        <v>46142</v>
      </c>
      <c r="E347" s="24" t="s">
        <v>1362</v>
      </c>
      <c r="F347" s="24" t="s">
        <v>1363</v>
      </c>
      <c r="G347" s="24" t="s">
        <v>1364</v>
      </c>
      <c r="H347" s="199">
        <v>50800</v>
      </c>
      <c r="I347" s="115"/>
      <c r="J347" s="201"/>
      <c r="K347" s="202"/>
      <c r="L347" s="162"/>
    </row>
    <row r="348" spans="2:12">
      <c r="B348" s="22">
        <v>333</v>
      </c>
      <c r="C348" s="76">
        <v>46142</v>
      </c>
      <c r="D348" s="76">
        <v>46142</v>
      </c>
      <c r="E348" s="24" t="s">
        <v>1365</v>
      </c>
      <c r="F348" s="24" t="s">
        <v>1366</v>
      </c>
      <c r="G348" s="24" t="s">
        <v>1367</v>
      </c>
      <c r="H348" s="199">
        <v>51000</v>
      </c>
      <c r="I348" s="115"/>
      <c r="J348" s="201"/>
      <c r="K348" s="202"/>
      <c r="L348" s="162"/>
    </row>
    <row r="349" spans="2:12">
      <c r="B349" s="22">
        <v>334</v>
      </c>
      <c r="C349" s="76">
        <v>46142</v>
      </c>
      <c r="D349" s="76">
        <v>46142</v>
      </c>
      <c r="E349" s="24" t="s">
        <v>1368</v>
      </c>
      <c r="F349" s="24" t="s">
        <v>1369</v>
      </c>
      <c r="G349" s="24" t="s">
        <v>1370</v>
      </c>
      <c r="H349" s="199">
        <v>51450</v>
      </c>
      <c r="I349" s="115"/>
      <c r="J349" s="201"/>
      <c r="K349" s="202"/>
      <c r="L349" s="162"/>
    </row>
    <row r="350" spans="2:12">
      <c r="B350" s="22">
        <v>335</v>
      </c>
      <c r="C350" s="76">
        <v>46142</v>
      </c>
      <c r="D350" s="76">
        <v>46142</v>
      </c>
      <c r="E350" s="24" t="s">
        <v>1371</v>
      </c>
      <c r="F350" s="24" t="s">
        <v>1372</v>
      </c>
      <c r="G350" s="24" t="s">
        <v>1373</v>
      </c>
      <c r="H350" s="199">
        <v>52900</v>
      </c>
      <c r="I350" s="115"/>
      <c r="J350" s="201"/>
      <c r="K350" s="202"/>
      <c r="L350" s="162"/>
    </row>
    <row r="351" spans="2:12">
      <c r="B351" s="22">
        <v>336</v>
      </c>
      <c r="C351" s="76">
        <v>46142</v>
      </c>
      <c r="D351" s="76">
        <v>46142</v>
      </c>
      <c r="E351" s="24" t="s">
        <v>1374</v>
      </c>
      <c r="F351" s="24" t="s">
        <v>1375</v>
      </c>
      <c r="G351" s="24" t="s">
        <v>1376</v>
      </c>
      <c r="H351" s="199">
        <v>53600</v>
      </c>
      <c r="I351" s="115"/>
      <c r="J351" s="201"/>
      <c r="K351" s="202"/>
      <c r="L351" s="162"/>
    </row>
    <row r="352" spans="2:12">
      <c r="B352" s="22">
        <v>337</v>
      </c>
      <c r="C352" s="76">
        <v>46142</v>
      </c>
      <c r="D352" s="76">
        <v>46142</v>
      </c>
      <c r="E352" s="24" t="s">
        <v>1377</v>
      </c>
      <c r="F352" s="24" t="s">
        <v>1378</v>
      </c>
      <c r="G352" s="24" t="s">
        <v>1379</v>
      </c>
      <c r="H352" s="199">
        <v>54100</v>
      </c>
      <c r="I352" s="115"/>
      <c r="J352" s="201"/>
      <c r="K352" s="202"/>
      <c r="L352" s="162"/>
    </row>
    <row r="353" spans="2:12">
      <c r="B353" s="22">
        <v>338</v>
      </c>
      <c r="C353" s="76">
        <v>46142</v>
      </c>
      <c r="D353" s="76">
        <v>46142</v>
      </c>
      <c r="E353" s="24" t="s">
        <v>1380</v>
      </c>
      <c r="F353" s="24" t="s">
        <v>1381</v>
      </c>
      <c r="G353" s="24" t="s">
        <v>1382</v>
      </c>
      <c r="H353" s="199">
        <v>54266</v>
      </c>
      <c r="I353" s="115"/>
      <c r="J353" s="201"/>
      <c r="K353" s="202"/>
      <c r="L353" s="162"/>
    </row>
    <row r="354" spans="2:12">
      <c r="B354" s="22">
        <v>339</v>
      </c>
      <c r="C354" s="76">
        <v>46142</v>
      </c>
      <c r="D354" s="76">
        <v>46142</v>
      </c>
      <c r="E354" s="24" t="s">
        <v>1383</v>
      </c>
      <c r="F354" s="24" t="s">
        <v>1384</v>
      </c>
      <c r="G354" s="24" t="s">
        <v>1385</v>
      </c>
      <c r="H354" s="199">
        <v>54900</v>
      </c>
      <c r="I354" s="115"/>
      <c r="J354" s="201"/>
      <c r="K354" s="202"/>
      <c r="L354" s="162"/>
    </row>
    <row r="355" spans="2:12">
      <c r="B355" s="22">
        <v>340</v>
      </c>
      <c r="C355" s="76">
        <v>46142</v>
      </c>
      <c r="D355" s="76">
        <v>46142</v>
      </c>
      <c r="E355" s="24" t="s">
        <v>1124</v>
      </c>
      <c r="F355" s="24" t="s">
        <v>1386</v>
      </c>
      <c r="G355" s="24" t="s">
        <v>1387</v>
      </c>
      <c r="H355" s="199">
        <v>55200</v>
      </c>
      <c r="I355" s="115"/>
      <c r="J355" s="201"/>
      <c r="K355" s="202"/>
      <c r="L355" s="162"/>
    </row>
    <row r="356" spans="2:12">
      <c r="B356" s="22">
        <v>341</v>
      </c>
      <c r="C356" s="76">
        <v>46142</v>
      </c>
      <c r="D356" s="76">
        <v>46142</v>
      </c>
      <c r="E356" s="24" t="s">
        <v>1388</v>
      </c>
      <c r="F356" s="24" t="s">
        <v>1389</v>
      </c>
      <c r="G356" s="24" t="s">
        <v>1390</v>
      </c>
      <c r="H356" s="199">
        <v>55210</v>
      </c>
      <c r="I356" s="115"/>
      <c r="J356" s="201"/>
      <c r="K356" s="202"/>
      <c r="L356" s="162"/>
    </row>
    <row r="357" spans="2:12">
      <c r="B357" s="22">
        <v>342</v>
      </c>
      <c r="C357" s="76">
        <v>46142</v>
      </c>
      <c r="D357" s="76">
        <v>46142</v>
      </c>
      <c r="E357" s="24" t="s">
        <v>1391</v>
      </c>
      <c r="F357" s="24" t="s">
        <v>1392</v>
      </c>
      <c r="G357" s="24" t="s">
        <v>1393</v>
      </c>
      <c r="H357" s="199">
        <v>55500</v>
      </c>
      <c r="I357" s="115"/>
      <c r="J357" s="201"/>
      <c r="K357" s="202"/>
      <c r="L357" s="162"/>
    </row>
    <row r="358" spans="2:12">
      <c r="B358" s="22">
        <v>343</v>
      </c>
      <c r="C358" s="76">
        <v>46142</v>
      </c>
      <c r="D358" s="76">
        <v>46142</v>
      </c>
      <c r="E358" s="24" t="s">
        <v>1394</v>
      </c>
      <c r="F358" s="24" t="s">
        <v>1395</v>
      </c>
      <c r="G358" s="24" t="s">
        <v>1396</v>
      </c>
      <c r="H358" s="199">
        <v>56000</v>
      </c>
      <c r="I358" s="115"/>
      <c r="J358" s="201"/>
      <c r="K358" s="202"/>
      <c r="L358" s="162"/>
    </row>
    <row r="359" spans="2:12">
      <c r="B359" s="22">
        <v>344</v>
      </c>
      <c r="C359" s="76">
        <v>46142</v>
      </c>
      <c r="D359" s="76">
        <v>46142</v>
      </c>
      <c r="E359" s="24" t="s">
        <v>1397</v>
      </c>
      <c r="F359" s="24" t="s">
        <v>1398</v>
      </c>
      <c r="G359" s="24" t="s">
        <v>1399</v>
      </c>
      <c r="H359" s="199">
        <v>56200</v>
      </c>
      <c r="I359" s="115"/>
      <c r="J359" s="201"/>
      <c r="K359" s="202"/>
      <c r="L359" s="162"/>
    </row>
    <row r="360" spans="2:12">
      <c r="B360" s="22">
        <v>345</v>
      </c>
      <c r="C360" s="76">
        <v>46142</v>
      </c>
      <c r="D360" s="76">
        <v>46142</v>
      </c>
      <c r="E360" s="24" t="s">
        <v>1400</v>
      </c>
      <c r="F360" s="24" t="s">
        <v>1401</v>
      </c>
      <c r="G360" s="24" t="s">
        <v>1402</v>
      </c>
      <c r="H360" s="199">
        <v>57450</v>
      </c>
      <c r="I360" s="115"/>
      <c r="J360" s="201"/>
      <c r="K360" s="202"/>
      <c r="L360" s="162"/>
    </row>
    <row r="361" spans="2:12">
      <c r="B361" s="22">
        <v>346</v>
      </c>
      <c r="C361" s="76">
        <v>46142</v>
      </c>
      <c r="D361" s="76">
        <v>46142</v>
      </c>
      <c r="E361" s="24" t="s">
        <v>1403</v>
      </c>
      <c r="F361" s="24" t="s">
        <v>1404</v>
      </c>
      <c r="G361" s="24" t="s">
        <v>1405</v>
      </c>
      <c r="H361" s="199">
        <v>57546.720000000001</v>
      </c>
      <c r="I361" s="115"/>
      <c r="J361" s="201"/>
      <c r="K361" s="202"/>
      <c r="L361" s="162"/>
    </row>
    <row r="362" spans="2:12">
      <c r="B362" s="22">
        <v>347</v>
      </c>
      <c r="C362" s="76">
        <v>46142</v>
      </c>
      <c r="D362" s="76">
        <v>46142</v>
      </c>
      <c r="E362" s="24" t="s">
        <v>1406</v>
      </c>
      <c r="F362" s="24" t="s">
        <v>1407</v>
      </c>
      <c r="G362" s="24" t="s">
        <v>1408</v>
      </c>
      <c r="H362" s="199">
        <v>59160</v>
      </c>
      <c r="I362" s="115"/>
      <c r="J362" s="201"/>
      <c r="K362" s="202"/>
      <c r="L362" s="162"/>
    </row>
    <row r="363" spans="2:12">
      <c r="B363" s="22">
        <v>348</v>
      </c>
      <c r="C363" s="76">
        <v>46142</v>
      </c>
      <c r="D363" s="76">
        <v>46142</v>
      </c>
      <c r="E363" s="24" t="s">
        <v>1409</v>
      </c>
      <c r="F363" s="24" t="s">
        <v>1410</v>
      </c>
      <c r="G363" s="24" t="s">
        <v>1411</v>
      </c>
      <c r="H363" s="199">
        <v>59200</v>
      </c>
      <c r="I363" s="115"/>
      <c r="J363" s="201"/>
      <c r="K363" s="202"/>
      <c r="L363" s="162"/>
    </row>
    <row r="364" spans="2:12">
      <c r="B364" s="22">
        <v>349</v>
      </c>
      <c r="C364" s="76">
        <v>46142</v>
      </c>
      <c r="D364" s="76">
        <v>46142</v>
      </c>
      <c r="E364" s="24" t="s">
        <v>1412</v>
      </c>
      <c r="F364" s="24" t="s">
        <v>1413</v>
      </c>
      <c r="G364" s="24" t="s">
        <v>1414</v>
      </c>
      <c r="H364" s="199">
        <v>59850</v>
      </c>
      <c r="I364" s="115"/>
      <c r="J364" s="201"/>
      <c r="K364" s="202"/>
      <c r="L364" s="162"/>
    </row>
    <row r="365" spans="2:12">
      <c r="B365" s="22">
        <v>350</v>
      </c>
      <c r="C365" s="76">
        <v>46142</v>
      </c>
      <c r="D365" s="76">
        <v>46142</v>
      </c>
      <c r="E365" s="24" t="s">
        <v>1415</v>
      </c>
      <c r="F365" s="24"/>
      <c r="G365" s="24" t="s">
        <v>1416</v>
      </c>
      <c r="H365" s="199">
        <v>60100</v>
      </c>
      <c r="I365" s="115"/>
      <c r="J365" s="201"/>
      <c r="K365" s="202"/>
      <c r="L365" s="162"/>
    </row>
    <row r="366" spans="2:12">
      <c r="B366" s="22">
        <v>351</v>
      </c>
      <c r="C366" s="76">
        <v>46142</v>
      </c>
      <c r="D366" s="76">
        <v>46142</v>
      </c>
      <c r="E366" s="24" t="s">
        <v>1417</v>
      </c>
      <c r="F366" s="24" t="s">
        <v>1418</v>
      </c>
      <c r="G366" s="24" t="s">
        <v>1419</v>
      </c>
      <c r="H366" s="199">
        <v>60200</v>
      </c>
      <c r="I366" s="115"/>
      <c r="J366" s="201"/>
      <c r="K366" s="202"/>
      <c r="L366" s="162"/>
    </row>
    <row r="367" spans="2:12">
      <c r="B367" s="22">
        <v>352</v>
      </c>
      <c r="C367" s="76">
        <v>46142</v>
      </c>
      <c r="D367" s="76">
        <v>46142</v>
      </c>
      <c r="E367" s="24" t="s">
        <v>1420</v>
      </c>
      <c r="F367" s="24" t="s">
        <v>1421</v>
      </c>
      <c r="G367" s="24" t="s">
        <v>1422</v>
      </c>
      <c r="H367" s="199">
        <v>61392.78</v>
      </c>
      <c r="I367" s="115"/>
      <c r="J367" s="201"/>
      <c r="K367" s="202"/>
      <c r="L367" s="162"/>
    </row>
    <row r="368" spans="2:12">
      <c r="B368" s="22">
        <v>353</v>
      </c>
      <c r="C368" s="76">
        <v>46142</v>
      </c>
      <c r="D368" s="76">
        <v>46142</v>
      </c>
      <c r="E368" s="24" t="s">
        <v>1423</v>
      </c>
      <c r="F368" s="24" t="s">
        <v>1424</v>
      </c>
      <c r="G368" s="24" t="s">
        <v>1425</v>
      </c>
      <c r="H368" s="199">
        <v>61820</v>
      </c>
      <c r="I368" s="115"/>
      <c r="J368" s="201"/>
      <c r="K368" s="202"/>
      <c r="L368" s="162"/>
    </row>
    <row r="369" spans="2:12">
      <c r="B369" s="22">
        <v>354</v>
      </c>
      <c r="C369" s="76">
        <v>46142</v>
      </c>
      <c r="D369" s="76">
        <v>46142</v>
      </c>
      <c r="E369" s="24" t="s">
        <v>1426</v>
      </c>
      <c r="F369" s="24" t="s">
        <v>1427</v>
      </c>
      <c r="G369" s="24" t="s">
        <v>1428</v>
      </c>
      <c r="H369" s="199">
        <v>64000</v>
      </c>
      <c r="I369" s="115"/>
      <c r="J369" s="201"/>
      <c r="K369" s="202"/>
      <c r="L369" s="162"/>
    </row>
    <row r="370" spans="2:12">
      <c r="B370" s="22">
        <v>355</v>
      </c>
      <c r="C370" s="76">
        <v>46142</v>
      </c>
      <c r="D370" s="76">
        <v>46142</v>
      </c>
      <c r="E370" s="24" t="s">
        <v>1204</v>
      </c>
      <c r="F370" s="24" t="s">
        <v>1429</v>
      </c>
      <c r="G370" s="24" t="s">
        <v>1430</v>
      </c>
      <c r="H370" s="199">
        <v>64600</v>
      </c>
      <c r="I370" s="115"/>
      <c r="J370" s="201"/>
      <c r="K370" s="202"/>
      <c r="L370" s="162"/>
    </row>
    <row r="371" spans="2:12">
      <c r="B371" s="22">
        <v>356</v>
      </c>
      <c r="C371" s="76">
        <v>46142</v>
      </c>
      <c r="D371" s="76">
        <v>46142</v>
      </c>
      <c r="E371" s="24" t="s">
        <v>1431</v>
      </c>
      <c r="F371" s="24" t="s">
        <v>1432</v>
      </c>
      <c r="G371" s="24" t="s">
        <v>1433</v>
      </c>
      <c r="H371" s="199">
        <v>64890</v>
      </c>
      <c r="I371" s="115"/>
      <c r="J371" s="201"/>
      <c r="K371" s="202"/>
      <c r="L371" s="162"/>
    </row>
    <row r="372" spans="2:12">
      <c r="B372" s="22">
        <v>357</v>
      </c>
      <c r="C372" s="76">
        <v>46142</v>
      </c>
      <c r="D372" s="76">
        <v>46142</v>
      </c>
      <c r="E372" s="24" t="s">
        <v>1434</v>
      </c>
      <c r="F372" s="24" t="s">
        <v>1435</v>
      </c>
      <c r="G372" s="24" t="s">
        <v>1436</v>
      </c>
      <c r="H372" s="199">
        <v>65000</v>
      </c>
      <c r="I372" s="115"/>
      <c r="J372" s="201"/>
      <c r="K372" s="202"/>
      <c r="L372" s="162"/>
    </row>
    <row r="373" spans="2:12">
      <c r="B373" s="22">
        <v>358</v>
      </c>
      <c r="C373" s="76">
        <v>46142</v>
      </c>
      <c r="D373" s="76">
        <v>46142</v>
      </c>
      <c r="E373" s="24" t="s">
        <v>1437</v>
      </c>
      <c r="F373" s="24" t="s">
        <v>1438</v>
      </c>
      <c r="G373" s="24" t="s">
        <v>1439</v>
      </c>
      <c r="H373" s="199">
        <v>68200</v>
      </c>
      <c r="I373" s="115"/>
      <c r="J373" s="201"/>
      <c r="K373" s="202"/>
      <c r="L373" s="162"/>
    </row>
    <row r="374" spans="2:12">
      <c r="B374" s="22">
        <v>359</v>
      </c>
      <c r="C374" s="76">
        <v>46142</v>
      </c>
      <c r="D374" s="76">
        <v>46142</v>
      </c>
      <c r="E374" s="24" t="s">
        <v>1440</v>
      </c>
      <c r="F374" s="24" t="s">
        <v>1441</v>
      </c>
      <c r="G374" s="24" t="s">
        <v>1442</v>
      </c>
      <c r="H374" s="199">
        <v>68202.820000000007</v>
      </c>
      <c r="I374" s="115"/>
      <c r="J374" s="201"/>
      <c r="K374" s="202"/>
      <c r="L374" s="162"/>
    </row>
    <row r="375" spans="2:12">
      <c r="B375" s="22">
        <v>360</v>
      </c>
      <c r="C375" s="76">
        <v>46142</v>
      </c>
      <c r="D375" s="76">
        <v>46142</v>
      </c>
      <c r="E375" s="24" t="s">
        <v>1443</v>
      </c>
      <c r="F375" s="24" t="s">
        <v>1444</v>
      </c>
      <c r="G375" s="24" t="s">
        <v>1445</v>
      </c>
      <c r="H375" s="199">
        <v>68225</v>
      </c>
      <c r="I375" s="115"/>
      <c r="J375" s="201"/>
      <c r="K375" s="202"/>
      <c r="L375" s="162"/>
    </row>
    <row r="376" spans="2:12">
      <c r="B376" s="22">
        <v>361</v>
      </c>
      <c r="C376" s="76">
        <v>46142</v>
      </c>
      <c r="D376" s="76">
        <v>46142</v>
      </c>
      <c r="E376" s="24" t="s">
        <v>1446</v>
      </c>
      <c r="F376" s="24" t="s">
        <v>1447</v>
      </c>
      <c r="G376" s="24" t="s">
        <v>1448</v>
      </c>
      <c r="H376" s="199">
        <v>68300</v>
      </c>
      <c r="I376" s="115"/>
      <c r="J376" s="201"/>
      <c r="K376" s="202"/>
      <c r="L376" s="162"/>
    </row>
    <row r="377" spans="2:12">
      <c r="B377" s="22">
        <v>362</v>
      </c>
      <c r="C377" s="76">
        <v>46142</v>
      </c>
      <c r="D377" s="76">
        <v>46142</v>
      </c>
      <c r="E377" s="24" t="s">
        <v>1449</v>
      </c>
      <c r="F377" s="24" t="s">
        <v>1450</v>
      </c>
      <c r="G377" s="24" t="s">
        <v>1451</v>
      </c>
      <c r="H377" s="199">
        <v>68400</v>
      </c>
      <c r="I377" s="115"/>
      <c r="J377" s="201"/>
      <c r="K377" s="202"/>
      <c r="L377" s="162"/>
    </row>
    <row r="378" spans="2:12">
      <c r="B378" s="22">
        <v>363</v>
      </c>
      <c r="C378" s="76">
        <v>46142</v>
      </c>
      <c r="D378" s="76">
        <v>46142</v>
      </c>
      <c r="E378" s="24" t="s">
        <v>1452</v>
      </c>
      <c r="F378" s="24" t="s">
        <v>1453</v>
      </c>
      <c r="G378" s="24" t="s">
        <v>1454</v>
      </c>
      <c r="H378" s="199">
        <v>68716</v>
      </c>
      <c r="I378" s="115"/>
      <c r="J378" s="201"/>
      <c r="K378" s="202"/>
      <c r="L378" s="162"/>
    </row>
    <row r="379" spans="2:12">
      <c r="B379" s="22">
        <v>364</v>
      </c>
      <c r="C379" s="76">
        <v>46142</v>
      </c>
      <c r="D379" s="76">
        <v>46142</v>
      </c>
      <c r="E379" s="24" t="s">
        <v>1455</v>
      </c>
      <c r="F379" s="24" t="s">
        <v>1456</v>
      </c>
      <c r="G379" s="24" t="s">
        <v>1457</v>
      </c>
      <c r="H379" s="199">
        <v>68900</v>
      </c>
      <c r="I379" s="115"/>
      <c r="J379" s="201"/>
      <c r="K379" s="202"/>
      <c r="L379" s="162"/>
    </row>
    <row r="380" spans="2:12">
      <c r="B380" s="22">
        <v>365</v>
      </c>
      <c r="C380" s="76">
        <v>46142</v>
      </c>
      <c r="D380" s="76">
        <v>46142</v>
      </c>
      <c r="E380" s="24" t="s">
        <v>1458</v>
      </c>
      <c r="F380" s="24" t="s">
        <v>1459</v>
      </c>
      <c r="G380" s="24" t="s">
        <v>1460</v>
      </c>
      <c r="H380" s="199">
        <v>69600</v>
      </c>
      <c r="I380" s="115"/>
      <c r="J380" s="201"/>
      <c r="K380" s="202"/>
      <c r="L380" s="162"/>
    </row>
    <row r="381" spans="2:12">
      <c r="B381" s="22">
        <v>366</v>
      </c>
      <c r="C381" s="76">
        <v>46142</v>
      </c>
      <c r="D381" s="76">
        <v>46142</v>
      </c>
      <c r="E381" s="24" t="s">
        <v>1461</v>
      </c>
      <c r="F381" s="24" t="s">
        <v>1462</v>
      </c>
      <c r="G381" s="24" t="s">
        <v>1463</v>
      </c>
      <c r="H381" s="199">
        <v>70000</v>
      </c>
      <c r="I381" s="115"/>
      <c r="J381" s="201"/>
      <c r="K381" s="202"/>
      <c r="L381" s="162"/>
    </row>
    <row r="382" spans="2:12">
      <c r="B382" s="22">
        <v>367</v>
      </c>
      <c r="C382" s="76">
        <v>46142</v>
      </c>
      <c r="D382" s="76">
        <v>46142</v>
      </c>
      <c r="E382" s="24" t="s">
        <v>1464</v>
      </c>
      <c r="F382" s="24" t="s">
        <v>1465</v>
      </c>
      <c r="G382" s="24" t="s">
        <v>1466</v>
      </c>
      <c r="H382" s="199">
        <v>70500</v>
      </c>
      <c r="I382" s="115"/>
      <c r="J382" s="201"/>
      <c r="K382" s="202"/>
      <c r="L382" s="162"/>
    </row>
    <row r="383" spans="2:12">
      <c r="B383" s="22">
        <v>368</v>
      </c>
      <c r="C383" s="76">
        <v>46142</v>
      </c>
      <c r="D383" s="76">
        <v>46142</v>
      </c>
      <c r="E383" s="24" t="s">
        <v>1467</v>
      </c>
      <c r="F383" s="24" t="s">
        <v>1468</v>
      </c>
      <c r="G383" s="24" t="s">
        <v>1469</v>
      </c>
      <c r="H383" s="199">
        <v>72000</v>
      </c>
      <c r="I383" s="115"/>
      <c r="J383" s="201"/>
      <c r="K383" s="202"/>
      <c r="L383" s="162"/>
    </row>
    <row r="384" spans="2:12">
      <c r="B384" s="22">
        <v>369</v>
      </c>
      <c r="C384" s="76">
        <v>46142</v>
      </c>
      <c r="D384" s="76">
        <v>46142</v>
      </c>
      <c r="E384" s="24" t="s">
        <v>1470</v>
      </c>
      <c r="F384" s="24" t="s">
        <v>1471</v>
      </c>
      <c r="G384" s="24" t="s">
        <v>1472</v>
      </c>
      <c r="H384" s="199">
        <v>72500</v>
      </c>
      <c r="I384" s="115"/>
      <c r="J384" s="201"/>
      <c r="K384" s="202"/>
      <c r="L384" s="162"/>
    </row>
    <row r="385" spans="2:12">
      <c r="B385" s="22">
        <v>370</v>
      </c>
      <c r="C385" s="76">
        <v>46142</v>
      </c>
      <c r="D385" s="76">
        <v>46142</v>
      </c>
      <c r="E385" s="24" t="s">
        <v>1473</v>
      </c>
      <c r="F385" s="24" t="s">
        <v>1474</v>
      </c>
      <c r="G385" s="24" t="s">
        <v>1475</v>
      </c>
      <c r="H385" s="199">
        <v>72800</v>
      </c>
      <c r="I385" s="115"/>
      <c r="J385" s="201"/>
      <c r="K385" s="202"/>
      <c r="L385" s="162"/>
    </row>
    <row r="386" spans="2:12">
      <c r="B386" s="22">
        <v>371</v>
      </c>
      <c r="C386" s="76">
        <v>46142</v>
      </c>
      <c r="D386" s="76">
        <v>46142</v>
      </c>
      <c r="E386" s="24" t="s">
        <v>1476</v>
      </c>
      <c r="F386" s="24" t="s">
        <v>1477</v>
      </c>
      <c r="G386" s="24" t="s">
        <v>1478</v>
      </c>
      <c r="H386" s="199">
        <v>74000</v>
      </c>
      <c r="I386" s="115"/>
      <c r="J386" s="201"/>
      <c r="K386" s="202"/>
      <c r="L386" s="162"/>
    </row>
    <row r="387" spans="2:12">
      <c r="B387" s="22">
        <v>372</v>
      </c>
      <c r="C387" s="76">
        <v>46142</v>
      </c>
      <c r="D387" s="76">
        <v>46142</v>
      </c>
      <c r="E387" s="24" t="s">
        <v>348</v>
      </c>
      <c r="F387" s="24" t="s">
        <v>1479</v>
      </c>
      <c r="G387" s="24" t="s">
        <v>1480</v>
      </c>
      <c r="H387" s="199">
        <v>75000</v>
      </c>
      <c r="I387" s="115"/>
      <c r="J387" s="201"/>
      <c r="K387" s="202"/>
      <c r="L387" s="162"/>
    </row>
    <row r="388" spans="2:12">
      <c r="B388" s="22">
        <v>373</v>
      </c>
      <c r="C388" s="76">
        <v>46142</v>
      </c>
      <c r="D388" s="76">
        <v>46142</v>
      </c>
      <c r="E388" s="24" t="s">
        <v>1481</v>
      </c>
      <c r="F388" s="24" t="s">
        <v>1482</v>
      </c>
      <c r="G388" s="24" t="s">
        <v>1483</v>
      </c>
      <c r="H388" s="199">
        <v>75720</v>
      </c>
      <c r="I388" s="115"/>
      <c r="J388" s="201"/>
      <c r="K388" s="202"/>
      <c r="L388" s="162"/>
    </row>
    <row r="389" spans="2:12">
      <c r="B389" s="22">
        <v>374</v>
      </c>
      <c r="C389" s="76">
        <v>46142</v>
      </c>
      <c r="D389" s="76">
        <v>46142</v>
      </c>
      <c r="E389" s="24" t="s">
        <v>1484</v>
      </c>
      <c r="F389" s="24" t="s">
        <v>1485</v>
      </c>
      <c r="G389" s="24" t="s">
        <v>1486</v>
      </c>
      <c r="H389" s="199">
        <v>76800</v>
      </c>
      <c r="I389" s="115"/>
      <c r="J389" s="201"/>
      <c r="K389" s="202"/>
      <c r="L389" s="162"/>
    </row>
    <row r="390" spans="2:12">
      <c r="B390" s="22">
        <v>375</v>
      </c>
      <c r="C390" s="76">
        <v>46142</v>
      </c>
      <c r="D390" s="76">
        <v>46142</v>
      </c>
      <c r="E390" s="24" t="s">
        <v>1487</v>
      </c>
      <c r="F390" s="24" t="s">
        <v>1488</v>
      </c>
      <c r="G390" s="24" t="s">
        <v>1489</v>
      </c>
      <c r="H390" s="199">
        <v>76850</v>
      </c>
      <c r="I390" s="115"/>
      <c r="J390" s="201"/>
      <c r="K390" s="202"/>
      <c r="L390" s="162"/>
    </row>
    <row r="391" spans="2:12">
      <c r="B391" s="22">
        <v>376</v>
      </c>
      <c r="C391" s="76">
        <v>46142</v>
      </c>
      <c r="D391" s="76">
        <v>46142</v>
      </c>
      <c r="E391" s="24" t="s">
        <v>1490</v>
      </c>
      <c r="F391" s="24" t="s">
        <v>1491</v>
      </c>
      <c r="G391" s="24" t="s">
        <v>1492</v>
      </c>
      <c r="H391" s="199">
        <v>78500</v>
      </c>
      <c r="I391" s="115"/>
      <c r="J391" s="201"/>
      <c r="K391" s="202"/>
      <c r="L391" s="162"/>
    </row>
    <row r="392" spans="2:12">
      <c r="B392" s="22">
        <v>377</v>
      </c>
      <c r="C392" s="76">
        <v>46142</v>
      </c>
      <c r="D392" s="76">
        <v>46142</v>
      </c>
      <c r="E392" s="24" t="s">
        <v>1493</v>
      </c>
      <c r="F392" s="24" t="s">
        <v>1494</v>
      </c>
      <c r="G392" s="24" t="s">
        <v>1495</v>
      </c>
      <c r="H392" s="199">
        <v>78550</v>
      </c>
      <c r="I392" s="115"/>
      <c r="J392" s="201"/>
      <c r="K392" s="202"/>
      <c r="L392" s="162"/>
    </row>
    <row r="393" spans="2:12">
      <c r="B393" s="22">
        <v>378</v>
      </c>
      <c r="C393" s="76">
        <v>46142</v>
      </c>
      <c r="D393" s="76">
        <v>46142</v>
      </c>
      <c r="E393" s="24" t="s">
        <v>1496</v>
      </c>
      <c r="F393" s="24" t="s">
        <v>1497</v>
      </c>
      <c r="G393" s="24" t="s">
        <v>1498</v>
      </c>
      <c r="H393" s="199">
        <v>78800</v>
      </c>
      <c r="I393" s="115"/>
      <c r="J393" s="201"/>
      <c r="K393" s="202"/>
      <c r="L393" s="162"/>
    </row>
    <row r="394" spans="2:12">
      <c r="B394" s="22">
        <v>379</v>
      </c>
      <c r="C394" s="76">
        <v>46142</v>
      </c>
      <c r="D394" s="76">
        <v>46142</v>
      </c>
      <c r="E394" s="24" t="s">
        <v>1499</v>
      </c>
      <c r="F394" s="24" t="s">
        <v>1500</v>
      </c>
      <c r="G394" s="24" t="s">
        <v>1501</v>
      </c>
      <c r="H394" s="199">
        <v>79894</v>
      </c>
      <c r="I394" s="115"/>
      <c r="J394" s="201"/>
      <c r="K394" s="202"/>
      <c r="L394" s="162"/>
    </row>
    <row r="395" spans="2:12">
      <c r="B395" s="22">
        <v>380</v>
      </c>
      <c r="C395" s="76">
        <v>46142</v>
      </c>
      <c r="D395" s="76">
        <v>46142</v>
      </c>
      <c r="E395" s="24" t="s">
        <v>1440</v>
      </c>
      <c r="F395" s="24" t="s">
        <v>1502</v>
      </c>
      <c r="G395" s="24" t="s">
        <v>1503</v>
      </c>
      <c r="H395" s="199">
        <v>85496.78</v>
      </c>
      <c r="I395" s="115"/>
      <c r="J395" s="201"/>
      <c r="K395" s="202"/>
      <c r="L395" s="162"/>
    </row>
    <row r="396" spans="2:12">
      <c r="B396" s="22">
        <v>381</v>
      </c>
      <c r="C396" s="76">
        <v>46142</v>
      </c>
      <c r="D396" s="76">
        <v>46141</v>
      </c>
      <c r="E396" s="24" t="s">
        <v>1504</v>
      </c>
      <c r="F396" s="24"/>
      <c r="G396" s="24" t="s">
        <v>1505</v>
      </c>
      <c r="H396" s="199">
        <v>86840</v>
      </c>
      <c r="I396" s="115"/>
      <c r="J396" s="201"/>
      <c r="K396" s="202"/>
      <c r="L396" s="162"/>
    </row>
    <row r="397" spans="2:12">
      <c r="B397" s="22">
        <v>382</v>
      </c>
      <c r="C397" s="76">
        <v>46142</v>
      </c>
      <c r="D397" s="76">
        <v>46142</v>
      </c>
      <c r="E397" s="24" t="s">
        <v>1506</v>
      </c>
      <c r="F397" s="24" t="s">
        <v>1507</v>
      </c>
      <c r="G397" s="24" t="s">
        <v>1508</v>
      </c>
      <c r="H397" s="199">
        <v>88000</v>
      </c>
      <c r="I397" s="115"/>
      <c r="J397" s="201"/>
      <c r="K397" s="202"/>
      <c r="L397" s="162"/>
    </row>
    <row r="398" spans="2:12">
      <c r="B398" s="22">
        <v>383</v>
      </c>
      <c r="C398" s="76">
        <v>46142</v>
      </c>
      <c r="D398" s="76">
        <v>46142</v>
      </c>
      <c r="E398" s="24" t="s">
        <v>1509</v>
      </c>
      <c r="F398" s="24" t="s">
        <v>1510</v>
      </c>
      <c r="G398" s="24" t="s">
        <v>1511</v>
      </c>
      <c r="H398" s="199">
        <v>88400</v>
      </c>
      <c r="I398" s="115"/>
      <c r="J398" s="201"/>
      <c r="K398" s="202"/>
      <c r="L398" s="162"/>
    </row>
    <row r="399" spans="2:12">
      <c r="B399" s="22">
        <v>384</v>
      </c>
      <c r="C399" s="76">
        <v>46142</v>
      </c>
      <c r="D399" s="76">
        <v>46142</v>
      </c>
      <c r="E399" s="24" t="s">
        <v>1512</v>
      </c>
      <c r="F399" s="24" t="s">
        <v>1513</v>
      </c>
      <c r="G399" s="24" t="s">
        <v>1514</v>
      </c>
      <c r="H399" s="199">
        <v>88750</v>
      </c>
      <c r="I399" s="115"/>
      <c r="J399" s="201"/>
      <c r="K399" s="202"/>
      <c r="L399" s="162"/>
    </row>
    <row r="400" spans="2:12">
      <c r="B400" s="22">
        <v>385</v>
      </c>
      <c r="C400" s="76">
        <v>46142</v>
      </c>
      <c r="D400" s="76">
        <v>46142</v>
      </c>
      <c r="E400" s="24" t="s">
        <v>1515</v>
      </c>
      <c r="F400" s="24" t="s">
        <v>1516</v>
      </c>
      <c r="G400" s="24" t="s">
        <v>1517</v>
      </c>
      <c r="H400" s="199">
        <v>90500</v>
      </c>
      <c r="I400" s="115"/>
      <c r="J400" s="201"/>
      <c r="K400" s="202"/>
      <c r="L400" s="162"/>
    </row>
    <row r="401" spans="2:12">
      <c r="B401" s="22">
        <v>386</v>
      </c>
      <c r="C401" s="76">
        <v>46142</v>
      </c>
      <c r="D401" s="76">
        <v>46142</v>
      </c>
      <c r="E401" s="24" t="s">
        <v>1518</v>
      </c>
      <c r="F401" s="24" t="s">
        <v>1519</v>
      </c>
      <c r="G401" s="24" t="s">
        <v>1520</v>
      </c>
      <c r="H401" s="199">
        <v>91300</v>
      </c>
      <c r="I401" s="115"/>
      <c r="J401" s="201"/>
      <c r="K401" s="202"/>
      <c r="L401" s="162"/>
    </row>
    <row r="402" spans="2:12">
      <c r="B402" s="22">
        <v>387</v>
      </c>
      <c r="C402" s="76">
        <v>46142</v>
      </c>
      <c r="D402" s="76">
        <v>46142</v>
      </c>
      <c r="E402" s="24" t="s">
        <v>1521</v>
      </c>
      <c r="F402" s="24" t="s">
        <v>1522</v>
      </c>
      <c r="G402" s="24" t="s">
        <v>1523</v>
      </c>
      <c r="H402" s="199">
        <v>93250.95</v>
      </c>
      <c r="I402" s="115"/>
      <c r="J402" s="201"/>
      <c r="K402" s="202"/>
      <c r="L402" s="162"/>
    </row>
    <row r="403" spans="2:12">
      <c r="B403" s="22">
        <v>388</v>
      </c>
      <c r="C403" s="76">
        <v>46142</v>
      </c>
      <c r="D403" s="76">
        <v>46142</v>
      </c>
      <c r="E403" s="24" t="s">
        <v>1524</v>
      </c>
      <c r="F403" s="24" t="s">
        <v>1525</v>
      </c>
      <c r="G403" s="24" t="s">
        <v>1526</v>
      </c>
      <c r="H403" s="199">
        <v>93900</v>
      </c>
      <c r="I403" s="115"/>
      <c r="J403" s="201"/>
      <c r="K403" s="202"/>
      <c r="L403" s="162"/>
    </row>
    <row r="404" spans="2:12">
      <c r="B404" s="22">
        <v>389</v>
      </c>
      <c r="C404" s="76">
        <v>46142</v>
      </c>
      <c r="D404" s="76">
        <v>46142</v>
      </c>
      <c r="E404" s="24" t="s">
        <v>1527</v>
      </c>
      <c r="F404" s="24" t="s">
        <v>1528</v>
      </c>
      <c r="G404" s="24" t="s">
        <v>1529</v>
      </c>
      <c r="H404" s="199">
        <v>94506.13</v>
      </c>
      <c r="I404" s="115"/>
      <c r="J404" s="201"/>
      <c r="K404" s="202"/>
      <c r="L404" s="162"/>
    </row>
    <row r="405" spans="2:12">
      <c r="B405" s="22">
        <v>390</v>
      </c>
      <c r="C405" s="76">
        <v>46142</v>
      </c>
      <c r="D405" s="76">
        <v>46142</v>
      </c>
      <c r="E405" s="24" t="s">
        <v>1530</v>
      </c>
      <c r="F405" s="24" t="s">
        <v>1531</v>
      </c>
      <c r="G405" s="24" t="s">
        <v>1532</v>
      </c>
      <c r="H405" s="199">
        <v>95500</v>
      </c>
      <c r="I405" s="115"/>
      <c r="J405" s="201"/>
      <c r="K405" s="202"/>
      <c r="L405" s="162"/>
    </row>
    <row r="406" spans="2:12">
      <c r="B406" s="22">
        <v>391</v>
      </c>
      <c r="C406" s="76">
        <v>46142</v>
      </c>
      <c r="D406" s="76">
        <v>46142</v>
      </c>
      <c r="E406" s="24" t="s">
        <v>1533</v>
      </c>
      <c r="F406" s="24" t="s">
        <v>1534</v>
      </c>
      <c r="G406" s="24" t="s">
        <v>1535</v>
      </c>
      <c r="H406" s="199">
        <v>100215</v>
      </c>
      <c r="I406" s="115"/>
      <c r="J406" s="201"/>
      <c r="K406" s="202"/>
      <c r="L406" s="162"/>
    </row>
    <row r="407" spans="2:12">
      <c r="B407" s="22">
        <v>392</v>
      </c>
      <c r="C407" s="76">
        <v>46142</v>
      </c>
      <c r="D407" s="76">
        <v>46142</v>
      </c>
      <c r="E407" s="24" t="s">
        <v>1536</v>
      </c>
      <c r="F407" s="24" t="s">
        <v>1537</v>
      </c>
      <c r="G407" s="24" t="s">
        <v>1538</v>
      </c>
      <c r="H407" s="199">
        <v>101500</v>
      </c>
      <c r="I407" s="115"/>
      <c r="J407" s="201"/>
      <c r="K407" s="202"/>
      <c r="L407" s="162"/>
    </row>
    <row r="408" spans="2:12">
      <c r="B408" s="22">
        <v>393</v>
      </c>
      <c r="C408" s="76">
        <v>46142</v>
      </c>
      <c r="D408" s="76">
        <v>46142</v>
      </c>
      <c r="E408" s="24" t="s">
        <v>1539</v>
      </c>
      <c r="F408" s="24" t="s">
        <v>1540</v>
      </c>
      <c r="G408" s="24" t="s">
        <v>1541</v>
      </c>
      <c r="H408" s="199">
        <v>102000</v>
      </c>
      <c r="I408" s="115"/>
      <c r="J408" s="201"/>
      <c r="K408" s="202"/>
      <c r="L408" s="162"/>
    </row>
    <row r="409" spans="2:12">
      <c r="B409" s="22">
        <v>394</v>
      </c>
      <c r="C409" s="76">
        <v>46142</v>
      </c>
      <c r="D409" s="76">
        <v>46142</v>
      </c>
      <c r="E409" s="24" t="s">
        <v>1542</v>
      </c>
      <c r="F409" s="24" t="s">
        <v>1543</v>
      </c>
      <c r="G409" s="24" t="s">
        <v>1544</v>
      </c>
      <c r="H409" s="199">
        <v>104900</v>
      </c>
      <c r="I409" s="115"/>
      <c r="J409" s="201"/>
      <c r="K409" s="202"/>
      <c r="L409" s="162"/>
    </row>
    <row r="410" spans="2:12">
      <c r="B410" s="22">
        <v>395</v>
      </c>
      <c r="C410" s="76">
        <v>46142</v>
      </c>
      <c r="D410" s="76">
        <v>46142</v>
      </c>
      <c r="E410" s="24" t="s">
        <v>1545</v>
      </c>
      <c r="F410" s="24" t="s">
        <v>1546</v>
      </c>
      <c r="G410" s="24" t="s">
        <v>1547</v>
      </c>
      <c r="H410" s="199">
        <v>105900</v>
      </c>
      <c r="I410" s="115"/>
      <c r="J410" s="201"/>
      <c r="K410" s="202"/>
      <c r="L410" s="162"/>
    </row>
    <row r="411" spans="2:12">
      <c r="B411" s="22">
        <v>396</v>
      </c>
      <c r="C411" s="76">
        <v>46142</v>
      </c>
      <c r="D411" s="76">
        <v>46142</v>
      </c>
      <c r="E411" s="24" t="s">
        <v>1548</v>
      </c>
      <c r="F411" s="24" t="s">
        <v>1549</v>
      </c>
      <c r="G411" s="24" t="s">
        <v>1550</v>
      </c>
      <c r="H411" s="199">
        <v>109700</v>
      </c>
      <c r="I411" s="115"/>
      <c r="J411" s="201"/>
      <c r="K411" s="202"/>
      <c r="L411" s="162"/>
    </row>
    <row r="412" spans="2:12">
      <c r="B412" s="22">
        <v>397</v>
      </c>
      <c r="C412" s="76">
        <v>46142</v>
      </c>
      <c r="D412" s="76">
        <v>46142</v>
      </c>
      <c r="E412" s="24" t="s">
        <v>1551</v>
      </c>
      <c r="F412" s="24" t="s">
        <v>1552</v>
      </c>
      <c r="G412" s="24" t="s">
        <v>1553</v>
      </c>
      <c r="H412" s="199">
        <v>110000</v>
      </c>
      <c r="I412" s="115"/>
      <c r="J412" s="201"/>
      <c r="K412" s="202"/>
      <c r="L412" s="162"/>
    </row>
    <row r="413" spans="2:12">
      <c r="B413" s="22">
        <v>398</v>
      </c>
      <c r="C413" s="76">
        <v>46142</v>
      </c>
      <c r="D413" s="76">
        <v>46142</v>
      </c>
      <c r="E413" s="24" t="s">
        <v>1141</v>
      </c>
      <c r="F413" s="24" t="s">
        <v>1554</v>
      </c>
      <c r="G413" s="24" t="s">
        <v>1555</v>
      </c>
      <c r="H413" s="199">
        <v>110000</v>
      </c>
      <c r="I413" s="115"/>
      <c r="J413" s="201"/>
      <c r="K413" s="202"/>
      <c r="L413" s="162"/>
    </row>
    <row r="414" spans="2:12">
      <c r="B414" s="22">
        <v>399</v>
      </c>
      <c r="C414" s="76">
        <v>46142</v>
      </c>
      <c r="D414" s="76">
        <v>46142</v>
      </c>
      <c r="E414" s="24" t="s">
        <v>1556</v>
      </c>
      <c r="F414" s="24" t="s">
        <v>1557</v>
      </c>
      <c r="G414" s="24" t="s">
        <v>1558</v>
      </c>
      <c r="H414" s="199">
        <v>115200</v>
      </c>
      <c r="I414" s="115"/>
      <c r="J414" s="201"/>
      <c r="K414" s="202"/>
      <c r="L414" s="162"/>
    </row>
    <row r="415" spans="2:12">
      <c r="B415" s="22">
        <v>400</v>
      </c>
      <c r="C415" s="76">
        <v>46142</v>
      </c>
      <c r="D415" s="76">
        <v>46142</v>
      </c>
      <c r="E415" s="24" t="s">
        <v>1559</v>
      </c>
      <c r="F415" s="24" t="s">
        <v>1560</v>
      </c>
      <c r="G415" s="24" t="s">
        <v>1561</v>
      </c>
      <c r="H415" s="199">
        <v>115200</v>
      </c>
      <c r="I415" s="115"/>
      <c r="J415" s="201"/>
      <c r="K415" s="202"/>
      <c r="L415" s="162"/>
    </row>
    <row r="416" spans="2:12">
      <c r="B416" s="22">
        <v>401</v>
      </c>
      <c r="C416" s="76">
        <v>46142</v>
      </c>
      <c r="D416" s="76">
        <v>46142</v>
      </c>
      <c r="E416" s="24" t="s">
        <v>1562</v>
      </c>
      <c r="F416" s="24" t="s">
        <v>1563</v>
      </c>
      <c r="G416" s="24" t="s">
        <v>1564</v>
      </c>
      <c r="H416" s="199">
        <v>116000</v>
      </c>
      <c r="I416" s="115"/>
      <c r="J416" s="201"/>
      <c r="K416" s="202"/>
      <c r="L416" s="162"/>
    </row>
    <row r="417" spans="2:12">
      <c r="B417" s="22">
        <v>402</v>
      </c>
      <c r="C417" s="76">
        <v>46142</v>
      </c>
      <c r="D417" s="76">
        <v>46142</v>
      </c>
      <c r="E417" s="24" t="s">
        <v>1565</v>
      </c>
      <c r="F417" s="24" t="s">
        <v>1566</v>
      </c>
      <c r="G417" s="24" t="s">
        <v>1567</v>
      </c>
      <c r="H417" s="199">
        <v>118500</v>
      </c>
      <c r="I417" s="115"/>
      <c r="J417" s="201"/>
      <c r="K417" s="202"/>
      <c r="L417" s="162"/>
    </row>
    <row r="418" spans="2:12">
      <c r="B418" s="22">
        <v>403</v>
      </c>
      <c r="C418" s="76">
        <v>46142</v>
      </c>
      <c r="D418" s="76">
        <v>46142</v>
      </c>
      <c r="E418" s="24" t="s">
        <v>1568</v>
      </c>
      <c r="F418" s="24" t="s">
        <v>1569</v>
      </c>
      <c r="G418" s="24" t="s">
        <v>1570</v>
      </c>
      <c r="H418" s="199">
        <v>118730</v>
      </c>
      <c r="I418" s="115"/>
      <c r="J418" s="201"/>
      <c r="K418" s="202"/>
      <c r="L418" s="162"/>
    </row>
    <row r="419" spans="2:12">
      <c r="B419" s="22">
        <v>404</v>
      </c>
      <c r="C419" s="76">
        <v>46142</v>
      </c>
      <c r="D419" s="76">
        <v>46142</v>
      </c>
      <c r="E419" s="24" t="s">
        <v>1571</v>
      </c>
      <c r="F419" s="24" t="s">
        <v>1572</v>
      </c>
      <c r="G419" s="24" t="s">
        <v>1573</v>
      </c>
      <c r="H419" s="199">
        <v>119200</v>
      </c>
      <c r="I419" s="115"/>
      <c r="J419" s="201"/>
      <c r="K419" s="202"/>
      <c r="L419" s="162"/>
    </row>
    <row r="420" spans="2:12">
      <c r="B420" s="22">
        <v>405</v>
      </c>
      <c r="C420" s="76">
        <v>46142</v>
      </c>
      <c r="D420" s="76">
        <v>46142</v>
      </c>
      <c r="E420" s="24" t="s">
        <v>1574</v>
      </c>
      <c r="F420" s="24" t="s">
        <v>1575</v>
      </c>
      <c r="G420" s="24" t="s">
        <v>1576</v>
      </c>
      <c r="H420" s="199">
        <v>119300</v>
      </c>
      <c r="I420" s="115"/>
      <c r="J420" s="201"/>
      <c r="K420" s="202"/>
      <c r="L420" s="162"/>
    </row>
    <row r="421" spans="2:12">
      <c r="B421" s="22">
        <v>406</v>
      </c>
      <c r="C421" s="76">
        <v>46142</v>
      </c>
      <c r="D421" s="76">
        <v>46142</v>
      </c>
      <c r="E421" s="24" t="s">
        <v>1577</v>
      </c>
      <c r="F421" s="24" t="s">
        <v>1578</v>
      </c>
      <c r="G421" s="24" t="s">
        <v>1579</v>
      </c>
      <c r="H421" s="199">
        <v>120000</v>
      </c>
      <c r="I421" s="115"/>
      <c r="J421" s="201"/>
      <c r="K421" s="202"/>
      <c r="L421" s="162"/>
    </row>
    <row r="422" spans="2:12">
      <c r="B422" s="22">
        <v>407</v>
      </c>
      <c r="C422" s="76">
        <v>46142</v>
      </c>
      <c r="D422" s="76">
        <v>46142</v>
      </c>
      <c r="E422" s="24" t="s">
        <v>1580</v>
      </c>
      <c r="F422" s="24" t="s">
        <v>1581</v>
      </c>
      <c r="G422" s="24" t="s">
        <v>1582</v>
      </c>
      <c r="H422" s="199">
        <v>120000</v>
      </c>
      <c r="I422" s="115"/>
      <c r="J422" s="201"/>
      <c r="K422" s="202"/>
      <c r="L422" s="162"/>
    </row>
    <row r="423" spans="2:12">
      <c r="B423" s="22">
        <v>408</v>
      </c>
      <c r="C423" s="76">
        <v>46142</v>
      </c>
      <c r="D423" s="76">
        <v>46142</v>
      </c>
      <c r="E423" s="24" t="s">
        <v>1583</v>
      </c>
      <c r="F423" s="24" t="s">
        <v>1584</v>
      </c>
      <c r="G423" s="24" t="s">
        <v>1585</v>
      </c>
      <c r="H423" s="199">
        <v>123850</v>
      </c>
      <c r="I423" s="115"/>
      <c r="J423" s="201"/>
      <c r="K423" s="202"/>
      <c r="L423" s="162"/>
    </row>
    <row r="424" spans="2:12">
      <c r="B424" s="22">
        <v>409</v>
      </c>
      <c r="C424" s="76">
        <v>46142</v>
      </c>
      <c r="D424" s="76">
        <v>46142</v>
      </c>
      <c r="E424" s="24" t="s">
        <v>1586</v>
      </c>
      <c r="F424" s="24" t="s">
        <v>1587</v>
      </c>
      <c r="G424" s="24" t="s">
        <v>1588</v>
      </c>
      <c r="H424" s="199">
        <v>129585.36</v>
      </c>
      <c r="I424" s="115"/>
      <c r="J424" s="201"/>
      <c r="K424" s="202"/>
      <c r="L424" s="162"/>
    </row>
    <row r="425" spans="2:12">
      <c r="B425" s="22">
        <v>410</v>
      </c>
      <c r="C425" s="76">
        <v>46142</v>
      </c>
      <c r="D425" s="76">
        <v>46142</v>
      </c>
      <c r="E425" s="24" t="s">
        <v>1589</v>
      </c>
      <c r="F425" s="24" t="s">
        <v>1590</v>
      </c>
      <c r="G425" s="24" t="s">
        <v>1591</v>
      </c>
      <c r="H425" s="199">
        <v>129600.9</v>
      </c>
      <c r="I425" s="115"/>
      <c r="J425" s="201"/>
      <c r="K425" s="202"/>
      <c r="L425" s="162"/>
    </row>
    <row r="426" spans="2:12">
      <c r="B426" s="22">
        <v>411</v>
      </c>
      <c r="C426" s="76">
        <v>46142</v>
      </c>
      <c r="D426" s="76">
        <v>46142</v>
      </c>
      <c r="E426" s="24" t="s">
        <v>1592</v>
      </c>
      <c r="F426" s="24" t="s">
        <v>1593</v>
      </c>
      <c r="G426" s="24" t="s">
        <v>1594</v>
      </c>
      <c r="H426" s="199">
        <v>135750</v>
      </c>
      <c r="I426" s="115"/>
      <c r="J426" s="201"/>
      <c r="K426" s="202"/>
      <c r="L426" s="162"/>
    </row>
    <row r="427" spans="2:12">
      <c r="B427" s="22">
        <v>412</v>
      </c>
      <c r="C427" s="76">
        <v>46142</v>
      </c>
      <c r="D427" s="76">
        <v>46142</v>
      </c>
      <c r="E427" s="24" t="s">
        <v>1595</v>
      </c>
      <c r="F427" s="24" t="s">
        <v>1596</v>
      </c>
      <c r="G427" s="24" t="s">
        <v>1597</v>
      </c>
      <c r="H427" s="199">
        <v>138000</v>
      </c>
      <c r="I427" s="115"/>
      <c r="J427" s="201"/>
      <c r="K427" s="202"/>
      <c r="L427" s="162"/>
    </row>
    <row r="428" spans="2:12">
      <c r="B428" s="22">
        <v>413</v>
      </c>
      <c r="C428" s="76">
        <v>46142</v>
      </c>
      <c r="D428" s="76">
        <v>46142</v>
      </c>
      <c r="E428" s="24" t="s">
        <v>1598</v>
      </c>
      <c r="F428" s="24" t="s">
        <v>1599</v>
      </c>
      <c r="G428" s="24" t="s">
        <v>1600</v>
      </c>
      <c r="H428" s="199">
        <v>138895</v>
      </c>
      <c r="I428" s="115"/>
      <c r="J428" s="201"/>
      <c r="K428" s="202"/>
      <c r="L428" s="162"/>
    </row>
    <row r="429" spans="2:12">
      <c r="B429" s="22">
        <v>414</v>
      </c>
      <c r="C429" s="76">
        <v>46142</v>
      </c>
      <c r="D429" s="76">
        <v>46142</v>
      </c>
      <c r="E429" s="24" t="s">
        <v>1601</v>
      </c>
      <c r="F429" s="24" t="s">
        <v>1602</v>
      </c>
      <c r="G429" s="24" t="s">
        <v>1603</v>
      </c>
      <c r="H429" s="199">
        <v>139200</v>
      </c>
      <c r="I429" s="115"/>
      <c r="J429" s="201"/>
      <c r="K429" s="202"/>
      <c r="L429" s="162"/>
    </row>
    <row r="430" spans="2:12">
      <c r="B430" s="22">
        <v>415</v>
      </c>
      <c r="C430" s="76">
        <v>46142</v>
      </c>
      <c r="D430" s="76">
        <v>46142</v>
      </c>
      <c r="E430" s="24" t="s">
        <v>1604</v>
      </c>
      <c r="F430" s="24" t="s">
        <v>1605</v>
      </c>
      <c r="G430" s="24" t="s">
        <v>1606</v>
      </c>
      <c r="H430" s="199">
        <v>139249.44</v>
      </c>
      <c r="I430" s="115"/>
      <c r="J430" s="201"/>
      <c r="K430" s="202"/>
      <c r="L430" s="162"/>
    </row>
    <row r="431" spans="2:12">
      <c r="B431" s="22">
        <v>416</v>
      </c>
      <c r="C431" s="76">
        <v>46142</v>
      </c>
      <c r="D431" s="76">
        <v>46142</v>
      </c>
      <c r="E431" s="24" t="s">
        <v>1607</v>
      </c>
      <c r="F431" s="24" t="s">
        <v>1608</v>
      </c>
      <c r="G431" s="24" t="s">
        <v>1609</v>
      </c>
      <c r="H431" s="199">
        <v>139612</v>
      </c>
      <c r="I431" s="115"/>
      <c r="J431" s="201"/>
      <c r="K431" s="202"/>
      <c r="L431" s="162"/>
    </row>
    <row r="432" spans="2:12">
      <c r="B432" s="22">
        <v>417</v>
      </c>
      <c r="C432" s="76">
        <v>46142</v>
      </c>
      <c r="D432" s="76">
        <v>46142</v>
      </c>
      <c r="E432" s="24" t="s">
        <v>1610</v>
      </c>
      <c r="F432" s="24" t="s">
        <v>1611</v>
      </c>
      <c r="G432" s="24" t="s">
        <v>1612</v>
      </c>
      <c r="H432" s="199">
        <v>147200</v>
      </c>
      <c r="I432" s="115"/>
      <c r="J432" s="201"/>
      <c r="K432" s="202"/>
      <c r="L432" s="162"/>
    </row>
    <row r="433" spans="2:12">
      <c r="B433" s="22">
        <v>418</v>
      </c>
      <c r="C433" s="76">
        <v>46142</v>
      </c>
      <c r="D433" s="76">
        <v>46142</v>
      </c>
      <c r="E433" s="24" t="s">
        <v>1613</v>
      </c>
      <c r="F433" s="24" t="s">
        <v>1614</v>
      </c>
      <c r="G433" s="24" t="s">
        <v>1615</v>
      </c>
      <c r="H433" s="199">
        <v>149000</v>
      </c>
      <c r="I433" s="115"/>
      <c r="J433" s="201"/>
      <c r="K433" s="202"/>
      <c r="L433" s="162"/>
    </row>
    <row r="434" spans="2:12">
      <c r="B434" s="22">
        <v>419</v>
      </c>
      <c r="C434" s="76">
        <v>46142</v>
      </c>
      <c r="D434" s="76">
        <v>46142</v>
      </c>
      <c r="E434" s="24" t="s">
        <v>1616</v>
      </c>
      <c r="F434" s="24" t="s">
        <v>1617</v>
      </c>
      <c r="G434" s="24" t="s">
        <v>1618</v>
      </c>
      <c r="H434" s="199">
        <v>150105.20000000001</v>
      </c>
      <c r="I434" s="115"/>
      <c r="J434" s="201"/>
      <c r="K434" s="202"/>
      <c r="L434" s="162"/>
    </row>
    <row r="435" spans="2:12">
      <c r="B435" s="22">
        <v>420</v>
      </c>
      <c r="C435" s="76">
        <v>46142</v>
      </c>
      <c r="D435" s="76">
        <v>46142</v>
      </c>
      <c r="E435" s="24" t="s">
        <v>1619</v>
      </c>
      <c r="F435" s="24" t="s">
        <v>1620</v>
      </c>
      <c r="G435" s="24" t="s">
        <v>1621</v>
      </c>
      <c r="H435" s="199">
        <v>150375</v>
      </c>
      <c r="I435" s="115"/>
      <c r="J435" s="201"/>
      <c r="K435" s="202"/>
      <c r="L435" s="162"/>
    </row>
    <row r="436" spans="2:12">
      <c r="B436" s="22">
        <v>421</v>
      </c>
      <c r="C436" s="76">
        <v>46142</v>
      </c>
      <c r="D436" s="76">
        <v>46142</v>
      </c>
      <c r="E436" s="24" t="s">
        <v>1622</v>
      </c>
      <c r="F436" s="24" t="s">
        <v>1623</v>
      </c>
      <c r="G436" s="24" t="s">
        <v>1624</v>
      </c>
      <c r="H436" s="199">
        <v>153400</v>
      </c>
      <c r="I436" s="115"/>
      <c r="J436" s="201"/>
      <c r="K436" s="202"/>
      <c r="L436" s="162"/>
    </row>
    <row r="437" spans="2:12">
      <c r="B437" s="22">
        <v>422</v>
      </c>
      <c r="C437" s="76">
        <v>46142</v>
      </c>
      <c r="D437" s="76">
        <v>46142</v>
      </c>
      <c r="E437" s="24" t="s">
        <v>1625</v>
      </c>
      <c r="F437" s="24" t="s">
        <v>1626</v>
      </c>
      <c r="G437" s="24" t="s">
        <v>1627</v>
      </c>
      <c r="H437" s="199">
        <v>160280</v>
      </c>
      <c r="I437" s="115"/>
      <c r="J437" s="201"/>
      <c r="K437" s="202"/>
      <c r="L437" s="162"/>
    </row>
    <row r="438" spans="2:12">
      <c r="B438" s="22">
        <v>423</v>
      </c>
      <c r="C438" s="76">
        <v>46142</v>
      </c>
      <c r="D438" s="76">
        <v>46142</v>
      </c>
      <c r="E438" s="24" t="s">
        <v>1628</v>
      </c>
      <c r="F438" s="24" t="s">
        <v>1629</v>
      </c>
      <c r="G438" s="24" t="s">
        <v>1630</v>
      </c>
      <c r="H438" s="199">
        <v>161653</v>
      </c>
      <c r="I438" s="115"/>
      <c r="J438" s="201"/>
      <c r="K438" s="202"/>
      <c r="L438" s="162"/>
    </row>
    <row r="439" spans="2:12">
      <c r="B439" s="22">
        <v>424</v>
      </c>
      <c r="C439" s="76">
        <v>46142</v>
      </c>
      <c r="D439" s="76">
        <v>46142</v>
      </c>
      <c r="E439" s="24" t="s">
        <v>1631</v>
      </c>
      <c r="F439" s="24" t="s">
        <v>1632</v>
      </c>
      <c r="G439" s="24" t="s">
        <v>1633</v>
      </c>
      <c r="H439" s="199">
        <v>161800</v>
      </c>
      <c r="I439" s="115"/>
      <c r="J439" s="201"/>
      <c r="K439" s="202"/>
      <c r="L439" s="162"/>
    </row>
    <row r="440" spans="2:12">
      <c r="B440" s="22">
        <v>425</v>
      </c>
      <c r="C440" s="76">
        <v>46142</v>
      </c>
      <c r="D440" s="76">
        <v>46142</v>
      </c>
      <c r="E440" s="24" t="s">
        <v>348</v>
      </c>
      <c r="F440" s="24" t="s">
        <v>1634</v>
      </c>
      <c r="G440" s="24" t="s">
        <v>1635</v>
      </c>
      <c r="H440" s="199">
        <v>162000</v>
      </c>
      <c r="I440" s="115"/>
      <c r="J440" s="201"/>
      <c r="K440" s="202"/>
      <c r="L440" s="162"/>
    </row>
    <row r="441" spans="2:12">
      <c r="B441" s="22">
        <v>426</v>
      </c>
      <c r="C441" s="76">
        <v>46142</v>
      </c>
      <c r="D441" s="76">
        <v>46142</v>
      </c>
      <c r="E441" s="24" t="s">
        <v>1636</v>
      </c>
      <c r="F441" s="24" t="s">
        <v>1637</v>
      </c>
      <c r="G441" s="24" t="s">
        <v>1638</v>
      </c>
      <c r="H441" s="199">
        <v>177164.65</v>
      </c>
      <c r="I441" s="115"/>
      <c r="J441" s="201"/>
      <c r="K441" s="202"/>
      <c r="L441" s="162"/>
    </row>
    <row r="442" spans="2:12">
      <c r="B442" s="22">
        <v>427</v>
      </c>
      <c r="C442" s="76">
        <v>46142</v>
      </c>
      <c r="D442" s="76">
        <v>46142</v>
      </c>
      <c r="E442" s="24" t="s">
        <v>1639</v>
      </c>
      <c r="F442" s="24" t="s">
        <v>1640</v>
      </c>
      <c r="G442" s="24" t="s">
        <v>1641</v>
      </c>
      <c r="H442" s="199">
        <v>178200</v>
      </c>
      <c r="I442" s="115"/>
      <c r="J442" s="201"/>
      <c r="K442" s="202"/>
      <c r="L442" s="162"/>
    </row>
    <row r="443" spans="2:12">
      <c r="B443" s="22">
        <v>428</v>
      </c>
      <c r="C443" s="76">
        <v>46142</v>
      </c>
      <c r="D443" s="76">
        <v>46142</v>
      </c>
      <c r="E443" s="24" t="s">
        <v>1642</v>
      </c>
      <c r="F443" s="24" t="s">
        <v>1643</v>
      </c>
      <c r="G443" s="24" t="s">
        <v>1644</v>
      </c>
      <c r="H443" s="199">
        <v>182000</v>
      </c>
      <c r="I443" s="115"/>
      <c r="J443" s="201"/>
      <c r="K443" s="202"/>
      <c r="L443" s="162"/>
    </row>
    <row r="444" spans="2:12">
      <c r="B444" s="22">
        <v>429</v>
      </c>
      <c r="C444" s="76">
        <v>46142</v>
      </c>
      <c r="D444" s="76">
        <v>46142</v>
      </c>
      <c r="E444" s="24" t="s">
        <v>1645</v>
      </c>
      <c r="F444" s="24" t="s">
        <v>1646</v>
      </c>
      <c r="G444" s="24" t="s">
        <v>1647</v>
      </c>
      <c r="H444" s="199">
        <v>184000</v>
      </c>
      <c r="I444" s="115"/>
      <c r="J444" s="201"/>
      <c r="K444" s="202"/>
      <c r="L444" s="162"/>
    </row>
    <row r="445" spans="2:12">
      <c r="B445" s="22">
        <v>430</v>
      </c>
      <c r="C445" s="76">
        <v>46142</v>
      </c>
      <c r="D445" s="76">
        <v>46142</v>
      </c>
      <c r="E445" s="24" t="s">
        <v>1648</v>
      </c>
      <c r="F445" s="24" t="s">
        <v>1649</v>
      </c>
      <c r="G445" s="24" t="s">
        <v>1650</v>
      </c>
      <c r="H445" s="199">
        <v>186000</v>
      </c>
      <c r="I445" s="115"/>
      <c r="J445" s="201"/>
      <c r="K445" s="202"/>
      <c r="L445" s="162"/>
    </row>
    <row r="446" spans="2:12">
      <c r="B446" s="22">
        <v>431</v>
      </c>
      <c r="C446" s="76">
        <v>46142</v>
      </c>
      <c r="D446" s="76">
        <v>46142</v>
      </c>
      <c r="E446" s="24" t="s">
        <v>393</v>
      </c>
      <c r="F446" s="24" t="s">
        <v>1651</v>
      </c>
      <c r="G446" s="24" t="s">
        <v>1652</v>
      </c>
      <c r="H446" s="199">
        <v>186000</v>
      </c>
      <c r="I446" s="115"/>
      <c r="J446" s="201"/>
      <c r="K446" s="202"/>
      <c r="L446" s="162"/>
    </row>
    <row r="447" spans="2:12">
      <c r="B447" s="22">
        <v>432</v>
      </c>
      <c r="C447" s="76">
        <v>46142</v>
      </c>
      <c r="D447" s="76">
        <v>46142</v>
      </c>
      <c r="E447" s="24" t="s">
        <v>1653</v>
      </c>
      <c r="F447" s="24" t="s">
        <v>1654</v>
      </c>
      <c r="G447" s="24" t="s">
        <v>1655</v>
      </c>
      <c r="H447" s="199">
        <v>186000</v>
      </c>
      <c r="I447" s="115"/>
      <c r="J447" s="201"/>
      <c r="K447" s="202"/>
      <c r="L447" s="162"/>
    </row>
    <row r="448" spans="2:12">
      <c r="B448" s="22">
        <v>433</v>
      </c>
      <c r="C448" s="76">
        <v>46142</v>
      </c>
      <c r="D448" s="76">
        <v>46142</v>
      </c>
      <c r="E448" s="24" t="s">
        <v>1656</v>
      </c>
      <c r="F448" s="24" t="s">
        <v>1657</v>
      </c>
      <c r="G448" s="24" t="s">
        <v>1658</v>
      </c>
      <c r="H448" s="199">
        <v>190000</v>
      </c>
      <c r="I448" s="115"/>
      <c r="J448" s="201"/>
      <c r="K448" s="202"/>
      <c r="L448" s="162"/>
    </row>
    <row r="449" spans="2:12">
      <c r="B449" s="22">
        <v>434</v>
      </c>
      <c r="C449" s="76">
        <v>46142</v>
      </c>
      <c r="D449" s="76">
        <v>46142</v>
      </c>
      <c r="E449" s="24" t="s">
        <v>1659</v>
      </c>
      <c r="F449" s="24" t="s">
        <v>1660</v>
      </c>
      <c r="G449" s="24" t="s">
        <v>1661</v>
      </c>
      <c r="H449" s="199">
        <v>191700</v>
      </c>
      <c r="I449" s="115"/>
      <c r="J449" s="201"/>
      <c r="K449" s="202"/>
      <c r="L449" s="162"/>
    </row>
    <row r="450" spans="2:12">
      <c r="B450" s="22">
        <v>435</v>
      </c>
      <c r="C450" s="76">
        <v>46142</v>
      </c>
      <c r="D450" s="76">
        <v>46142</v>
      </c>
      <c r="E450" s="24" t="s">
        <v>1662</v>
      </c>
      <c r="F450" s="24" t="s">
        <v>1663</v>
      </c>
      <c r="G450" s="24" t="s">
        <v>1664</v>
      </c>
      <c r="H450" s="199">
        <v>195000</v>
      </c>
      <c r="I450" s="115"/>
      <c r="J450" s="201"/>
      <c r="K450" s="202"/>
      <c r="L450" s="162"/>
    </row>
    <row r="451" spans="2:12">
      <c r="B451" s="22">
        <v>436</v>
      </c>
      <c r="C451" s="76">
        <v>46142</v>
      </c>
      <c r="D451" s="76">
        <v>46142</v>
      </c>
      <c r="E451" s="24" t="s">
        <v>1665</v>
      </c>
      <c r="F451" s="24" t="s">
        <v>1666</v>
      </c>
      <c r="G451" s="24" t="s">
        <v>1667</v>
      </c>
      <c r="H451" s="199">
        <v>200000</v>
      </c>
      <c r="I451" s="115"/>
      <c r="J451" s="201"/>
      <c r="K451" s="202"/>
      <c r="L451" s="162"/>
    </row>
    <row r="452" spans="2:12">
      <c r="B452" s="22">
        <v>437</v>
      </c>
      <c r="C452" s="76">
        <v>46142</v>
      </c>
      <c r="D452" s="76">
        <v>46142</v>
      </c>
      <c r="E452" s="24" t="s">
        <v>1668</v>
      </c>
      <c r="F452" s="24" t="s">
        <v>1669</v>
      </c>
      <c r="G452" s="24" t="s">
        <v>1670</v>
      </c>
      <c r="H452" s="199">
        <v>209000</v>
      </c>
      <c r="I452" s="115"/>
      <c r="J452" s="201"/>
      <c r="K452" s="202"/>
      <c r="L452" s="162"/>
    </row>
    <row r="453" spans="2:12">
      <c r="B453" s="22">
        <v>438</v>
      </c>
      <c r="C453" s="76">
        <v>46142</v>
      </c>
      <c r="D453" s="76">
        <v>46142</v>
      </c>
      <c r="E453" s="24" t="s">
        <v>1671</v>
      </c>
      <c r="F453" s="24" t="s">
        <v>1672</v>
      </c>
      <c r="G453" s="24" t="s">
        <v>1673</v>
      </c>
      <c r="H453" s="199">
        <v>217000</v>
      </c>
      <c r="I453" s="115"/>
      <c r="J453" s="201"/>
      <c r="K453" s="202"/>
      <c r="L453" s="162"/>
    </row>
    <row r="454" spans="2:12">
      <c r="B454" s="22">
        <v>439</v>
      </c>
      <c r="C454" s="76">
        <v>46142</v>
      </c>
      <c r="D454" s="76">
        <v>46142</v>
      </c>
      <c r="E454" s="24" t="s">
        <v>1674</v>
      </c>
      <c r="F454" s="24" t="s">
        <v>1675</v>
      </c>
      <c r="G454" s="24" t="s">
        <v>1676</v>
      </c>
      <c r="H454" s="199">
        <v>220679</v>
      </c>
      <c r="I454" s="115"/>
      <c r="J454" s="201"/>
      <c r="K454" s="202"/>
      <c r="L454" s="162"/>
    </row>
    <row r="455" spans="2:12">
      <c r="B455" s="22">
        <v>440</v>
      </c>
      <c r="C455" s="76">
        <v>46142</v>
      </c>
      <c r="D455" s="76">
        <v>46142</v>
      </c>
      <c r="E455" s="24" t="s">
        <v>1677</v>
      </c>
      <c r="F455" s="24" t="s">
        <v>394</v>
      </c>
      <c r="G455" s="24" t="s">
        <v>1678</v>
      </c>
      <c r="H455" s="199">
        <v>220850</v>
      </c>
      <c r="I455" s="115"/>
      <c r="J455" s="201"/>
      <c r="K455" s="202"/>
      <c r="L455" s="162"/>
    </row>
    <row r="456" spans="2:12">
      <c r="B456" s="22">
        <v>441</v>
      </c>
      <c r="C456" s="76">
        <v>46142</v>
      </c>
      <c r="D456" s="76">
        <v>46142</v>
      </c>
      <c r="E456" s="24" t="s">
        <v>1679</v>
      </c>
      <c r="F456" s="24" t="s">
        <v>1680</v>
      </c>
      <c r="G456" s="24" t="s">
        <v>1681</v>
      </c>
      <c r="H456" s="199">
        <v>221600</v>
      </c>
      <c r="I456" s="115"/>
      <c r="J456" s="201"/>
      <c r="K456" s="202"/>
      <c r="L456" s="162"/>
    </row>
    <row r="457" spans="2:12">
      <c r="B457" s="22">
        <v>442</v>
      </c>
      <c r="C457" s="76">
        <v>46142</v>
      </c>
      <c r="D457" s="76">
        <v>46142</v>
      </c>
      <c r="E457" s="24" t="s">
        <v>1682</v>
      </c>
      <c r="F457" s="24" t="s">
        <v>1683</v>
      </c>
      <c r="G457" s="24" t="s">
        <v>1684</v>
      </c>
      <c r="H457" s="199">
        <v>225000</v>
      </c>
      <c r="I457" s="115"/>
      <c r="J457" s="201"/>
      <c r="K457" s="202"/>
      <c r="L457" s="162"/>
    </row>
    <row r="458" spans="2:12">
      <c r="B458" s="22">
        <v>443</v>
      </c>
      <c r="C458" s="76">
        <v>46142</v>
      </c>
      <c r="D458" s="76">
        <v>46142</v>
      </c>
      <c r="E458" s="24" t="s">
        <v>1685</v>
      </c>
      <c r="F458" s="24" t="s">
        <v>1686</v>
      </c>
      <c r="G458" s="24" t="s">
        <v>1687</v>
      </c>
      <c r="H458" s="199">
        <v>228000</v>
      </c>
      <c r="I458" s="115"/>
      <c r="J458" s="201"/>
      <c r="K458" s="202"/>
      <c r="L458" s="162"/>
    </row>
    <row r="459" spans="2:12">
      <c r="B459" s="22">
        <v>444</v>
      </c>
      <c r="C459" s="76">
        <v>46142</v>
      </c>
      <c r="D459" s="76">
        <v>46142</v>
      </c>
      <c r="E459" s="24" t="s">
        <v>1688</v>
      </c>
      <c r="F459" s="24" t="s">
        <v>1689</v>
      </c>
      <c r="G459" s="24" t="s">
        <v>1690</v>
      </c>
      <c r="H459" s="199">
        <v>231000</v>
      </c>
      <c r="I459" s="115"/>
      <c r="J459" s="201"/>
      <c r="K459" s="202"/>
      <c r="L459" s="162"/>
    </row>
    <row r="460" spans="2:12">
      <c r="B460" s="22">
        <v>445</v>
      </c>
      <c r="C460" s="76">
        <v>46142</v>
      </c>
      <c r="D460" s="76">
        <v>46142</v>
      </c>
      <c r="E460" s="24" t="s">
        <v>1691</v>
      </c>
      <c r="F460" s="24" t="s">
        <v>1692</v>
      </c>
      <c r="G460" s="24" t="s">
        <v>1693</v>
      </c>
      <c r="H460" s="199">
        <v>231360</v>
      </c>
      <c r="I460" s="115"/>
      <c r="J460" s="201"/>
      <c r="K460" s="202"/>
      <c r="L460" s="162"/>
    </row>
    <row r="461" spans="2:12">
      <c r="B461" s="22">
        <v>446</v>
      </c>
      <c r="C461" s="76">
        <v>46142</v>
      </c>
      <c r="D461" s="76">
        <v>46142</v>
      </c>
      <c r="E461" s="24" t="s">
        <v>1694</v>
      </c>
      <c r="F461" s="24" t="s">
        <v>1695</v>
      </c>
      <c r="G461" s="24" t="s">
        <v>1696</v>
      </c>
      <c r="H461" s="199">
        <v>237300</v>
      </c>
      <c r="I461" s="115"/>
      <c r="J461" s="201"/>
      <c r="K461" s="202"/>
      <c r="L461" s="162"/>
    </row>
    <row r="462" spans="2:12">
      <c r="B462" s="22">
        <v>447</v>
      </c>
      <c r="C462" s="76">
        <v>46142</v>
      </c>
      <c r="D462" s="76">
        <v>46142</v>
      </c>
      <c r="E462" s="24" t="s">
        <v>1697</v>
      </c>
      <c r="F462" s="24" t="s">
        <v>1698</v>
      </c>
      <c r="G462" s="24" t="s">
        <v>1699</v>
      </c>
      <c r="H462" s="199">
        <v>238837.5</v>
      </c>
      <c r="I462" s="115"/>
      <c r="J462" s="201"/>
      <c r="K462" s="202"/>
      <c r="L462" s="162"/>
    </row>
    <row r="463" spans="2:12">
      <c r="B463" s="22">
        <v>448</v>
      </c>
      <c r="C463" s="76">
        <v>46142</v>
      </c>
      <c r="D463" s="76">
        <v>46142</v>
      </c>
      <c r="E463" s="24" t="s">
        <v>1700</v>
      </c>
      <c r="F463" s="24" t="s">
        <v>1701</v>
      </c>
      <c r="G463" s="24" t="s">
        <v>1702</v>
      </c>
      <c r="H463" s="199">
        <v>246240</v>
      </c>
      <c r="I463" s="115"/>
      <c r="J463" s="201"/>
      <c r="K463" s="202"/>
      <c r="L463" s="162"/>
    </row>
    <row r="464" spans="2:12">
      <c r="B464" s="22">
        <v>449</v>
      </c>
      <c r="C464" s="76">
        <v>46142</v>
      </c>
      <c r="D464" s="76">
        <v>46142</v>
      </c>
      <c r="E464" s="24" t="s">
        <v>1703</v>
      </c>
      <c r="F464" s="24" t="s">
        <v>1704</v>
      </c>
      <c r="G464" s="24" t="s">
        <v>1705</v>
      </c>
      <c r="H464" s="199">
        <v>249150</v>
      </c>
      <c r="I464" s="115"/>
      <c r="J464" s="201"/>
      <c r="K464" s="202"/>
      <c r="L464" s="162"/>
    </row>
    <row r="465" spans="2:12">
      <c r="B465" s="22">
        <v>450</v>
      </c>
      <c r="C465" s="76">
        <v>46142</v>
      </c>
      <c r="D465" s="76">
        <v>46142</v>
      </c>
      <c r="E465" s="24" t="s">
        <v>1706</v>
      </c>
      <c r="F465" s="24" t="s">
        <v>1707</v>
      </c>
      <c r="G465" s="24" t="s">
        <v>1708</v>
      </c>
      <c r="H465" s="199">
        <v>252000</v>
      </c>
      <c r="I465" s="115"/>
      <c r="J465" s="201"/>
      <c r="K465" s="202"/>
      <c r="L465" s="162"/>
    </row>
    <row r="466" spans="2:12">
      <c r="B466" s="22">
        <v>451</v>
      </c>
      <c r="C466" s="76">
        <v>46142</v>
      </c>
      <c r="D466" s="76">
        <v>46142</v>
      </c>
      <c r="E466" s="24" t="s">
        <v>1709</v>
      </c>
      <c r="F466" s="24" t="s">
        <v>1710</v>
      </c>
      <c r="G466" s="24" t="s">
        <v>1711</v>
      </c>
      <c r="H466" s="199">
        <v>260900</v>
      </c>
      <c r="I466" s="115"/>
      <c r="J466" s="201"/>
      <c r="K466" s="202"/>
      <c r="L466" s="162"/>
    </row>
    <row r="467" spans="2:12">
      <c r="B467" s="22">
        <v>452</v>
      </c>
      <c r="C467" s="76">
        <v>46142</v>
      </c>
      <c r="D467" s="76">
        <v>46142</v>
      </c>
      <c r="E467" s="24" t="s">
        <v>1712</v>
      </c>
      <c r="F467" s="24" t="s">
        <v>1713</v>
      </c>
      <c r="G467" s="24" t="s">
        <v>1714</v>
      </c>
      <c r="H467" s="199">
        <v>262000</v>
      </c>
      <c r="I467" s="115"/>
      <c r="J467" s="201"/>
      <c r="K467" s="202"/>
      <c r="L467" s="162"/>
    </row>
    <row r="468" spans="2:12">
      <c r="B468" s="22">
        <v>453</v>
      </c>
      <c r="C468" s="76">
        <v>46142</v>
      </c>
      <c r="D468" s="76">
        <v>46142</v>
      </c>
      <c r="E468" s="24" t="s">
        <v>1715</v>
      </c>
      <c r="F468" s="24" t="s">
        <v>1716</v>
      </c>
      <c r="G468" s="24" t="s">
        <v>1717</v>
      </c>
      <c r="H468" s="199">
        <v>265200</v>
      </c>
      <c r="I468" s="115"/>
      <c r="J468" s="201"/>
      <c r="K468" s="202"/>
      <c r="L468" s="162"/>
    </row>
    <row r="469" spans="2:12">
      <c r="B469" s="22">
        <v>454</v>
      </c>
      <c r="C469" s="76">
        <v>46142</v>
      </c>
      <c r="D469" s="76">
        <v>46142</v>
      </c>
      <c r="E469" s="24" t="s">
        <v>1718</v>
      </c>
      <c r="F469" s="24" t="s">
        <v>1719</v>
      </c>
      <c r="G469" s="24" t="s">
        <v>1720</v>
      </c>
      <c r="H469" s="199">
        <v>267500</v>
      </c>
      <c r="I469" s="115"/>
      <c r="J469" s="201"/>
      <c r="K469" s="202"/>
      <c r="L469" s="162"/>
    </row>
    <row r="470" spans="2:12">
      <c r="B470" s="22">
        <v>455</v>
      </c>
      <c r="C470" s="76">
        <v>46142</v>
      </c>
      <c r="D470" s="76">
        <v>46142</v>
      </c>
      <c r="E470" s="24" t="s">
        <v>1721</v>
      </c>
      <c r="F470" s="24" t="s">
        <v>1722</v>
      </c>
      <c r="G470" s="24" t="s">
        <v>1723</v>
      </c>
      <c r="H470" s="199">
        <v>267872</v>
      </c>
      <c r="I470" s="115"/>
      <c r="J470" s="201"/>
      <c r="K470" s="202"/>
      <c r="L470" s="162"/>
    </row>
    <row r="471" spans="2:12">
      <c r="B471" s="22">
        <v>456</v>
      </c>
      <c r="C471" s="76">
        <v>46142</v>
      </c>
      <c r="D471" s="76">
        <v>46142</v>
      </c>
      <c r="E471" s="24" t="s">
        <v>1724</v>
      </c>
      <c r="F471" s="24" t="s">
        <v>1725</v>
      </c>
      <c r="G471" s="24" t="s">
        <v>1726</v>
      </c>
      <c r="H471" s="199">
        <v>268250</v>
      </c>
      <c r="I471" s="115"/>
      <c r="J471" s="201"/>
      <c r="K471" s="202"/>
      <c r="L471" s="162"/>
    </row>
    <row r="472" spans="2:12">
      <c r="B472" s="22">
        <v>457</v>
      </c>
      <c r="C472" s="76">
        <v>46142</v>
      </c>
      <c r="D472" s="76">
        <v>46142</v>
      </c>
      <c r="E472" s="24" t="s">
        <v>528</v>
      </c>
      <c r="F472" s="24" t="s">
        <v>1727</v>
      </c>
      <c r="G472" s="24" t="s">
        <v>1728</v>
      </c>
      <c r="H472" s="199">
        <v>270000</v>
      </c>
      <c r="I472" s="115"/>
      <c r="J472" s="201"/>
      <c r="K472" s="202"/>
      <c r="L472" s="162"/>
    </row>
    <row r="473" spans="2:12">
      <c r="B473" s="22">
        <v>458</v>
      </c>
      <c r="C473" s="76">
        <v>46142</v>
      </c>
      <c r="D473" s="76">
        <v>46142</v>
      </c>
      <c r="E473" s="24" t="s">
        <v>1729</v>
      </c>
      <c r="F473" s="24" t="s">
        <v>1730</v>
      </c>
      <c r="G473" s="24" t="s">
        <v>1731</v>
      </c>
      <c r="H473" s="199">
        <v>277904</v>
      </c>
      <c r="I473" s="115"/>
      <c r="J473" s="201"/>
      <c r="K473" s="202"/>
      <c r="L473" s="162"/>
    </row>
    <row r="474" spans="2:12">
      <c r="B474" s="22">
        <v>459</v>
      </c>
      <c r="C474" s="76">
        <v>46142</v>
      </c>
      <c r="D474" s="76">
        <v>46142</v>
      </c>
      <c r="E474" s="24" t="s">
        <v>1732</v>
      </c>
      <c r="F474" s="24" t="s">
        <v>1733</v>
      </c>
      <c r="G474" s="24" t="s">
        <v>1734</v>
      </c>
      <c r="H474" s="199">
        <v>280000</v>
      </c>
      <c r="I474" s="115"/>
      <c r="J474" s="201"/>
      <c r="K474" s="202"/>
      <c r="L474" s="162"/>
    </row>
    <row r="475" spans="2:12">
      <c r="B475" s="22">
        <v>460</v>
      </c>
      <c r="C475" s="76">
        <v>46142</v>
      </c>
      <c r="D475" s="76">
        <v>46142</v>
      </c>
      <c r="E475" s="24" t="s">
        <v>1562</v>
      </c>
      <c r="F475" s="24" t="s">
        <v>1735</v>
      </c>
      <c r="G475" s="24" t="s">
        <v>1736</v>
      </c>
      <c r="H475" s="199">
        <v>300350</v>
      </c>
      <c r="I475" s="115"/>
      <c r="J475" s="201"/>
      <c r="K475" s="202"/>
      <c r="L475" s="162"/>
    </row>
    <row r="476" spans="2:12">
      <c r="B476" s="22">
        <v>461</v>
      </c>
      <c r="C476" s="76">
        <v>46142</v>
      </c>
      <c r="D476" s="76">
        <v>46142</v>
      </c>
      <c r="E476" s="24" t="s">
        <v>1737</v>
      </c>
      <c r="F476" s="24" t="s">
        <v>1738</v>
      </c>
      <c r="G476" s="24" t="s">
        <v>1739</v>
      </c>
      <c r="H476" s="199">
        <v>305326.48</v>
      </c>
      <c r="I476" s="115"/>
      <c r="J476" s="201"/>
      <c r="K476" s="202"/>
      <c r="L476" s="162"/>
    </row>
    <row r="477" spans="2:12">
      <c r="B477" s="22">
        <v>462</v>
      </c>
      <c r="C477" s="76">
        <v>46142</v>
      </c>
      <c r="D477" s="76">
        <v>46142</v>
      </c>
      <c r="E477" s="24" t="s">
        <v>1740</v>
      </c>
      <c r="F477" s="24" t="s">
        <v>1741</v>
      </c>
      <c r="G477" s="24" t="s">
        <v>1742</v>
      </c>
      <c r="H477" s="199">
        <v>307280</v>
      </c>
      <c r="I477" s="115"/>
      <c r="J477" s="201"/>
      <c r="K477" s="202"/>
      <c r="L477" s="162"/>
    </row>
    <row r="478" spans="2:12">
      <c r="B478" s="22">
        <v>463</v>
      </c>
      <c r="C478" s="76">
        <v>46142</v>
      </c>
      <c r="D478" s="76">
        <v>46142</v>
      </c>
      <c r="E478" s="24" t="s">
        <v>1743</v>
      </c>
      <c r="F478" s="24" t="s">
        <v>1744</v>
      </c>
      <c r="G478" s="24" t="s">
        <v>1745</v>
      </c>
      <c r="H478" s="199">
        <v>312775</v>
      </c>
      <c r="I478" s="115"/>
      <c r="J478" s="201"/>
      <c r="K478" s="202"/>
      <c r="L478" s="162"/>
    </row>
    <row r="479" spans="2:12">
      <c r="B479" s="22">
        <v>464</v>
      </c>
      <c r="C479" s="76">
        <v>46142</v>
      </c>
      <c r="D479" s="76">
        <v>46142</v>
      </c>
      <c r="E479" s="24" t="s">
        <v>1746</v>
      </c>
      <c r="F479" s="24" t="s">
        <v>394</v>
      </c>
      <c r="G479" s="24" t="s">
        <v>1747</v>
      </c>
      <c r="H479" s="199">
        <v>326980</v>
      </c>
      <c r="I479" s="115"/>
      <c r="J479" s="201"/>
      <c r="K479" s="202"/>
      <c r="L479" s="162"/>
    </row>
    <row r="480" spans="2:12">
      <c r="B480" s="22">
        <v>465</v>
      </c>
      <c r="C480" s="76">
        <v>46142</v>
      </c>
      <c r="D480" s="76">
        <v>46142</v>
      </c>
      <c r="E480" s="24" t="s">
        <v>1748</v>
      </c>
      <c r="F480" s="24" t="s">
        <v>1749</v>
      </c>
      <c r="G480" s="24" t="s">
        <v>1750</v>
      </c>
      <c r="H480" s="199">
        <v>332700</v>
      </c>
      <c r="I480" s="115"/>
      <c r="J480" s="201"/>
      <c r="K480" s="202"/>
      <c r="L480" s="162"/>
    </row>
    <row r="481" spans="2:12">
      <c r="B481" s="22">
        <v>466</v>
      </c>
      <c r="C481" s="76">
        <v>46142</v>
      </c>
      <c r="D481" s="76">
        <v>46142</v>
      </c>
      <c r="E481" s="24" t="s">
        <v>1751</v>
      </c>
      <c r="F481" s="24" t="s">
        <v>1752</v>
      </c>
      <c r="G481" s="24" t="s">
        <v>1753</v>
      </c>
      <c r="H481" s="199">
        <v>334500</v>
      </c>
      <c r="I481" s="115"/>
      <c r="J481" s="201"/>
      <c r="K481" s="202"/>
      <c r="L481" s="162"/>
    </row>
    <row r="482" spans="2:12">
      <c r="B482" s="22">
        <v>467</v>
      </c>
      <c r="C482" s="76">
        <v>46142</v>
      </c>
      <c r="D482" s="76">
        <v>46142</v>
      </c>
      <c r="E482" s="24" t="s">
        <v>1754</v>
      </c>
      <c r="F482" s="24" t="s">
        <v>1755</v>
      </c>
      <c r="G482" s="24" t="s">
        <v>1756</v>
      </c>
      <c r="H482" s="199">
        <v>340000</v>
      </c>
      <c r="I482" s="115"/>
      <c r="J482" s="201"/>
      <c r="K482" s="202"/>
      <c r="L482" s="162"/>
    </row>
    <row r="483" spans="2:12">
      <c r="B483" s="22">
        <v>468</v>
      </c>
      <c r="C483" s="76">
        <v>46142</v>
      </c>
      <c r="D483" s="76">
        <v>46142</v>
      </c>
      <c r="E483" s="24" t="s">
        <v>1757</v>
      </c>
      <c r="F483" s="24" t="s">
        <v>1758</v>
      </c>
      <c r="G483" s="24" t="s">
        <v>1759</v>
      </c>
      <c r="H483" s="199">
        <v>346000</v>
      </c>
      <c r="I483" s="115"/>
      <c r="J483" s="201"/>
      <c r="K483" s="202"/>
      <c r="L483" s="162"/>
    </row>
    <row r="484" spans="2:12">
      <c r="B484" s="22">
        <v>469</v>
      </c>
      <c r="C484" s="76">
        <v>46142</v>
      </c>
      <c r="D484" s="76">
        <v>46142</v>
      </c>
      <c r="E484" s="24" t="s">
        <v>492</v>
      </c>
      <c r="F484" s="24"/>
      <c r="G484" s="24" t="s">
        <v>1760</v>
      </c>
      <c r="H484" s="199">
        <v>347700</v>
      </c>
      <c r="I484" s="115"/>
      <c r="J484" s="201"/>
      <c r="K484" s="202"/>
      <c r="L484" s="162"/>
    </row>
    <row r="485" spans="2:12">
      <c r="B485" s="22">
        <v>470</v>
      </c>
      <c r="C485" s="76">
        <v>46142</v>
      </c>
      <c r="D485" s="76">
        <v>46142</v>
      </c>
      <c r="E485" s="24" t="s">
        <v>1761</v>
      </c>
      <c r="F485" s="24" t="s">
        <v>1762</v>
      </c>
      <c r="G485" s="24" t="s">
        <v>1763</v>
      </c>
      <c r="H485" s="199">
        <v>350100</v>
      </c>
      <c r="I485" s="115"/>
      <c r="J485" s="201"/>
      <c r="K485" s="202"/>
      <c r="L485" s="162"/>
    </row>
    <row r="486" spans="2:12">
      <c r="B486" s="22">
        <v>471</v>
      </c>
      <c r="C486" s="76">
        <v>46142</v>
      </c>
      <c r="D486" s="76">
        <v>46142</v>
      </c>
      <c r="E486" s="24" t="s">
        <v>1764</v>
      </c>
      <c r="F486" s="24" t="s">
        <v>1765</v>
      </c>
      <c r="G486" s="24" t="s">
        <v>1766</v>
      </c>
      <c r="H486" s="199">
        <v>354904</v>
      </c>
      <c r="I486" s="115"/>
      <c r="J486" s="201"/>
      <c r="K486" s="202"/>
      <c r="L486" s="162"/>
    </row>
    <row r="487" spans="2:12">
      <c r="B487" s="22">
        <v>472</v>
      </c>
      <c r="C487" s="76">
        <v>46142</v>
      </c>
      <c r="D487" s="76">
        <v>46142</v>
      </c>
      <c r="E487" s="24" t="s">
        <v>1767</v>
      </c>
      <c r="F487" s="24" t="s">
        <v>1768</v>
      </c>
      <c r="G487" s="24" t="s">
        <v>1769</v>
      </c>
      <c r="H487" s="199">
        <v>356000</v>
      </c>
      <c r="I487" s="115"/>
      <c r="J487" s="201"/>
      <c r="K487" s="202"/>
      <c r="L487" s="162"/>
    </row>
    <row r="488" spans="2:12">
      <c r="B488" s="22">
        <v>473</v>
      </c>
      <c r="C488" s="76">
        <v>46142</v>
      </c>
      <c r="D488" s="76">
        <v>46142</v>
      </c>
      <c r="E488" s="24" t="s">
        <v>1770</v>
      </c>
      <c r="F488" s="24" t="s">
        <v>1771</v>
      </c>
      <c r="G488" s="24" t="s">
        <v>1772</v>
      </c>
      <c r="H488" s="199">
        <v>378000</v>
      </c>
      <c r="I488" s="115"/>
      <c r="J488" s="201"/>
      <c r="K488" s="202"/>
      <c r="L488" s="162"/>
    </row>
    <row r="489" spans="2:12">
      <c r="B489" s="22">
        <v>474</v>
      </c>
      <c r="C489" s="76">
        <v>46142</v>
      </c>
      <c r="D489" s="76">
        <v>46142</v>
      </c>
      <c r="E489" s="24" t="s">
        <v>1773</v>
      </c>
      <c r="F489" s="24" t="s">
        <v>1774</v>
      </c>
      <c r="G489" s="24" t="s">
        <v>1775</v>
      </c>
      <c r="H489" s="199">
        <v>379800</v>
      </c>
      <c r="I489" s="115"/>
      <c r="J489" s="201"/>
      <c r="K489" s="202"/>
      <c r="L489" s="162"/>
    </row>
    <row r="490" spans="2:12">
      <c r="B490" s="22">
        <v>475</v>
      </c>
      <c r="C490" s="76">
        <v>46142</v>
      </c>
      <c r="D490" s="76">
        <v>46142</v>
      </c>
      <c r="E490" s="24" t="s">
        <v>1776</v>
      </c>
      <c r="F490" s="24" t="s">
        <v>1777</v>
      </c>
      <c r="G490" s="24" t="s">
        <v>1778</v>
      </c>
      <c r="H490" s="199">
        <v>386100</v>
      </c>
      <c r="I490" s="115"/>
      <c r="J490" s="201"/>
      <c r="K490" s="202"/>
      <c r="L490" s="162"/>
    </row>
    <row r="491" spans="2:12">
      <c r="B491" s="22">
        <v>476</v>
      </c>
      <c r="C491" s="76">
        <v>46142</v>
      </c>
      <c r="D491" s="76">
        <v>46142</v>
      </c>
      <c r="E491" s="24" t="s">
        <v>1779</v>
      </c>
      <c r="F491" s="24" t="s">
        <v>1780</v>
      </c>
      <c r="G491" s="24" t="s">
        <v>1781</v>
      </c>
      <c r="H491" s="199">
        <v>387800</v>
      </c>
      <c r="I491" s="115"/>
      <c r="J491" s="201"/>
      <c r="K491" s="202"/>
      <c r="L491" s="162"/>
    </row>
    <row r="492" spans="2:12">
      <c r="B492" s="22">
        <v>477</v>
      </c>
      <c r="C492" s="76">
        <v>46142</v>
      </c>
      <c r="D492" s="76">
        <v>46142</v>
      </c>
      <c r="E492" s="24" t="s">
        <v>1782</v>
      </c>
      <c r="F492" s="24" t="s">
        <v>1783</v>
      </c>
      <c r="G492" s="24" t="s">
        <v>1784</v>
      </c>
      <c r="H492" s="199">
        <v>399000</v>
      </c>
      <c r="I492" s="115"/>
      <c r="J492" s="201"/>
      <c r="K492" s="202"/>
      <c r="L492" s="162"/>
    </row>
    <row r="493" spans="2:12">
      <c r="B493" s="22">
        <v>478</v>
      </c>
      <c r="C493" s="76">
        <v>46142</v>
      </c>
      <c r="D493" s="76">
        <v>46142</v>
      </c>
      <c r="E493" s="24" t="s">
        <v>1785</v>
      </c>
      <c r="F493" s="24" t="s">
        <v>1786</v>
      </c>
      <c r="G493" s="24" t="s">
        <v>1787</v>
      </c>
      <c r="H493" s="199">
        <v>400905</v>
      </c>
      <c r="I493" s="115"/>
      <c r="J493" s="201"/>
      <c r="K493" s="202"/>
      <c r="L493" s="162"/>
    </row>
    <row r="494" spans="2:12">
      <c r="B494" s="22">
        <v>479</v>
      </c>
      <c r="C494" s="76">
        <v>46142</v>
      </c>
      <c r="D494" s="76">
        <v>46142</v>
      </c>
      <c r="E494" s="24" t="s">
        <v>1788</v>
      </c>
      <c r="F494" s="24" t="s">
        <v>1789</v>
      </c>
      <c r="G494" s="24" t="s">
        <v>1790</v>
      </c>
      <c r="H494" s="199">
        <v>405500</v>
      </c>
      <c r="I494" s="115"/>
      <c r="J494" s="201"/>
      <c r="K494" s="202"/>
      <c r="L494" s="162"/>
    </row>
    <row r="495" spans="2:12">
      <c r="B495" s="22">
        <v>480</v>
      </c>
      <c r="C495" s="76">
        <v>46142</v>
      </c>
      <c r="D495" s="76">
        <v>46142</v>
      </c>
      <c r="E495" s="24" t="s">
        <v>1791</v>
      </c>
      <c r="F495" s="24" t="s">
        <v>1792</v>
      </c>
      <c r="G495" s="24" t="s">
        <v>1793</v>
      </c>
      <c r="H495" s="199">
        <v>412560</v>
      </c>
      <c r="I495" s="115"/>
      <c r="J495" s="201"/>
      <c r="K495" s="202"/>
      <c r="L495" s="162"/>
    </row>
    <row r="496" spans="2:12">
      <c r="B496" s="22">
        <v>481</v>
      </c>
      <c r="C496" s="76">
        <v>46142</v>
      </c>
      <c r="D496" s="76">
        <v>46142</v>
      </c>
      <c r="E496" s="24" t="s">
        <v>1794</v>
      </c>
      <c r="F496" s="24" t="s">
        <v>1795</v>
      </c>
      <c r="G496" s="24" t="s">
        <v>1796</v>
      </c>
      <c r="H496" s="199">
        <v>418500.02</v>
      </c>
      <c r="I496" s="115"/>
      <c r="J496" s="201"/>
      <c r="K496" s="202"/>
      <c r="L496" s="162"/>
    </row>
    <row r="497" spans="2:12">
      <c r="B497" s="22">
        <v>482</v>
      </c>
      <c r="C497" s="76">
        <v>46142</v>
      </c>
      <c r="D497" s="76">
        <v>46142</v>
      </c>
      <c r="E497" s="24" t="s">
        <v>1797</v>
      </c>
      <c r="F497" s="24" t="s">
        <v>1798</v>
      </c>
      <c r="G497" s="24" t="s">
        <v>1799</v>
      </c>
      <c r="H497" s="199">
        <v>440436</v>
      </c>
      <c r="I497" s="115"/>
      <c r="J497" s="201"/>
      <c r="K497" s="202"/>
      <c r="L497" s="162"/>
    </row>
    <row r="498" spans="2:12">
      <c r="B498" s="22">
        <v>483</v>
      </c>
      <c r="C498" s="76">
        <v>46142</v>
      </c>
      <c r="D498" s="76">
        <v>46142</v>
      </c>
      <c r="E498" s="24" t="s">
        <v>1800</v>
      </c>
      <c r="F498" s="24" t="s">
        <v>1801</v>
      </c>
      <c r="G498" s="24" t="s">
        <v>1802</v>
      </c>
      <c r="H498" s="199">
        <v>449344</v>
      </c>
      <c r="I498" s="115"/>
      <c r="J498" s="201"/>
      <c r="K498" s="202"/>
      <c r="L498" s="162"/>
    </row>
    <row r="499" spans="2:12">
      <c r="B499" s="22">
        <v>484</v>
      </c>
      <c r="C499" s="76">
        <v>46142</v>
      </c>
      <c r="D499" s="76">
        <v>46142</v>
      </c>
      <c r="E499" s="24" t="s">
        <v>1803</v>
      </c>
      <c r="F499" s="24" t="s">
        <v>1804</v>
      </c>
      <c r="G499" s="24" t="s">
        <v>1805</v>
      </c>
      <c r="H499" s="199">
        <v>450429.6</v>
      </c>
      <c r="I499" s="115"/>
      <c r="J499" s="201"/>
      <c r="K499" s="202"/>
      <c r="L499" s="162"/>
    </row>
    <row r="500" spans="2:12">
      <c r="B500" s="22">
        <v>485</v>
      </c>
      <c r="C500" s="76">
        <v>46142</v>
      </c>
      <c r="D500" s="76">
        <v>46142</v>
      </c>
      <c r="E500" s="24" t="s">
        <v>1806</v>
      </c>
      <c r="F500" s="24" t="s">
        <v>1807</v>
      </c>
      <c r="G500" s="24" t="s">
        <v>1808</v>
      </c>
      <c r="H500" s="199">
        <v>456750</v>
      </c>
      <c r="I500" s="115"/>
      <c r="J500" s="201"/>
      <c r="K500" s="202"/>
      <c r="L500" s="162"/>
    </row>
    <row r="501" spans="2:12">
      <c r="B501" s="22">
        <v>486</v>
      </c>
      <c r="C501" s="76">
        <v>46142</v>
      </c>
      <c r="D501" s="76">
        <v>46142</v>
      </c>
      <c r="E501" s="24" t="s">
        <v>1809</v>
      </c>
      <c r="F501" s="24" t="s">
        <v>1810</v>
      </c>
      <c r="G501" s="24" t="s">
        <v>1811</v>
      </c>
      <c r="H501" s="199">
        <v>468000</v>
      </c>
      <c r="I501" s="115"/>
      <c r="J501" s="201"/>
      <c r="K501" s="202"/>
      <c r="L501" s="162"/>
    </row>
    <row r="502" spans="2:12">
      <c r="B502" s="22">
        <v>487</v>
      </c>
      <c r="C502" s="76">
        <v>46142</v>
      </c>
      <c r="D502" s="76">
        <v>46142</v>
      </c>
      <c r="E502" s="24" t="s">
        <v>1812</v>
      </c>
      <c r="F502" s="24" t="s">
        <v>1813</v>
      </c>
      <c r="G502" s="24" t="s">
        <v>1814</v>
      </c>
      <c r="H502" s="199">
        <v>469200</v>
      </c>
      <c r="I502" s="115"/>
      <c r="J502" s="201"/>
      <c r="K502" s="202"/>
      <c r="L502" s="162"/>
    </row>
    <row r="503" spans="2:12">
      <c r="B503" s="22">
        <v>488</v>
      </c>
      <c r="C503" s="76">
        <v>46142</v>
      </c>
      <c r="D503" s="76">
        <v>46142</v>
      </c>
      <c r="E503" s="24" t="s">
        <v>1815</v>
      </c>
      <c r="F503" s="24" t="s">
        <v>1816</v>
      </c>
      <c r="G503" s="24" t="s">
        <v>1817</v>
      </c>
      <c r="H503" s="199">
        <v>473715</v>
      </c>
      <c r="I503" s="115"/>
      <c r="J503" s="201"/>
      <c r="K503" s="202"/>
      <c r="L503" s="162"/>
    </row>
    <row r="504" spans="2:12">
      <c r="B504" s="22">
        <v>489</v>
      </c>
      <c r="C504" s="76">
        <v>46142</v>
      </c>
      <c r="D504" s="76">
        <v>46142</v>
      </c>
      <c r="E504" s="24" t="s">
        <v>1818</v>
      </c>
      <c r="F504" s="24" t="s">
        <v>1819</v>
      </c>
      <c r="G504" s="24" t="s">
        <v>1820</v>
      </c>
      <c r="H504" s="199">
        <v>490500</v>
      </c>
      <c r="I504" s="115"/>
      <c r="J504" s="201"/>
      <c r="K504" s="202"/>
      <c r="L504" s="162"/>
    </row>
    <row r="505" spans="2:12">
      <c r="B505" s="22">
        <v>490</v>
      </c>
      <c r="C505" s="76">
        <v>46142</v>
      </c>
      <c r="D505" s="76">
        <v>46142</v>
      </c>
      <c r="E505" s="24" t="s">
        <v>1821</v>
      </c>
      <c r="F505" s="24" t="s">
        <v>1822</v>
      </c>
      <c r="G505" s="24" t="s">
        <v>1823</v>
      </c>
      <c r="H505" s="199">
        <v>495000</v>
      </c>
      <c r="I505" s="115"/>
      <c r="J505" s="201"/>
      <c r="K505" s="202"/>
      <c r="L505" s="162"/>
    </row>
    <row r="506" spans="2:12">
      <c r="B506" s="22">
        <v>491</v>
      </c>
      <c r="C506" s="76">
        <v>46142</v>
      </c>
      <c r="D506" s="76">
        <v>46142</v>
      </c>
      <c r="E506" s="24" t="s">
        <v>1824</v>
      </c>
      <c r="F506" s="24" t="s">
        <v>1825</v>
      </c>
      <c r="G506" s="24" t="s">
        <v>1826</v>
      </c>
      <c r="H506" s="199">
        <v>520000</v>
      </c>
      <c r="I506" s="115"/>
      <c r="J506" s="201"/>
      <c r="K506" s="202"/>
      <c r="L506" s="162"/>
    </row>
    <row r="507" spans="2:12">
      <c r="B507" s="22">
        <v>492</v>
      </c>
      <c r="C507" s="76">
        <v>46142</v>
      </c>
      <c r="D507" s="76">
        <v>46142</v>
      </c>
      <c r="E507" s="24" t="s">
        <v>527</v>
      </c>
      <c r="F507" s="24" t="s">
        <v>394</v>
      </c>
      <c r="G507" s="24" t="s">
        <v>1827</v>
      </c>
      <c r="H507" s="199">
        <v>523310</v>
      </c>
      <c r="I507" s="115"/>
      <c r="J507" s="201"/>
      <c r="K507" s="202"/>
      <c r="L507" s="162"/>
    </row>
    <row r="508" spans="2:12">
      <c r="B508" s="22">
        <v>493</v>
      </c>
      <c r="C508" s="76">
        <v>46142</v>
      </c>
      <c r="D508" s="76">
        <v>46142</v>
      </c>
      <c r="E508" s="24" t="s">
        <v>1828</v>
      </c>
      <c r="F508" s="24" t="s">
        <v>1829</v>
      </c>
      <c r="G508" s="24" t="s">
        <v>1830</v>
      </c>
      <c r="H508" s="199">
        <v>530000</v>
      </c>
      <c r="I508" s="115"/>
      <c r="J508" s="201"/>
      <c r="K508" s="202"/>
      <c r="L508" s="162"/>
    </row>
    <row r="509" spans="2:12">
      <c r="B509" s="22">
        <v>494</v>
      </c>
      <c r="C509" s="76">
        <v>46142</v>
      </c>
      <c r="D509" s="76">
        <v>46142</v>
      </c>
      <c r="E509" s="24" t="s">
        <v>1831</v>
      </c>
      <c r="F509" s="24" t="s">
        <v>1832</v>
      </c>
      <c r="G509" s="24" t="s">
        <v>1833</v>
      </c>
      <c r="H509" s="199">
        <v>560000</v>
      </c>
      <c r="I509" s="115"/>
      <c r="J509" s="201"/>
      <c r="K509" s="202"/>
      <c r="L509" s="162"/>
    </row>
    <row r="510" spans="2:12">
      <c r="B510" s="22">
        <v>495</v>
      </c>
      <c r="C510" s="76">
        <v>46142</v>
      </c>
      <c r="D510" s="76">
        <v>46142</v>
      </c>
      <c r="E510" s="24" t="s">
        <v>1834</v>
      </c>
      <c r="F510" s="24" t="s">
        <v>1835</v>
      </c>
      <c r="G510" s="24" t="s">
        <v>1836</v>
      </c>
      <c r="H510" s="199">
        <v>640500</v>
      </c>
      <c r="I510" s="115"/>
      <c r="J510" s="201"/>
      <c r="K510" s="202"/>
      <c r="L510" s="162"/>
    </row>
    <row r="511" spans="2:12">
      <c r="B511" s="22">
        <v>496</v>
      </c>
      <c r="C511" s="76">
        <v>46142</v>
      </c>
      <c r="D511" s="76">
        <v>46142</v>
      </c>
      <c r="E511" s="24" t="s">
        <v>1837</v>
      </c>
      <c r="F511" s="24" t="s">
        <v>1441</v>
      </c>
      <c r="G511" s="24" t="s">
        <v>1838</v>
      </c>
      <c r="H511" s="199">
        <v>646773.69999999995</v>
      </c>
      <c r="I511" s="115"/>
      <c r="J511" s="201"/>
      <c r="K511" s="202"/>
      <c r="L511" s="162"/>
    </row>
    <row r="512" spans="2:12">
      <c r="B512" s="22">
        <v>497</v>
      </c>
      <c r="C512" s="76">
        <v>46142</v>
      </c>
      <c r="D512" s="76">
        <v>46142</v>
      </c>
      <c r="E512" s="24" t="s">
        <v>1839</v>
      </c>
      <c r="F512" s="24" t="s">
        <v>1840</v>
      </c>
      <c r="G512" s="24" t="s">
        <v>1841</v>
      </c>
      <c r="H512" s="199">
        <v>667100</v>
      </c>
      <c r="I512" s="115"/>
      <c r="J512" s="201"/>
      <c r="K512" s="202"/>
      <c r="L512" s="162"/>
    </row>
    <row r="513" spans="2:12">
      <c r="B513" s="22">
        <v>498</v>
      </c>
      <c r="C513" s="76">
        <v>46142</v>
      </c>
      <c r="D513" s="76">
        <v>46142</v>
      </c>
      <c r="E513" s="24" t="s">
        <v>1636</v>
      </c>
      <c r="F513" s="24" t="s">
        <v>1842</v>
      </c>
      <c r="G513" s="24" t="s">
        <v>1843</v>
      </c>
      <c r="H513" s="199">
        <v>794310.58</v>
      </c>
      <c r="I513" s="115"/>
      <c r="J513" s="201"/>
      <c r="K513" s="202"/>
      <c r="L513" s="162"/>
    </row>
    <row r="514" spans="2:12">
      <c r="B514" s="22">
        <v>499</v>
      </c>
      <c r="C514" s="76">
        <v>46142</v>
      </c>
      <c r="D514" s="76">
        <v>46142</v>
      </c>
      <c r="E514" s="24" t="s">
        <v>1844</v>
      </c>
      <c r="F514" s="24" t="s">
        <v>1845</v>
      </c>
      <c r="G514" s="24" t="s">
        <v>1846</v>
      </c>
      <c r="H514" s="199">
        <v>917099</v>
      </c>
      <c r="I514" s="115"/>
      <c r="J514" s="201"/>
      <c r="K514" s="202"/>
      <c r="L514" s="162"/>
    </row>
    <row r="515" spans="2:12">
      <c r="B515" s="22">
        <v>500</v>
      </c>
      <c r="C515" s="76">
        <v>46142</v>
      </c>
      <c r="D515" s="76">
        <v>46142</v>
      </c>
      <c r="E515" s="24" t="s">
        <v>1847</v>
      </c>
      <c r="F515" s="24" t="s">
        <v>1848</v>
      </c>
      <c r="G515" s="24" t="s">
        <v>1849</v>
      </c>
      <c r="H515" s="199">
        <v>926100</v>
      </c>
      <c r="I515" s="115"/>
      <c r="J515" s="201"/>
      <c r="K515" s="202"/>
      <c r="L515" s="162"/>
    </row>
    <row r="516" spans="2:12">
      <c r="B516" s="22">
        <v>501</v>
      </c>
      <c r="C516" s="76">
        <v>46142</v>
      </c>
      <c r="D516" s="76">
        <v>46142</v>
      </c>
      <c r="E516" s="24" t="s">
        <v>1850</v>
      </c>
      <c r="F516" s="24" t="s">
        <v>1851</v>
      </c>
      <c r="G516" s="24" t="s">
        <v>1852</v>
      </c>
      <c r="H516" s="199">
        <v>1000000</v>
      </c>
      <c r="I516" s="115"/>
      <c r="J516" s="201"/>
      <c r="K516" s="202"/>
      <c r="L516" s="162"/>
    </row>
    <row r="517" spans="2:12">
      <c r="B517" s="22">
        <v>502</v>
      </c>
      <c r="C517" s="76">
        <v>46142</v>
      </c>
      <c r="D517" s="76">
        <v>46142</v>
      </c>
      <c r="E517" s="24" t="s">
        <v>1853</v>
      </c>
      <c r="F517" s="24" t="s">
        <v>1854</v>
      </c>
      <c r="G517" s="24" t="s">
        <v>1855</v>
      </c>
      <c r="H517" s="199">
        <v>1100000</v>
      </c>
      <c r="I517" s="115"/>
      <c r="J517" s="201"/>
      <c r="K517" s="202"/>
      <c r="L517" s="162"/>
    </row>
    <row r="518" spans="2:12">
      <c r="B518" s="22">
        <v>503</v>
      </c>
      <c r="C518" s="76">
        <v>46142</v>
      </c>
      <c r="D518" s="76">
        <v>46142</v>
      </c>
      <c r="E518" s="24" t="s">
        <v>1856</v>
      </c>
      <c r="F518" s="24" t="s">
        <v>1857</v>
      </c>
      <c r="G518" s="24" t="s">
        <v>1858</v>
      </c>
      <c r="H518" s="199">
        <v>1231040.8500000001</v>
      </c>
      <c r="I518" s="115"/>
      <c r="J518" s="201"/>
      <c r="K518" s="202"/>
      <c r="L518" s="162"/>
    </row>
    <row r="519" spans="2:12">
      <c r="B519" s="22">
        <v>504</v>
      </c>
      <c r="C519" s="76">
        <v>46142</v>
      </c>
      <c r="D519" s="76">
        <v>46142</v>
      </c>
      <c r="E519" s="24" t="s">
        <v>1859</v>
      </c>
      <c r="F519" s="24" t="s">
        <v>1860</v>
      </c>
      <c r="G519" s="24" t="s">
        <v>1861</v>
      </c>
      <c r="H519" s="199">
        <v>1263360</v>
      </c>
      <c r="I519" s="115"/>
      <c r="J519" s="201"/>
      <c r="K519" s="202"/>
      <c r="L519" s="162"/>
    </row>
    <row r="520" spans="2:12">
      <c r="B520" s="22">
        <v>505</v>
      </c>
      <c r="C520" s="76">
        <v>46142</v>
      </c>
      <c r="D520" s="76">
        <v>46142</v>
      </c>
      <c r="E520" s="24" t="s">
        <v>1862</v>
      </c>
      <c r="F520" s="24" t="s">
        <v>1863</v>
      </c>
      <c r="G520" s="24" t="s">
        <v>1864</v>
      </c>
      <c r="H520" s="199">
        <v>1440000</v>
      </c>
      <c r="I520" s="115"/>
      <c r="J520" s="201"/>
      <c r="K520" s="202"/>
      <c r="L520" s="162"/>
    </row>
    <row r="521" spans="2:12">
      <c r="B521" s="22">
        <v>506</v>
      </c>
      <c r="C521" s="76">
        <v>46142</v>
      </c>
      <c r="D521" s="76">
        <v>46142</v>
      </c>
      <c r="E521" s="24" t="s">
        <v>1865</v>
      </c>
      <c r="F521" s="24" t="s">
        <v>1866</v>
      </c>
      <c r="G521" s="24" t="s">
        <v>1867</v>
      </c>
      <c r="H521" s="199">
        <v>1560000</v>
      </c>
      <c r="I521" s="115"/>
      <c r="J521" s="201"/>
      <c r="K521" s="202"/>
      <c r="L521" s="162"/>
    </row>
    <row r="522" spans="2:12">
      <c r="B522" s="22">
        <v>507</v>
      </c>
      <c r="C522" s="76">
        <v>46142</v>
      </c>
      <c r="D522" s="76">
        <v>46142</v>
      </c>
      <c r="E522" s="24" t="s">
        <v>1868</v>
      </c>
      <c r="F522" s="24" t="s">
        <v>1869</v>
      </c>
      <c r="G522" s="24" t="s">
        <v>1870</v>
      </c>
      <c r="H522" s="199">
        <v>1742000</v>
      </c>
      <c r="I522" s="115"/>
      <c r="J522" s="201"/>
      <c r="K522" s="202"/>
      <c r="L522" s="162"/>
    </row>
    <row r="523" spans="2:12">
      <c r="B523" s="22">
        <v>508</v>
      </c>
      <c r="C523" s="76">
        <v>46142</v>
      </c>
      <c r="D523" s="76">
        <v>46142</v>
      </c>
      <c r="E523" s="24" t="s">
        <v>1871</v>
      </c>
      <c r="F523" s="24" t="s">
        <v>1872</v>
      </c>
      <c r="G523" s="24" t="s">
        <v>1873</v>
      </c>
      <c r="H523" s="199">
        <v>1925625</v>
      </c>
      <c r="I523" s="115"/>
      <c r="J523" s="201"/>
      <c r="K523" s="202"/>
      <c r="L523" s="162"/>
    </row>
    <row r="524" spans="2:12">
      <c r="B524" s="22">
        <v>509</v>
      </c>
      <c r="C524" s="76">
        <v>46142</v>
      </c>
      <c r="D524" s="76">
        <v>46142</v>
      </c>
      <c r="E524" s="24" t="s">
        <v>1874</v>
      </c>
      <c r="F524" s="24" t="s">
        <v>1875</v>
      </c>
      <c r="G524" s="24" t="s">
        <v>1876</v>
      </c>
      <c r="H524" s="199">
        <v>2000000</v>
      </c>
      <c r="I524" s="115"/>
      <c r="J524" s="201"/>
      <c r="K524" s="202"/>
      <c r="L524" s="162"/>
    </row>
    <row r="525" spans="2:12">
      <c r="B525" s="22">
        <v>510</v>
      </c>
      <c r="C525" s="76">
        <v>46142</v>
      </c>
      <c r="D525" s="76">
        <v>46142</v>
      </c>
      <c r="E525" s="24" t="s">
        <v>1877</v>
      </c>
      <c r="F525" s="24" t="s">
        <v>1878</v>
      </c>
      <c r="G525" s="24" t="s">
        <v>1879</v>
      </c>
      <c r="H525" s="199">
        <v>2082541.63</v>
      </c>
      <c r="I525" s="115"/>
      <c r="J525" s="201"/>
      <c r="K525" s="202"/>
      <c r="L525" s="162"/>
    </row>
    <row r="526" spans="2:12">
      <c r="B526" s="22">
        <v>511</v>
      </c>
      <c r="C526" s="76">
        <v>46142</v>
      </c>
      <c r="D526" s="76">
        <v>46142</v>
      </c>
      <c r="E526" s="24" t="s">
        <v>1880</v>
      </c>
      <c r="F526" s="24" t="s">
        <v>1881</v>
      </c>
      <c r="G526" s="24" t="s">
        <v>1882</v>
      </c>
      <c r="H526" s="199">
        <v>2453359.35</v>
      </c>
      <c r="I526" s="115"/>
      <c r="J526" s="201"/>
      <c r="K526" s="202"/>
      <c r="L526" s="162"/>
    </row>
    <row r="527" spans="2:12">
      <c r="B527" s="22">
        <v>512</v>
      </c>
      <c r="C527" s="76">
        <v>46142</v>
      </c>
      <c r="D527" s="76">
        <v>46142</v>
      </c>
      <c r="E527" s="24" t="s">
        <v>451</v>
      </c>
      <c r="F527" s="24" t="s">
        <v>1883</v>
      </c>
      <c r="G527" s="24" t="s">
        <v>1884</v>
      </c>
      <c r="H527" s="199">
        <v>3241066</v>
      </c>
      <c r="I527" s="115"/>
      <c r="J527" s="201"/>
      <c r="K527" s="202"/>
      <c r="L527" s="162"/>
    </row>
    <row r="528" spans="2:12">
      <c r="B528" s="22">
        <v>513</v>
      </c>
      <c r="C528" s="76">
        <v>46142</v>
      </c>
      <c r="D528" s="76">
        <v>46142</v>
      </c>
      <c r="E528" s="24" t="s">
        <v>1885</v>
      </c>
      <c r="F528" s="24" t="s">
        <v>1886</v>
      </c>
      <c r="G528" s="24" t="s">
        <v>1887</v>
      </c>
      <c r="H528" s="199">
        <v>6340800</v>
      </c>
      <c r="I528" s="115"/>
      <c r="J528" s="201"/>
      <c r="K528" s="202"/>
      <c r="L528" s="162"/>
    </row>
    <row r="529" spans="2:12">
      <c r="B529" s="22">
        <v>514</v>
      </c>
      <c r="C529" s="76">
        <v>46142</v>
      </c>
      <c r="D529" s="76">
        <v>46142</v>
      </c>
      <c r="E529" s="24" t="s">
        <v>1888</v>
      </c>
      <c r="F529" s="24" t="s">
        <v>1889</v>
      </c>
      <c r="G529" s="24" t="s">
        <v>1890</v>
      </c>
      <c r="H529" s="199">
        <v>6593685</v>
      </c>
      <c r="I529" s="115"/>
      <c r="J529" s="201"/>
      <c r="K529" s="202"/>
      <c r="L529" s="162"/>
    </row>
    <row r="530" spans="2:12">
      <c r="B530" s="22"/>
      <c r="C530" s="26"/>
      <c r="D530" s="26"/>
      <c r="H530" s="139"/>
      <c r="I530" s="114"/>
      <c r="J530" s="115"/>
      <c r="K530" s="115"/>
      <c r="L530" s="162"/>
    </row>
    <row r="531" spans="2:12" s="3" customFormat="1" ht="12.75" thickBot="1">
      <c r="B531" s="16"/>
      <c r="C531" s="18" t="s">
        <v>18</v>
      </c>
      <c r="D531" s="18"/>
      <c r="E531" s="29"/>
      <c r="F531" s="29"/>
      <c r="G531" s="141"/>
      <c r="H531" s="159">
        <f>+$H$11-$H$12-$H$16-$H$181+$H$192+$H$203</f>
        <v>-375.45999999344349</v>
      </c>
      <c r="I531" s="127"/>
      <c r="J531" s="128"/>
      <c r="K531" s="129"/>
      <c r="L531" s="120"/>
    </row>
    <row r="532" spans="2:12" ht="12.75" thickTop="1">
      <c r="B532" s="119"/>
      <c r="H532" s="155"/>
      <c r="L532" s="120"/>
    </row>
    <row r="533" spans="2:12">
      <c r="B533" s="119"/>
      <c r="H533" s="155"/>
      <c r="L533" s="120"/>
    </row>
    <row r="534" spans="2:12">
      <c r="B534" s="119"/>
      <c r="H534" s="155"/>
      <c r="L534" s="120"/>
    </row>
    <row r="535" spans="2:12">
      <c r="B535" s="119"/>
      <c r="H535" s="155"/>
      <c r="L535" s="120"/>
    </row>
    <row r="536" spans="2:12">
      <c r="B536" s="119"/>
      <c r="H536" s="155"/>
      <c r="L536" s="120"/>
    </row>
    <row r="537" spans="2:12">
      <c r="B537" s="119"/>
      <c r="E537" s="30"/>
      <c r="F537" s="31"/>
      <c r="H537" s="155"/>
      <c r="L537" s="120"/>
    </row>
    <row r="538" spans="2:12">
      <c r="B538" s="119"/>
      <c r="H538" s="155"/>
      <c r="L538" s="120"/>
    </row>
    <row r="539" spans="2:12">
      <c r="B539" s="119"/>
      <c r="E539" s="30"/>
      <c r="F539" s="31"/>
      <c r="H539" s="155"/>
      <c r="L539" s="120"/>
    </row>
    <row r="540" spans="2:12">
      <c r="B540" s="119"/>
      <c r="D540" s="30" t="s">
        <v>19</v>
      </c>
      <c r="E540" s="258" t="s">
        <v>20</v>
      </c>
      <c r="F540" s="258"/>
      <c r="G540" s="258" t="s">
        <v>21</v>
      </c>
      <c r="H540" s="258"/>
      <c r="L540" s="120"/>
    </row>
    <row r="541" spans="2:12">
      <c r="B541" s="142"/>
      <c r="C541" s="143"/>
      <c r="D541" s="143"/>
      <c r="E541" s="143"/>
      <c r="F541" s="143"/>
      <c r="G541" s="144"/>
      <c r="H541" s="145"/>
      <c r="I541" s="146"/>
      <c r="J541" s="147"/>
      <c r="K541" s="147"/>
      <c r="L541" s="148"/>
    </row>
    <row r="544" spans="2:12">
      <c r="B544" s="149"/>
      <c r="C544" s="31" t="s">
        <v>22</v>
      </c>
      <c r="D544" s="31"/>
    </row>
    <row r="545" spans="2:4">
      <c r="C545" s="31"/>
      <c r="D545" s="31"/>
    </row>
    <row r="546" spans="2:4">
      <c r="B546" s="150"/>
      <c r="C546" s="31" t="s">
        <v>23</v>
      </c>
      <c r="D546" s="31"/>
    </row>
    <row r="548" spans="2:4">
      <c r="B548" s="151"/>
      <c r="C548" s="152" t="s">
        <v>24</v>
      </c>
      <c r="D548" s="152"/>
    </row>
    <row r="550" spans="2:4">
      <c r="B550" s="38"/>
      <c r="C550" s="17" t="s">
        <v>25</v>
      </c>
    </row>
  </sheetData>
  <protectedRanges>
    <protectedRange sqref="G275:G529" name="Rango1_2_80_1"/>
    <protectedRange sqref="H275:H529" name="Rango1_4_87_2"/>
    <protectedRange sqref="G206:G208" name="Rango1_2_80_68_1"/>
    <protectedRange sqref="H206:H208" name="Rango1_4_87_68_1"/>
    <protectedRange sqref="G209" name="Rango1_2_80_68_1_1"/>
    <protectedRange sqref="H209" name="Rango1_4_87_68_1_1"/>
    <protectedRange sqref="G210" name="Rango1_2_80_71_1"/>
    <protectedRange sqref="H210" name="Rango1_4_87_71_1"/>
    <protectedRange sqref="G211:G213" name="Rango1_2_80_72_1"/>
    <protectedRange sqref="H211:H213" name="Rango1_4_87_72_1"/>
    <protectedRange sqref="G214" name="Rango1_2_80_74_1"/>
    <protectedRange sqref="H214" name="Rango1_4_87_74_1"/>
    <protectedRange sqref="G215" name="Rango1_2_80_75_1"/>
    <protectedRange sqref="H215" name="Rango1_4_87_75_1"/>
    <protectedRange sqref="G216" name="Rango1_2_80_76_1"/>
    <protectedRange sqref="H216" name="Rango1_4_87_76_1"/>
    <protectedRange sqref="G217" name="Rango1_2_80_77_1"/>
    <protectedRange sqref="H217" name="Rango1_4_87_77_1"/>
    <protectedRange sqref="G218" name="Rango1_2_80_78_1"/>
    <protectedRange sqref="H219:H222" name="Rango1_4_87_79_1"/>
    <protectedRange sqref="G223" name="Rango1_2_80_81_1"/>
    <protectedRange sqref="H223" name="Rango1_4_87_81_1"/>
    <protectedRange sqref="G224:G225" name="Rango1_2_80_82_1"/>
    <protectedRange sqref="H224:H225" name="Rango1_4_87_82_1"/>
    <protectedRange sqref="G226:G227" name="Rango1_2_80_83_1"/>
    <protectedRange sqref="H226:H227" name="Rango1_4_87_83_1"/>
    <protectedRange sqref="G228" name="Rango1_2_80_85_1"/>
    <protectedRange sqref="H228" name="Rango1_4_87_85_1"/>
    <protectedRange sqref="G229" name="Rango1_2_80_86_1"/>
    <protectedRange sqref="H229" name="Rango1_4_87_86_1"/>
    <protectedRange sqref="G230" name="Rango1_2_80_87_1"/>
    <protectedRange sqref="H230" name="Rango1_4_87_87_1"/>
    <protectedRange sqref="G231" name="Rango1_2_80_88_1"/>
    <protectedRange sqref="H231" name="Rango1_4_87_88_1"/>
    <protectedRange sqref="G232" name="Rango1_2_80_92_1"/>
    <protectedRange sqref="H232" name="Rango1_4_87_92_1"/>
    <protectedRange sqref="G233" name="Rango1_2_80_93_1"/>
    <protectedRange sqref="H233" name="Rango1_4_87_93_1"/>
    <protectedRange sqref="G234:G236" name="Rango1_2_80_94_1_1"/>
    <protectedRange sqref="H234:H236" name="Rango1_4_87_94_1_1"/>
    <protectedRange sqref="G237" name="Rango1_2_80_95_1"/>
    <protectedRange sqref="H237" name="Rango1_4_87_95_1"/>
    <protectedRange sqref="G238" name="Rango1_2_80_96_1"/>
    <protectedRange sqref="H238" name="Rango1_4_87_96_1"/>
    <protectedRange sqref="G239:G240" name="Rango1_2_80_97_1"/>
    <protectedRange sqref="H239:H240" name="Rango1_4_87_97_1"/>
    <protectedRange sqref="G241" name="Rango1_2_80_97_1_1"/>
    <protectedRange sqref="H241" name="Rango1_4_87_97_1_1"/>
    <protectedRange sqref="G242:G243" name="Rango1_2_80_99_1"/>
    <protectedRange sqref="H242:H243" name="Rango1_4_87_99_1"/>
    <protectedRange sqref="G244:G245" name="Rango1_2_80_2_1"/>
    <protectedRange sqref="H244:H245" name="Rango1_4_87_1_1"/>
    <protectedRange sqref="G246:G247" name="Rango1_2_80_2_2"/>
    <protectedRange sqref="H246:H247" name="Rango1_4_87_1_2"/>
    <protectedRange sqref="G248:G249" name="Rango1_2_80_2_3"/>
    <protectedRange sqref="H248:H249" name="Rango1_4_87_1_3"/>
    <protectedRange sqref="G250:G251" name="Rango1_2_80_2_4"/>
    <protectedRange sqref="H250:H251" name="Rango1_4_87_1_4"/>
    <protectedRange sqref="G252:G258" name="Rango1_2_80_2_5"/>
    <protectedRange sqref="H252:H258" name="Rango1_4_87_1_5"/>
    <protectedRange sqref="G259:G260" name="Rango1_2_80_2_6"/>
    <protectedRange sqref="H259:H260" name="Rango1_4_87_1_6"/>
    <protectedRange sqref="G261:G262" name="Rango1_2_80_2_7"/>
    <protectedRange sqref="H261:H262" name="Rango1_4_87_1_7"/>
    <protectedRange sqref="G263:G266" name="Rango1_2_80_2_8"/>
    <protectedRange sqref="H263:H266" name="Rango1_4_87_1_8"/>
    <protectedRange sqref="G267:G271" name="Rango1_2_80_2_9"/>
    <protectedRange sqref="H267:H271" name="Rango1_4_87_1_9"/>
    <protectedRange sqref="G272:G274" name="Rango1_2_80_2_10"/>
    <protectedRange sqref="H272:H274" name="Rango1_4_87_1_10"/>
  </protectedRanges>
  <autoFilter ref="B18:L18" xr:uid="{7C869837-B58C-4016-9E85-C767EAF35683}"/>
  <mergeCells count="12">
    <mergeCell ref="C3:D3"/>
    <mergeCell ref="G3:H3"/>
    <mergeCell ref="M3:P3"/>
    <mergeCell ref="C4:D4"/>
    <mergeCell ref="G4:H4"/>
    <mergeCell ref="M4:P4"/>
    <mergeCell ref="C6:H6"/>
    <mergeCell ref="M6:P6"/>
    <mergeCell ref="C7:H7"/>
    <mergeCell ref="M7:P7"/>
    <mergeCell ref="E540:F540"/>
    <mergeCell ref="G540:H540"/>
  </mergeCells>
  <conditionalFormatting sqref="F19:F109">
    <cfRule type="duplicateValues" dxfId="4" priority="3"/>
    <cfRule type="duplicateValues" dxfId="3" priority="4"/>
  </conditionalFormatting>
  <conditionalFormatting sqref="F110:F175">
    <cfRule type="duplicateValues" dxfId="2" priority="2"/>
  </conditionalFormatting>
  <conditionalFormatting sqref="F176:F178">
    <cfRule type="duplicateValues" dxfId="1" priority="5"/>
  </conditionalFormatting>
  <conditionalFormatting sqref="F206:F529">
    <cfRule type="duplicateValues" dxfId="0" priority="1"/>
  </conditionalFormatting>
  <printOptions horizontalCentered="1"/>
  <pageMargins left="0.51181102362204722" right="0.51181102362204722" top="0.55118110236220474" bottom="0.55118110236220474" header="0.31496062992125984" footer="0.31496062992125984"/>
  <pageSetup scale="56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A236C-C9DC-4FE4-9054-C038EDAC9887}">
  <dimension ref="B2:Q72"/>
  <sheetViews>
    <sheetView showGridLines="0" zoomScale="90" zoomScaleNormal="90" workbookViewId="0">
      <selection activeCell="G8" sqref="G8"/>
    </sheetView>
  </sheetViews>
  <sheetFormatPr baseColWidth="10" defaultColWidth="10.85546875" defaultRowHeight="12"/>
  <cols>
    <col min="1" max="1" width="4" style="3" customWidth="1"/>
    <col min="2" max="2" width="6.5703125" style="3" customWidth="1"/>
    <col min="3" max="3" width="19" style="3" customWidth="1"/>
    <col min="4" max="4" width="16.5703125" style="3" customWidth="1"/>
    <col min="5" max="5" width="26.140625" style="3" customWidth="1"/>
    <col min="6" max="6" width="14.140625" style="3" customWidth="1"/>
    <col min="7" max="7" width="17.140625" style="3" customWidth="1"/>
    <col min="8" max="8" width="21" style="3" customWidth="1"/>
    <col min="9" max="9" width="23.42578125" style="3" customWidth="1"/>
    <col min="10" max="16384" width="10.85546875" style="3"/>
  </cols>
  <sheetData>
    <row r="2" spans="2:17">
      <c r="B2" s="1"/>
      <c r="C2" s="2"/>
      <c r="D2" s="2"/>
      <c r="E2" s="2"/>
      <c r="F2" s="2"/>
      <c r="G2" s="2"/>
      <c r="H2" s="2"/>
      <c r="I2" s="40"/>
    </row>
    <row r="3" spans="2:17" ht="15.95" customHeight="1">
      <c r="B3" s="4"/>
      <c r="C3" s="260" t="s">
        <v>0</v>
      </c>
      <c r="D3" s="260"/>
      <c r="E3" s="6"/>
      <c r="F3" s="5"/>
      <c r="G3" s="260" t="s">
        <v>1</v>
      </c>
      <c r="H3" s="260"/>
      <c r="I3" s="8"/>
      <c r="M3" s="257"/>
      <c r="N3" s="257"/>
      <c r="O3" s="257"/>
      <c r="P3" s="257"/>
      <c r="Q3" s="257"/>
    </row>
    <row r="4" spans="2:17" ht="15.6" customHeight="1">
      <c r="B4" s="4"/>
      <c r="C4" s="257" t="s">
        <v>2</v>
      </c>
      <c r="D4" s="257"/>
      <c r="E4" s="7"/>
      <c r="F4" s="9"/>
      <c r="G4" s="257" t="s">
        <v>587</v>
      </c>
      <c r="H4" s="257"/>
      <c r="I4" s="8"/>
      <c r="M4" s="257"/>
      <c r="N4" s="257"/>
      <c r="O4" s="257"/>
      <c r="P4" s="257"/>
      <c r="Q4" s="257"/>
    </row>
    <row r="5" spans="2:17" ht="12" customHeight="1">
      <c r="B5" s="4"/>
      <c r="C5" s="9"/>
      <c r="D5" s="9"/>
      <c r="E5" s="9"/>
      <c r="F5" s="9"/>
      <c r="G5" s="9"/>
      <c r="H5" s="9"/>
      <c r="I5" s="8"/>
      <c r="M5" s="9"/>
      <c r="N5" s="9"/>
      <c r="O5" s="9"/>
      <c r="P5" s="9"/>
      <c r="Q5" s="9"/>
    </row>
    <row r="6" spans="2:17" ht="15" customHeight="1">
      <c r="B6" s="10"/>
      <c r="C6" s="257" t="s">
        <v>33</v>
      </c>
      <c r="D6" s="257"/>
      <c r="E6" s="257"/>
      <c r="F6" s="257"/>
      <c r="G6" s="257"/>
      <c r="H6" s="257"/>
      <c r="I6" s="8"/>
      <c r="J6" s="7"/>
      <c r="K6" s="7"/>
      <c r="M6" s="258"/>
      <c r="N6" s="258"/>
      <c r="O6" s="258"/>
      <c r="P6" s="258"/>
      <c r="Q6" s="258"/>
    </row>
    <row r="7" spans="2:17" ht="15" customHeight="1">
      <c r="B7" s="10"/>
      <c r="C7" s="258" t="s">
        <v>34</v>
      </c>
      <c r="D7" s="258"/>
      <c r="E7" s="258"/>
      <c r="F7" s="258"/>
      <c r="G7" s="258"/>
      <c r="H7" s="258"/>
      <c r="I7" s="12"/>
      <c r="M7" s="258"/>
      <c r="N7" s="258"/>
      <c r="O7" s="258"/>
      <c r="P7" s="258"/>
      <c r="Q7" s="258"/>
    </row>
    <row r="8" spans="2:17" ht="12.95" customHeight="1">
      <c r="B8" s="10"/>
      <c r="C8" s="11"/>
      <c r="D8" s="11"/>
      <c r="E8" s="11"/>
      <c r="F8" s="11"/>
      <c r="G8" s="11"/>
      <c r="H8" s="11"/>
      <c r="I8" s="12"/>
      <c r="M8" s="11"/>
      <c r="N8" s="11"/>
      <c r="O8" s="11"/>
      <c r="P8" s="11"/>
      <c r="Q8" s="11"/>
    </row>
    <row r="9" spans="2:17" hidden="1">
      <c r="B9" s="69" t="s">
        <v>3</v>
      </c>
      <c r="C9" s="175" t="s">
        <v>4</v>
      </c>
      <c r="D9" s="175" t="s">
        <v>5</v>
      </c>
      <c r="E9" s="175" t="s">
        <v>6</v>
      </c>
      <c r="F9" s="175" t="s">
        <v>7</v>
      </c>
      <c r="G9" s="175" t="s">
        <v>8</v>
      </c>
      <c r="H9" s="175" t="s">
        <v>9</v>
      </c>
      <c r="I9" s="70" t="s">
        <v>10</v>
      </c>
    </row>
    <row r="10" spans="2:17">
      <c r="B10" s="16"/>
      <c r="I10" s="45"/>
    </row>
    <row r="11" spans="2:17">
      <c r="B11" s="16"/>
      <c r="C11" s="17" t="s">
        <v>11</v>
      </c>
      <c r="D11" s="17"/>
      <c r="H11" s="94">
        <v>125230746.09</v>
      </c>
      <c r="I11" s="45"/>
    </row>
    <row r="12" spans="2:17">
      <c r="B12" s="16"/>
      <c r="C12" s="17" t="s">
        <v>12</v>
      </c>
      <c r="D12" s="17"/>
      <c r="H12" s="94">
        <v>127579132.39</v>
      </c>
      <c r="I12" s="45"/>
    </row>
    <row r="13" spans="2:17" ht="12.75" thickBot="1">
      <c r="B13" s="16"/>
      <c r="C13" s="18" t="s">
        <v>13</v>
      </c>
      <c r="D13" s="18"/>
      <c r="E13" s="19"/>
      <c r="F13" s="19"/>
      <c r="G13" s="19"/>
      <c r="H13" s="63">
        <f>+H11-H12</f>
        <v>-2348386.299999997</v>
      </c>
      <c r="I13" s="45"/>
    </row>
    <row r="14" spans="2:17" ht="12.75" thickTop="1">
      <c r="B14" s="16"/>
      <c r="I14" s="45"/>
    </row>
    <row r="15" spans="2:17">
      <c r="B15" s="16"/>
      <c r="H15" s="59"/>
      <c r="I15" s="45"/>
    </row>
    <row r="16" spans="2:17" ht="12.75" thickBot="1">
      <c r="B16" s="20"/>
      <c r="C16" s="17" t="s">
        <v>14</v>
      </c>
      <c r="D16" s="17"/>
      <c r="H16" s="47">
        <f>SUM(H19:H24)</f>
        <v>230000</v>
      </c>
      <c r="I16" s="45"/>
    </row>
    <row r="17" spans="2:9" ht="12.75" thickTop="1">
      <c r="B17" s="20"/>
      <c r="C17" s="17"/>
      <c r="D17" s="17"/>
      <c r="I17" s="45"/>
    </row>
    <row r="18" spans="2:9">
      <c r="B18" s="13" t="s">
        <v>3</v>
      </c>
      <c r="C18" s="14" t="s">
        <v>4</v>
      </c>
      <c r="D18" s="14" t="s">
        <v>5</v>
      </c>
      <c r="E18" s="14" t="s">
        <v>6</v>
      </c>
      <c r="F18" s="14" t="s">
        <v>7</v>
      </c>
      <c r="G18" s="14" t="s">
        <v>8</v>
      </c>
      <c r="H18" s="14" t="s">
        <v>9</v>
      </c>
      <c r="I18" s="15" t="s">
        <v>10</v>
      </c>
    </row>
    <row r="19" spans="2:9">
      <c r="B19" s="22">
        <v>1</v>
      </c>
      <c r="C19" s="26">
        <v>46141</v>
      </c>
      <c r="D19" s="26">
        <v>46141</v>
      </c>
      <c r="E19" s="35" t="s">
        <v>395</v>
      </c>
      <c r="F19" s="35"/>
      <c r="G19" s="71"/>
      <c r="H19" s="198">
        <v>230000</v>
      </c>
      <c r="I19" s="45"/>
    </row>
    <row r="20" spans="2:9">
      <c r="B20" s="22">
        <v>2</v>
      </c>
      <c r="C20" s="26"/>
      <c r="D20" s="26"/>
      <c r="E20" s="35"/>
      <c r="F20" s="71"/>
      <c r="H20" s="198"/>
      <c r="I20" s="45"/>
    </row>
    <row r="21" spans="2:9">
      <c r="B21" s="22">
        <v>3</v>
      </c>
      <c r="C21" s="26"/>
      <c r="D21" s="26"/>
      <c r="H21" s="199"/>
      <c r="I21" s="45"/>
    </row>
    <row r="22" spans="2:9">
      <c r="B22" s="22">
        <v>4</v>
      </c>
      <c r="C22" s="26"/>
      <c r="D22" s="26"/>
      <c r="H22" s="198"/>
      <c r="I22" s="45"/>
    </row>
    <row r="23" spans="2:9">
      <c r="B23" s="22">
        <v>5</v>
      </c>
      <c r="C23" s="26"/>
      <c r="D23" s="26"/>
      <c r="H23" s="198"/>
      <c r="I23" s="45"/>
    </row>
    <row r="24" spans="2:9">
      <c r="B24" s="22">
        <v>6</v>
      </c>
      <c r="C24" s="26"/>
      <c r="D24" s="26"/>
      <c r="I24" s="45"/>
    </row>
    <row r="25" spans="2:9">
      <c r="B25" s="22">
        <v>7</v>
      </c>
      <c r="I25" s="45"/>
    </row>
    <row r="26" spans="2:9" ht="12.75" thickBot="1">
      <c r="B26" s="22">
        <v>8</v>
      </c>
      <c r="C26" s="17" t="s">
        <v>15</v>
      </c>
      <c r="D26" s="17"/>
      <c r="H26" s="47">
        <f>SUM(H29:H32)</f>
        <v>0</v>
      </c>
      <c r="I26" s="45"/>
    </row>
    <row r="27" spans="2:9" ht="12.75" thickTop="1">
      <c r="B27" s="22">
        <v>9</v>
      </c>
      <c r="C27" s="17"/>
      <c r="D27" s="17"/>
      <c r="I27" s="45"/>
    </row>
    <row r="28" spans="2:9">
      <c r="B28" s="22">
        <v>10</v>
      </c>
      <c r="C28" s="14" t="s">
        <v>4</v>
      </c>
      <c r="D28" s="14" t="s">
        <v>5</v>
      </c>
      <c r="E28" s="14" t="s">
        <v>6</v>
      </c>
      <c r="F28" s="14"/>
      <c r="G28" s="14" t="s">
        <v>8</v>
      </c>
      <c r="H28" s="14" t="s">
        <v>9</v>
      </c>
      <c r="I28" s="25"/>
    </row>
    <row r="29" spans="2:9">
      <c r="B29" s="22">
        <v>11</v>
      </c>
      <c r="C29" s="23"/>
      <c r="D29" s="176"/>
      <c r="H29" s="86"/>
      <c r="I29" s="45"/>
    </row>
    <row r="30" spans="2:9">
      <c r="B30" s="22">
        <v>12</v>
      </c>
      <c r="C30" s="23"/>
      <c r="D30" s="176"/>
      <c r="H30" s="86"/>
      <c r="I30" s="45"/>
    </row>
    <row r="31" spans="2:9">
      <c r="B31" s="22">
        <v>13</v>
      </c>
      <c r="C31" s="23"/>
      <c r="D31" s="176"/>
      <c r="H31" s="86"/>
      <c r="I31" s="45"/>
    </row>
    <row r="32" spans="2:9">
      <c r="B32" s="22">
        <v>14</v>
      </c>
      <c r="C32" s="23"/>
      <c r="D32" s="176"/>
      <c r="H32" s="86"/>
      <c r="I32" s="45"/>
    </row>
    <row r="33" spans="2:9" ht="11.45" customHeight="1">
      <c r="B33" s="22">
        <v>15</v>
      </c>
      <c r="I33" s="45"/>
    </row>
    <row r="34" spans="2:9" ht="12.75" thickBot="1">
      <c r="B34" s="22">
        <v>16</v>
      </c>
      <c r="C34" s="17" t="s">
        <v>16</v>
      </c>
      <c r="D34" s="17"/>
      <c r="H34" s="47">
        <f>SUM(H37)</f>
        <v>0</v>
      </c>
      <c r="I34" s="45"/>
    </row>
    <row r="35" spans="2:9" ht="12.75" thickTop="1">
      <c r="B35" s="22">
        <v>17</v>
      </c>
      <c r="C35" s="17"/>
      <c r="D35" s="17"/>
      <c r="I35" s="45"/>
    </row>
    <row r="36" spans="2:9">
      <c r="B36" s="22">
        <v>18</v>
      </c>
      <c r="C36" s="14" t="s">
        <v>4</v>
      </c>
      <c r="D36" s="14" t="s">
        <v>5</v>
      </c>
      <c r="E36" s="14" t="s">
        <v>6</v>
      </c>
      <c r="F36" s="14"/>
      <c r="G36" s="14" t="s">
        <v>8</v>
      </c>
      <c r="H36" s="14" t="s">
        <v>9</v>
      </c>
      <c r="I36" s="25"/>
    </row>
    <row r="37" spans="2:9">
      <c r="B37" s="22">
        <v>19</v>
      </c>
      <c r="I37" s="64"/>
    </row>
    <row r="38" spans="2:9">
      <c r="B38" s="22">
        <v>20</v>
      </c>
      <c r="I38" s="64"/>
    </row>
    <row r="39" spans="2:9" ht="12.75" thickBot="1">
      <c r="B39" s="22">
        <v>21</v>
      </c>
      <c r="C39" s="17" t="s">
        <v>17</v>
      </c>
      <c r="D39" s="17"/>
      <c r="H39" s="73">
        <f>SUM(H42:H56)</f>
        <v>2578384</v>
      </c>
      <c r="I39" s="45"/>
    </row>
    <row r="40" spans="2:9" ht="12.75" thickTop="1">
      <c r="B40" s="22">
        <v>22</v>
      </c>
      <c r="C40" s="17"/>
      <c r="D40" s="17"/>
      <c r="I40" s="45"/>
    </row>
    <row r="41" spans="2:9">
      <c r="B41" s="22">
        <v>23</v>
      </c>
      <c r="C41" s="14" t="s">
        <v>4</v>
      </c>
      <c r="D41" s="14" t="s">
        <v>5</v>
      </c>
      <c r="E41" s="14" t="s">
        <v>6</v>
      </c>
      <c r="F41" s="14"/>
      <c r="G41" s="14" t="s">
        <v>8</v>
      </c>
      <c r="H41" s="14" t="s">
        <v>9</v>
      </c>
      <c r="I41" s="25"/>
    </row>
    <row r="42" spans="2:9">
      <c r="B42" s="22">
        <v>24</v>
      </c>
      <c r="C42" s="76">
        <v>46121</v>
      </c>
      <c r="D42" s="76">
        <v>46121</v>
      </c>
      <c r="E42" s="24" t="s">
        <v>1891</v>
      </c>
      <c r="G42" s="3" t="s">
        <v>1892</v>
      </c>
      <c r="H42" s="27">
        <v>126000</v>
      </c>
      <c r="I42" s="115"/>
    </row>
    <row r="43" spans="2:9">
      <c r="B43" s="22">
        <v>25</v>
      </c>
      <c r="C43" s="76">
        <v>46122</v>
      </c>
      <c r="D43" s="76">
        <v>46122</v>
      </c>
      <c r="E43" s="24" t="s">
        <v>1893</v>
      </c>
      <c r="G43" s="3" t="s">
        <v>1894</v>
      </c>
      <c r="H43" s="27">
        <v>146000</v>
      </c>
      <c r="I43" s="45"/>
    </row>
    <row r="44" spans="2:9">
      <c r="B44" s="22">
        <v>26</v>
      </c>
      <c r="C44" s="76">
        <v>46126</v>
      </c>
      <c r="D44" s="76">
        <v>46126</v>
      </c>
      <c r="E44" s="24" t="s">
        <v>1895</v>
      </c>
      <c r="G44" s="3" t="s">
        <v>1896</v>
      </c>
      <c r="H44" s="27">
        <v>340350</v>
      </c>
      <c r="I44" s="45"/>
    </row>
    <row r="45" spans="2:9">
      <c r="B45" s="22">
        <v>27</v>
      </c>
      <c r="C45" s="76">
        <v>46126</v>
      </c>
      <c r="D45" s="76">
        <v>46126</v>
      </c>
      <c r="E45" s="24" t="s">
        <v>1897</v>
      </c>
      <c r="G45" s="24" t="s">
        <v>1898</v>
      </c>
      <c r="H45" s="27">
        <v>91800</v>
      </c>
      <c r="I45" s="45"/>
    </row>
    <row r="46" spans="2:9">
      <c r="B46" s="22">
        <v>28</v>
      </c>
      <c r="C46" s="76">
        <v>46127</v>
      </c>
      <c r="D46" s="76">
        <v>46127</v>
      </c>
      <c r="E46" s="24" t="s">
        <v>1899</v>
      </c>
      <c r="G46" s="24" t="s">
        <v>1900</v>
      </c>
      <c r="H46" s="27">
        <v>77550</v>
      </c>
      <c r="I46" s="45"/>
    </row>
    <row r="47" spans="2:9">
      <c r="B47" s="22">
        <v>29</v>
      </c>
      <c r="C47" s="76">
        <v>46129</v>
      </c>
      <c r="D47" s="76">
        <v>46129</v>
      </c>
      <c r="E47" s="24" t="s">
        <v>1901</v>
      </c>
      <c r="G47" s="24" t="s">
        <v>1902</v>
      </c>
      <c r="H47" s="27">
        <v>439700</v>
      </c>
      <c r="I47" s="45"/>
    </row>
    <row r="48" spans="2:9">
      <c r="B48" s="22">
        <v>30</v>
      </c>
      <c r="C48" s="76">
        <v>46130</v>
      </c>
      <c r="D48" s="76">
        <v>46130</v>
      </c>
      <c r="E48" s="24" t="s">
        <v>1903</v>
      </c>
      <c r="G48" s="24" t="s">
        <v>1904</v>
      </c>
      <c r="H48" s="27">
        <v>432394</v>
      </c>
      <c r="I48" s="45"/>
    </row>
    <row r="49" spans="2:9">
      <c r="B49" s="22">
        <v>31</v>
      </c>
      <c r="C49" s="76">
        <v>46134</v>
      </c>
      <c r="D49" s="76">
        <v>46134</v>
      </c>
      <c r="E49" s="24" t="s">
        <v>1905</v>
      </c>
      <c r="G49" s="24" t="s">
        <v>1906</v>
      </c>
      <c r="H49" s="27">
        <v>192000</v>
      </c>
      <c r="I49" s="45"/>
    </row>
    <row r="50" spans="2:9">
      <c r="B50" s="22">
        <v>32</v>
      </c>
      <c r="C50" s="76">
        <v>46135</v>
      </c>
      <c r="D50" s="76">
        <v>46135</v>
      </c>
      <c r="E50" s="24" t="s">
        <v>1907</v>
      </c>
      <c r="G50" s="24" t="s">
        <v>1908</v>
      </c>
      <c r="H50" s="27">
        <v>214800</v>
      </c>
      <c r="I50" s="45"/>
    </row>
    <row r="51" spans="2:9">
      <c r="B51" s="22">
        <v>33</v>
      </c>
      <c r="C51" s="76">
        <v>46142</v>
      </c>
      <c r="D51" s="76">
        <v>46142</v>
      </c>
      <c r="E51" s="24" t="s">
        <v>585</v>
      </c>
      <c r="G51" s="24" t="s">
        <v>1909</v>
      </c>
      <c r="H51" s="27">
        <v>65520</v>
      </c>
      <c r="I51" s="45"/>
    </row>
    <row r="52" spans="2:9">
      <c r="B52" s="22">
        <v>34</v>
      </c>
      <c r="C52" s="76">
        <v>46142</v>
      </c>
      <c r="D52" s="76">
        <v>46142</v>
      </c>
      <c r="E52" s="24" t="s">
        <v>523</v>
      </c>
      <c r="G52" s="24" t="s">
        <v>1910</v>
      </c>
      <c r="H52" s="27">
        <v>26250</v>
      </c>
      <c r="I52" s="45"/>
    </row>
    <row r="53" spans="2:9">
      <c r="B53" s="22">
        <v>35</v>
      </c>
      <c r="C53" s="76">
        <v>46142</v>
      </c>
      <c r="D53" s="76">
        <v>46142</v>
      </c>
      <c r="E53" s="24" t="s">
        <v>1911</v>
      </c>
      <c r="G53" s="24" t="s">
        <v>1912</v>
      </c>
      <c r="H53" s="27">
        <v>426020</v>
      </c>
      <c r="I53" s="45"/>
    </row>
    <row r="54" spans="2:9">
      <c r="B54" s="22">
        <v>36</v>
      </c>
      <c r="C54" s="76"/>
      <c r="D54" s="76"/>
      <c r="E54" s="24"/>
      <c r="G54" s="24"/>
      <c r="H54" s="57"/>
      <c r="I54" s="45"/>
    </row>
    <row r="55" spans="2:9">
      <c r="B55" s="22">
        <v>37</v>
      </c>
      <c r="C55" s="76"/>
      <c r="D55" s="76"/>
      <c r="E55" s="24"/>
      <c r="G55" s="24"/>
      <c r="H55" s="57"/>
      <c r="I55" s="45"/>
    </row>
    <row r="56" spans="2:9">
      <c r="B56" s="22">
        <v>38</v>
      </c>
      <c r="C56" s="76"/>
      <c r="D56" s="76"/>
      <c r="E56" s="24"/>
      <c r="G56" s="24"/>
      <c r="H56" s="57"/>
      <c r="I56" s="45"/>
    </row>
    <row r="57" spans="2:9" ht="12.75" thickBot="1">
      <c r="B57" s="16"/>
      <c r="C57" s="18" t="s">
        <v>18</v>
      </c>
      <c r="D57" s="18"/>
      <c r="E57" s="29"/>
      <c r="F57" s="29"/>
      <c r="G57" s="29"/>
      <c r="H57" s="63">
        <f>$H$11-$H$16-$H$26+$H$34+$H$39-$H$12</f>
        <v>-2.2999999970197678</v>
      </c>
      <c r="I57" s="45"/>
    </row>
    <row r="58" spans="2:9" ht="12.75" thickTop="1">
      <c r="B58" s="16"/>
      <c r="I58" s="45"/>
    </row>
    <row r="59" spans="2:9">
      <c r="B59" s="16"/>
      <c r="I59" s="45"/>
    </row>
    <row r="60" spans="2:9">
      <c r="B60" s="16"/>
      <c r="E60" s="11"/>
      <c r="F60" s="11"/>
      <c r="G60" s="11"/>
      <c r="H60" s="11"/>
      <c r="I60" s="45"/>
    </row>
    <row r="61" spans="2:9">
      <c r="B61" s="16"/>
      <c r="I61" s="45"/>
    </row>
    <row r="62" spans="2:9" ht="14.45" customHeight="1">
      <c r="B62" s="16"/>
      <c r="C62" s="31"/>
      <c r="D62" s="30" t="s">
        <v>19</v>
      </c>
      <c r="E62" s="11" t="s">
        <v>20</v>
      </c>
      <c r="F62" s="258" t="s">
        <v>21</v>
      </c>
      <c r="G62" s="258"/>
      <c r="H62" s="31"/>
      <c r="I62" s="45"/>
    </row>
    <row r="63" spans="2:9">
      <c r="B63" s="32"/>
      <c r="C63" s="33"/>
      <c r="D63" s="33"/>
      <c r="E63" s="33"/>
      <c r="F63" s="33"/>
      <c r="G63" s="33"/>
      <c r="H63" s="33"/>
      <c r="I63" s="54"/>
    </row>
    <row r="66" spans="2:9">
      <c r="B66" s="34"/>
      <c r="C66" s="17" t="s">
        <v>22</v>
      </c>
      <c r="D66" s="17"/>
    </row>
    <row r="67" spans="2:9">
      <c r="C67" s="17"/>
      <c r="D67" s="17"/>
    </row>
    <row r="68" spans="2:9">
      <c r="B68" s="36"/>
      <c r="C68" s="17" t="s">
        <v>23</v>
      </c>
      <c r="D68" s="17"/>
    </row>
    <row r="70" spans="2:9">
      <c r="B70" s="39"/>
      <c r="C70" s="37" t="s">
        <v>24</v>
      </c>
      <c r="D70" s="37"/>
    </row>
    <row r="72" spans="2:9">
      <c r="B72" s="38"/>
      <c r="C72" s="17" t="s">
        <v>25</v>
      </c>
      <c r="D72" s="28"/>
      <c r="E72" s="28"/>
      <c r="F72" s="28"/>
      <c r="G72" s="28"/>
      <c r="H72" s="28"/>
      <c r="I72" s="59"/>
    </row>
  </sheetData>
  <autoFilter ref="B18:I57" xr:uid="{D5E30E85-77B4-4EF6-A431-83D33734CE01}"/>
  <mergeCells count="11">
    <mergeCell ref="C3:D3"/>
    <mergeCell ref="G3:H3"/>
    <mergeCell ref="M3:Q3"/>
    <mergeCell ref="C4:D4"/>
    <mergeCell ref="G4:H4"/>
    <mergeCell ref="M4:Q4"/>
    <mergeCell ref="C6:H6"/>
    <mergeCell ref="M6:Q6"/>
    <mergeCell ref="C7:H7"/>
    <mergeCell ref="M7:Q7"/>
    <mergeCell ref="F62:G62"/>
  </mergeCells>
  <pageMargins left="0.7" right="0.7" top="0.75" bottom="0.75" header="0.3" footer="0.3"/>
  <pageSetup paperSize="9" scale="56" orientation="portrait" r:id="rId1"/>
  <colBreaks count="1" manualBreakCount="1">
    <brk id="9" max="6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3E19C-06AD-4C70-A14B-EE2A5796B6E9}">
  <dimension ref="B2:Q52"/>
  <sheetViews>
    <sheetView showGridLines="0" zoomScale="110" zoomScaleNormal="110" zoomScaleSheetLayoutView="178" workbookViewId="0">
      <selection activeCell="F11" sqref="F11"/>
    </sheetView>
  </sheetViews>
  <sheetFormatPr baseColWidth="10" defaultColWidth="10.85546875" defaultRowHeight="12"/>
  <cols>
    <col min="1" max="1" width="5.42578125" style="3" customWidth="1"/>
    <col min="2" max="2" width="6.5703125" style="3" customWidth="1"/>
    <col min="3" max="3" width="20.28515625" style="3" customWidth="1"/>
    <col min="4" max="4" width="17.5703125" style="3" customWidth="1"/>
    <col min="5" max="5" width="26.42578125" style="3" bestFit="1" customWidth="1"/>
    <col min="6" max="6" width="7.85546875" style="3" customWidth="1"/>
    <col min="7" max="7" width="15.85546875" style="3" customWidth="1"/>
    <col min="8" max="8" width="18" style="3" customWidth="1"/>
    <col min="9" max="9" width="31.7109375" style="3" customWidth="1"/>
    <col min="10" max="16384" width="10.85546875" style="3"/>
  </cols>
  <sheetData>
    <row r="2" spans="2:17">
      <c r="B2" s="1"/>
      <c r="C2" s="2"/>
      <c r="D2" s="2"/>
      <c r="E2" s="2"/>
      <c r="F2" s="2"/>
      <c r="G2" s="2"/>
      <c r="H2" s="2"/>
      <c r="I2" s="40"/>
    </row>
    <row r="3" spans="2:17" ht="21" customHeight="1">
      <c r="B3" s="41"/>
      <c r="C3" s="263" t="s">
        <v>0</v>
      </c>
      <c r="D3" s="263"/>
      <c r="E3" s="56"/>
      <c r="F3" s="55"/>
      <c r="G3" s="263" t="s">
        <v>1</v>
      </c>
      <c r="H3" s="263"/>
      <c r="I3" s="42"/>
      <c r="M3" s="262"/>
      <c r="N3" s="262"/>
      <c r="O3" s="262"/>
      <c r="P3" s="262"/>
      <c r="Q3" s="262"/>
    </row>
    <row r="4" spans="2:17" ht="12" customHeight="1">
      <c r="B4" s="41"/>
      <c r="C4" s="262" t="s">
        <v>2</v>
      </c>
      <c r="D4" s="262"/>
      <c r="E4" s="44"/>
      <c r="F4" s="43"/>
      <c r="G4" s="262" t="s">
        <v>587</v>
      </c>
      <c r="H4" s="262"/>
      <c r="I4" s="42"/>
      <c r="M4" s="262"/>
      <c r="N4" s="262"/>
      <c r="O4" s="262"/>
      <c r="P4" s="262"/>
      <c r="Q4" s="262"/>
    </row>
    <row r="5" spans="2:17" ht="12" customHeight="1">
      <c r="B5" s="41"/>
      <c r="C5" s="43"/>
      <c r="D5" s="43"/>
      <c r="E5" s="43"/>
      <c r="F5" s="43"/>
      <c r="G5" s="43"/>
      <c r="H5" s="43"/>
      <c r="I5" s="42"/>
      <c r="M5" s="43"/>
      <c r="N5" s="43"/>
      <c r="O5" s="43"/>
      <c r="P5" s="43"/>
      <c r="Q5" s="43"/>
    </row>
    <row r="6" spans="2:17" ht="12.95" customHeight="1">
      <c r="B6" s="10"/>
      <c r="C6" s="262" t="s">
        <v>29</v>
      </c>
      <c r="D6" s="262"/>
      <c r="E6" s="262"/>
      <c r="F6" s="262"/>
      <c r="G6" s="262"/>
      <c r="H6" s="262"/>
      <c r="I6" s="42"/>
      <c r="J6" s="44"/>
      <c r="M6" s="258"/>
      <c r="N6" s="258"/>
      <c r="O6" s="258"/>
      <c r="P6" s="258"/>
      <c r="Q6" s="258"/>
    </row>
    <row r="7" spans="2:17" ht="12.95" customHeight="1">
      <c r="B7" s="10"/>
      <c r="C7" s="258" t="s">
        <v>30</v>
      </c>
      <c r="D7" s="258"/>
      <c r="E7" s="258"/>
      <c r="F7" s="258"/>
      <c r="G7" s="258"/>
      <c r="H7" s="258"/>
      <c r="I7" s="12"/>
      <c r="M7" s="258"/>
      <c r="N7" s="258"/>
      <c r="O7" s="258"/>
      <c r="P7" s="258"/>
      <c r="Q7" s="258"/>
    </row>
    <row r="8" spans="2:17" ht="12.95" customHeight="1">
      <c r="B8" s="10"/>
      <c r="C8" s="11"/>
      <c r="D8" s="11"/>
      <c r="E8" s="11"/>
      <c r="F8" s="11"/>
      <c r="G8" s="11"/>
      <c r="H8" s="11"/>
      <c r="I8" s="12"/>
      <c r="M8" s="11"/>
      <c r="N8" s="11"/>
      <c r="O8" s="11"/>
      <c r="P8" s="11"/>
      <c r="Q8" s="11"/>
    </row>
    <row r="9" spans="2:17">
      <c r="B9" s="16"/>
      <c r="C9" s="17" t="s">
        <v>11</v>
      </c>
      <c r="D9" s="17"/>
      <c r="H9" s="57">
        <v>22013012</v>
      </c>
      <c r="I9" s="45"/>
    </row>
    <row r="10" spans="2:17">
      <c r="B10" s="16"/>
      <c r="C10" s="17" t="s">
        <v>12</v>
      </c>
      <c r="D10" s="17"/>
      <c r="H10" s="57">
        <v>22013012</v>
      </c>
      <c r="I10" s="45"/>
    </row>
    <row r="11" spans="2:17" ht="12.75" thickBot="1">
      <c r="B11" s="16"/>
      <c r="C11" s="18" t="s">
        <v>13</v>
      </c>
      <c r="D11" s="18"/>
      <c r="E11" s="19"/>
      <c r="F11" s="19"/>
      <c r="G11" s="19"/>
      <c r="H11" s="46">
        <f>+H9-H10</f>
        <v>0</v>
      </c>
      <c r="I11" s="45"/>
    </row>
    <row r="12" spans="2:17" ht="12.75" thickTop="1">
      <c r="B12" s="16"/>
      <c r="I12" s="45"/>
    </row>
    <row r="13" spans="2:17">
      <c r="B13" s="16"/>
      <c r="I13" s="45"/>
    </row>
    <row r="14" spans="2:17" ht="12.75" thickBot="1">
      <c r="B14" s="20"/>
      <c r="C14" s="17" t="s">
        <v>14</v>
      </c>
      <c r="D14" s="17"/>
      <c r="H14" s="47">
        <f>SUM(H17)</f>
        <v>0</v>
      </c>
      <c r="I14" s="45"/>
    </row>
    <row r="15" spans="2:17" ht="12.75" thickTop="1">
      <c r="B15" s="20"/>
      <c r="C15" s="17"/>
      <c r="D15" s="17"/>
      <c r="I15" s="45"/>
    </row>
    <row r="16" spans="2:17">
      <c r="B16" s="13" t="s">
        <v>3</v>
      </c>
      <c r="C16" s="14" t="s">
        <v>4</v>
      </c>
      <c r="D16" s="14" t="s">
        <v>5</v>
      </c>
      <c r="E16" s="14" t="s">
        <v>6</v>
      </c>
      <c r="F16" s="14"/>
      <c r="G16" s="14" t="s">
        <v>8</v>
      </c>
      <c r="H16" s="14" t="s">
        <v>9</v>
      </c>
      <c r="I16" s="15" t="s">
        <v>28</v>
      </c>
    </row>
    <row r="17" spans="2:9">
      <c r="B17" s="22">
        <v>1</v>
      </c>
      <c r="C17" s="26"/>
      <c r="D17" s="26"/>
      <c r="E17" s="35"/>
      <c r="F17" s="35"/>
      <c r="H17" s="48"/>
      <c r="I17" s="45"/>
    </row>
    <row r="18" spans="2:9">
      <c r="B18" s="22">
        <v>2</v>
      </c>
      <c r="I18" s="45"/>
    </row>
    <row r="19" spans="2:9" ht="12.75" thickBot="1">
      <c r="B19" s="22">
        <v>3</v>
      </c>
      <c r="C19" s="17" t="s">
        <v>15</v>
      </c>
      <c r="D19" s="17"/>
      <c r="H19" s="49"/>
      <c r="I19" s="45"/>
    </row>
    <row r="20" spans="2:9" ht="12.75" thickTop="1">
      <c r="B20" s="22">
        <v>4</v>
      </c>
      <c r="C20" s="17"/>
      <c r="D20" s="17"/>
      <c r="I20" s="45"/>
    </row>
    <row r="21" spans="2:9">
      <c r="B21" s="22">
        <v>5</v>
      </c>
      <c r="C21" s="14" t="s">
        <v>4</v>
      </c>
      <c r="D21" s="14" t="s">
        <v>5</v>
      </c>
      <c r="E21" s="14" t="s">
        <v>6</v>
      </c>
      <c r="F21" s="14"/>
      <c r="G21" s="14" t="s">
        <v>8</v>
      </c>
      <c r="H21" s="14" t="s">
        <v>9</v>
      </c>
      <c r="I21" s="25"/>
    </row>
    <row r="22" spans="2:9">
      <c r="B22" s="22">
        <v>6</v>
      </c>
      <c r="C22" s="26"/>
      <c r="D22" s="26"/>
      <c r="I22" s="45"/>
    </row>
    <row r="23" spans="2:9">
      <c r="B23" s="22">
        <v>7</v>
      </c>
      <c r="I23" s="45"/>
    </row>
    <row r="24" spans="2:9" ht="12.75" thickBot="1">
      <c r="B24" s="22">
        <v>8</v>
      </c>
      <c r="C24" s="17" t="s">
        <v>16</v>
      </c>
      <c r="D24" s="17"/>
      <c r="H24" s="47">
        <f>SUM(H27)</f>
        <v>0</v>
      </c>
      <c r="I24" s="45"/>
    </row>
    <row r="25" spans="2:9" ht="12.75" thickTop="1">
      <c r="B25" s="22">
        <v>9</v>
      </c>
      <c r="C25" s="17"/>
      <c r="D25" s="17"/>
      <c r="I25" s="45"/>
    </row>
    <row r="26" spans="2:9">
      <c r="B26" s="22">
        <v>10</v>
      </c>
      <c r="C26" s="14" t="s">
        <v>4</v>
      </c>
      <c r="D26" s="14" t="s">
        <v>5</v>
      </c>
      <c r="E26" s="14" t="s">
        <v>6</v>
      </c>
      <c r="F26" s="14"/>
      <c r="G26" s="14" t="s">
        <v>8</v>
      </c>
      <c r="H26" s="14" t="s">
        <v>9</v>
      </c>
      <c r="I26" s="25"/>
    </row>
    <row r="27" spans="2:9">
      <c r="B27" s="22">
        <v>11</v>
      </c>
      <c r="C27" s="26"/>
      <c r="D27" s="26"/>
      <c r="E27" s="35"/>
      <c r="F27" s="35"/>
      <c r="H27" s="48"/>
      <c r="I27" s="45"/>
    </row>
    <row r="28" spans="2:9">
      <c r="B28" s="22">
        <v>12</v>
      </c>
      <c r="I28" s="45"/>
    </row>
    <row r="29" spans="2:9" ht="12.75" thickBot="1">
      <c r="B29" s="22">
        <v>13</v>
      </c>
      <c r="C29" s="17" t="s">
        <v>17</v>
      </c>
      <c r="D29" s="17"/>
      <c r="H29" s="21">
        <f>SUM(H32)</f>
        <v>0</v>
      </c>
      <c r="I29" s="45"/>
    </row>
    <row r="30" spans="2:9" ht="12.75" thickTop="1">
      <c r="B30" s="22">
        <v>14</v>
      </c>
      <c r="C30" s="17"/>
      <c r="D30" s="17"/>
      <c r="I30" s="45"/>
    </row>
    <row r="31" spans="2:9">
      <c r="B31" s="22">
        <v>15</v>
      </c>
      <c r="C31" s="14" t="s">
        <v>4</v>
      </c>
      <c r="D31" s="14" t="s">
        <v>5</v>
      </c>
      <c r="E31" s="14" t="s">
        <v>6</v>
      </c>
      <c r="F31" s="14"/>
      <c r="G31" s="14" t="s">
        <v>8</v>
      </c>
      <c r="H31" s="14" t="s">
        <v>9</v>
      </c>
      <c r="I31" s="25"/>
    </row>
    <row r="32" spans="2:9">
      <c r="B32" s="22">
        <v>16</v>
      </c>
      <c r="C32" s="26"/>
      <c r="D32" s="26"/>
      <c r="H32" s="58"/>
      <c r="I32" s="45"/>
    </row>
    <row r="33" spans="2:9">
      <c r="B33" s="22">
        <v>17</v>
      </c>
      <c r="I33" s="45"/>
    </row>
    <row r="34" spans="2:9">
      <c r="B34" s="16"/>
      <c r="I34" s="45"/>
    </row>
    <row r="35" spans="2:9">
      <c r="B35" s="16"/>
      <c r="I35" s="45"/>
    </row>
    <row r="36" spans="2:9" ht="12.75" thickBot="1">
      <c r="B36" s="16"/>
      <c r="C36" s="18" t="s">
        <v>18</v>
      </c>
      <c r="D36" s="18"/>
      <c r="E36" s="29"/>
      <c r="F36" s="29"/>
      <c r="G36" s="29"/>
      <c r="H36" s="46">
        <f>+H9-H14-H19+H24+H29-H10</f>
        <v>0</v>
      </c>
      <c r="I36" s="45"/>
    </row>
    <row r="37" spans="2:9" ht="12.75" thickTop="1">
      <c r="B37" s="16"/>
      <c r="I37" s="45"/>
    </row>
    <row r="38" spans="2:9">
      <c r="B38" s="16"/>
      <c r="I38" s="45"/>
    </row>
    <row r="39" spans="2:9">
      <c r="B39" s="16"/>
      <c r="I39" s="45"/>
    </row>
    <row r="40" spans="2:9">
      <c r="B40" s="16"/>
      <c r="E40" s="11"/>
      <c r="F40" s="258"/>
      <c r="G40" s="258"/>
      <c r="H40" s="11"/>
      <c r="I40" s="45"/>
    </row>
    <row r="41" spans="2:9">
      <c r="B41" s="16"/>
      <c r="I41" s="45"/>
    </row>
    <row r="42" spans="2:9">
      <c r="B42" s="16"/>
      <c r="D42" s="30" t="s">
        <v>19</v>
      </c>
      <c r="E42" s="258" t="s">
        <v>20</v>
      </c>
      <c r="F42" s="258"/>
      <c r="G42" s="258" t="s">
        <v>21</v>
      </c>
      <c r="H42" s="258"/>
      <c r="I42" s="45"/>
    </row>
    <row r="43" spans="2:9">
      <c r="B43" s="32"/>
      <c r="C43" s="33"/>
      <c r="D43" s="33"/>
      <c r="E43" s="33"/>
      <c r="F43" s="33"/>
      <c r="G43" s="33"/>
      <c r="H43" s="33"/>
      <c r="I43" s="54"/>
    </row>
    <row r="46" spans="2:9">
      <c r="B46" s="34"/>
      <c r="C46" s="17" t="s">
        <v>22</v>
      </c>
      <c r="D46" s="17"/>
    </row>
    <row r="47" spans="2:9">
      <c r="C47" s="17"/>
      <c r="D47" s="17"/>
    </row>
    <row r="48" spans="2:9">
      <c r="B48" s="36"/>
      <c r="C48" s="17" t="s">
        <v>23</v>
      </c>
      <c r="D48" s="17"/>
    </row>
    <row r="50" spans="2:11">
      <c r="B50" s="39"/>
      <c r="C50" s="37" t="s">
        <v>24</v>
      </c>
      <c r="D50" s="37"/>
    </row>
    <row r="52" spans="2:11">
      <c r="B52" s="38"/>
      <c r="C52" s="17" t="s">
        <v>25</v>
      </c>
      <c r="D52" s="28"/>
      <c r="E52" s="28"/>
      <c r="F52" s="28"/>
      <c r="G52" s="28"/>
      <c r="H52" s="28"/>
      <c r="I52" s="28"/>
      <c r="K52" s="59"/>
    </row>
  </sheetData>
  <mergeCells count="13">
    <mergeCell ref="E42:F42"/>
    <mergeCell ref="G42:H42"/>
    <mergeCell ref="C3:D3"/>
    <mergeCell ref="G3:H3"/>
    <mergeCell ref="M3:Q3"/>
    <mergeCell ref="C4:D4"/>
    <mergeCell ref="G4:H4"/>
    <mergeCell ref="M4:Q4"/>
    <mergeCell ref="C6:H6"/>
    <mergeCell ref="M6:Q6"/>
    <mergeCell ref="C7:H7"/>
    <mergeCell ref="M7:Q7"/>
    <mergeCell ref="F40:G40"/>
  </mergeCells>
  <pageMargins left="0.7" right="0.7" top="0.75" bottom="0.75" header="0.3" footer="0.3"/>
  <pageSetup paperSize="9" scale="6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792E6-4DAE-4C59-BD5F-E3EA5E15446E}">
  <dimension ref="B2:Q45"/>
  <sheetViews>
    <sheetView showGridLines="0" zoomScaleNormal="100" zoomScaleSheetLayoutView="208" workbookViewId="0">
      <selection activeCell="D34" sqref="D34"/>
    </sheetView>
  </sheetViews>
  <sheetFormatPr baseColWidth="10" defaultColWidth="10.85546875" defaultRowHeight="12"/>
  <cols>
    <col min="1" max="1" width="5.42578125" style="3" customWidth="1"/>
    <col min="2" max="2" width="6.5703125" style="3" customWidth="1"/>
    <col min="3" max="3" width="18.42578125" style="3" customWidth="1"/>
    <col min="4" max="4" width="20.85546875" style="3" customWidth="1"/>
    <col min="5" max="5" width="26.42578125" style="3" bestFit="1" customWidth="1"/>
    <col min="6" max="6" width="7.85546875" style="3" customWidth="1"/>
    <col min="7" max="7" width="15.85546875" style="3" customWidth="1"/>
    <col min="8" max="8" width="18" style="3" customWidth="1"/>
    <col min="9" max="9" width="24.5703125" style="3" customWidth="1"/>
    <col min="10" max="10" width="12.7109375" style="3" bestFit="1" customWidth="1"/>
    <col min="11" max="16384" width="10.85546875" style="3"/>
  </cols>
  <sheetData>
    <row r="2" spans="2:17">
      <c r="B2" s="1"/>
      <c r="C2" s="2"/>
      <c r="D2" s="2"/>
      <c r="E2" s="2"/>
      <c r="F2" s="2"/>
      <c r="G2" s="2"/>
      <c r="H2" s="2"/>
      <c r="I2" s="40"/>
    </row>
    <row r="3" spans="2:17" ht="21" customHeight="1">
      <c r="B3" s="41"/>
      <c r="C3" s="263" t="s">
        <v>0</v>
      </c>
      <c r="D3" s="263"/>
      <c r="E3" s="56"/>
      <c r="F3" s="55"/>
      <c r="G3" s="263" t="s">
        <v>1</v>
      </c>
      <c r="H3" s="263"/>
      <c r="I3" s="42"/>
      <c r="M3" s="262"/>
      <c r="N3" s="262"/>
      <c r="O3" s="262"/>
      <c r="P3" s="262"/>
      <c r="Q3" s="262"/>
    </row>
    <row r="4" spans="2:17" ht="12" customHeight="1">
      <c r="B4" s="41"/>
      <c r="C4" s="262" t="s">
        <v>2</v>
      </c>
      <c r="D4" s="262"/>
      <c r="E4" s="44"/>
      <c r="F4" s="43"/>
      <c r="G4" s="262" t="s">
        <v>1914</v>
      </c>
      <c r="H4" s="262"/>
      <c r="I4" s="42"/>
      <c r="M4" s="262"/>
      <c r="N4" s="262"/>
      <c r="O4" s="262"/>
      <c r="P4" s="262"/>
      <c r="Q4" s="262"/>
    </row>
    <row r="5" spans="2:17" ht="12" customHeight="1">
      <c r="B5" s="41"/>
      <c r="C5" s="43"/>
      <c r="D5" s="43"/>
      <c r="E5" s="43"/>
      <c r="F5" s="43"/>
      <c r="G5" s="43"/>
      <c r="H5" s="43"/>
      <c r="I5" s="42"/>
      <c r="M5" s="43"/>
      <c r="N5" s="43"/>
      <c r="O5" s="43"/>
      <c r="P5" s="43"/>
      <c r="Q5" s="43"/>
    </row>
    <row r="6" spans="2:17" ht="12.95" customHeight="1">
      <c r="B6" s="10"/>
      <c r="C6" s="262" t="s">
        <v>35</v>
      </c>
      <c r="D6" s="262"/>
      <c r="E6" s="262"/>
      <c r="F6" s="262"/>
      <c r="G6" s="262"/>
      <c r="H6" s="262"/>
      <c r="I6" s="42"/>
      <c r="J6" s="44"/>
      <c r="M6" s="258"/>
      <c r="N6" s="258"/>
      <c r="O6" s="258"/>
      <c r="P6" s="258"/>
      <c r="Q6" s="258"/>
    </row>
    <row r="7" spans="2:17" ht="12.95" customHeight="1">
      <c r="B7" s="10"/>
      <c r="C7" s="258" t="s">
        <v>36</v>
      </c>
      <c r="D7" s="258"/>
      <c r="E7" s="258"/>
      <c r="F7" s="258"/>
      <c r="G7" s="258"/>
      <c r="H7" s="258"/>
      <c r="I7" s="12"/>
      <c r="M7" s="258"/>
      <c r="N7" s="258"/>
      <c r="O7" s="258"/>
      <c r="P7" s="258"/>
      <c r="Q7" s="258"/>
    </row>
    <row r="8" spans="2:17" ht="12.95" customHeight="1">
      <c r="B8" s="10"/>
      <c r="C8" s="11"/>
      <c r="D8" s="11"/>
      <c r="E8" s="11"/>
      <c r="F8" s="11"/>
      <c r="G8" s="11"/>
      <c r="H8" s="11"/>
      <c r="I8" s="12"/>
      <c r="M8" s="11"/>
      <c r="N8" s="11"/>
      <c r="O8" s="11"/>
      <c r="P8" s="11"/>
      <c r="Q8" s="11"/>
    </row>
    <row r="9" spans="2:17">
      <c r="B9" s="16"/>
      <c r="C9" s="17" t="s">
        <v>11</v>
      </c>
      <c r="D9" s="17"/>
      <c r="H9" s="161">
        <v>1080482200.78</v>
      </c>
      <c r="I9" s="45"/>
    </row>
    <row r="10" spans="2:17">
      <c r="B10" s="16"/>
      <c r="C10" s="17" t="s">
        <v>12</v>
      </c>
      <c r="D10" s="17"/>
      <c r="H10" s="161">
        <v>1080482200.78</v>
      </c>
      <c r="I10" s="45"/>
      <c r="J10" s="74"/>
    </row>
    <row r="11" spans="2:17" ht="12.75" thickBot="1">
      <c r="B11" s="16"/>
      <c r="C11" s="18" t="s">
        <v>13</v>
      </c>
      <c r="D11" s="18"/>
      <c r="E11" s="19"/>
      <c r="F11" s="19"/>
      <c r="G11" s="19"/>
      <c r="H11" s="78">
        <f>+H9-H10</f>
        <v>0</v>
      </c>
      <c r="I11" s="45"/>
    </row>
    <row r="12" spans="2:17" ht="12.75" thickTop="1">
      <c r="B12" s="16"/>
      <c r="I12" s="45"/>
    </row>
    <row r="13" spans="2:17">
      <c r="B13" s="16"/>
      <c r="I13" s="45"/>
    </row>
    <row r="14" spans="2:17" ht="12.75" thickBot="1">
      <c r="B14" s="20"/>
      <c r="C14" s="17" t="s">
        <v>14</v>
      </c>
      <c r="D14" s="17"/>
      <c r="H14" s="47">
        <f>SUM(H17)</f>
        <v>0</v>
      </c>
      <c r="I14" s="45"/>
    </row>
    <row r="15" spans="2:17" ht="12.75" thickTop="1">
      <c r="B15" s="20"/>
      <c r="C15" s="17"/>
      <c r="D15" s="17"/>
      <c r="I15" s="45"/>
    </row>
    <row r="16" spans="2:17">
      <c r="B16" s="13" t="s">
        <v>3</v>
      </c>
      <c r="C16" s="14" t="s">
        <v>4</v>
      </c>
      <c r="D16" s="14" t="s">
        <v>5</v>
      </c>
      <c r="E16" s="14" t="s">
        <v>6</v>
      </c>
      <c r="F16" s="14"/>
      <c r="G16" s="14" t="s">
        <v>8</v>
      </c>
      <c r="H16" s="14" t="s">
        <v>9</v>
      </c>
      <c r="I16" s="15" t="s">
        <v>28</v>
      </c>
    </row>
    <row r="17" spans="2:9">
      <c r="B17" s="22">
        <v>1</v>
      </c>
      <c r="C17" s="26"/>
      <c r="D17" s="26"/>
      <c r="E17" s="35"/>
      <c r="F17" s="35"/>
      <c r="H17" s="75"/>
      <c r="I17" s="45"/>
    </row>
    <row r="18" spans="2:9">
      <c r="B18" s="22">
        <v>2</v>
      </c>
      <c r="I18" s="45"/>
    </row>
    <row r="19" spans="2:9" ht="12.75" thickBot="1">
      <c r="B19" s="22">
        <v>3</v>
      </c>
      <c r="C19" s="17" t="s">
        <v>15</v>
      </c>
      <c r="D19" s="17"/>
      <c r="H19" s="49"/>
      <c r="I19" s="45"/>
    </row>
    <row r="20" spans="2:9" ht="12.75" thickTop="1">
      <c r="B20" s="22">
        <v>4</v>
      </c>
      <c r="C20" s="17"/>
      <c r="D20" s="17"/>
      <c r="I20" s="45"/>
    </row>
    <row r="21" spans="2:9">
      <c r="B21" s="22">
        <v>5</v>
      </c>
      <c r="C21" s="14" t="s">
        <v>4</v>
      </c>
      <c r="D21" s="14" t="s">
        <v>5</v>
      </c>
      <c r="E21" s="14" t="s">
        <v>6</v>
      </c>
      <c r="F21" s="14"/>
      <c r="G21" s="14" t="s">
        <v>8</v>
      </c>
      <c r="H21" s="14" t="s">
        <v>9</v>
      </c>
      <c r="I21" s="25"/>
    </row>
    <row r="22" spans="2:9">
      <c r="B22" s="22">
        <v>6</v>
      </c>
      <c r="C22" s="26"/>
      <c r="D22" s="26"/>
      <c r="I22" s="45"/>
    </row>
    <row r="23" spans="2:9">
      <c r="B23" s="22">
        <v>7</v>
      </c>
      <c r="I23" s="45"/>
    </row>
    <row r="24" spans="2:9" ht="12.75" thickBot="1">
      <c r="B24" s="22">
        <v>8</v>
      </c>
      <c r="C24" s="17" t="s">
        <v>16</v>
      </c>
      <c r="D24" s="17"/>
      <c r="H24" s="47">
        <f>SUM(H27:H28)</f>
        <v>0</v>
      </c>
      <c r="I24" s="64"/>
    </row>
    <row r="25" spans="2:9" ht="12.75" thickTop="1">
      <c r="B25" s="22">
        <v>9</v>
      </c>
      <c r="C25" s="17"/>
      <c r="D25" s="17"/>
      <c r="I25" s="45"/>
    </row>
    <row r="26" spans="2:9">
      <c r="B26" s="22">
        <v>10</v>
      </c>
      <c r="C26" s="14" t="s">
        <v>4</v>
      </c>
      <c r="D26" s="14" t="s">
        <v>5</v>
      </c>
      <c r="E26" s="14" t="s">
        <v>6</v>
      </c>
      <c r="F26" s="14"/>
      <c r="G26" s="14" t="s">
        <v>8</v>
      </c>
      <c r="H26" s="14" t="s">
        <v>9</v>
      </c>
      <c r="I26" s="25"/>
    </row>
    <row r="27" spans="2:9">
      <c r="B27" s="22">
        <v>11</v>
      </c>
      <c r="C27" s="26"/>
      <c r="D27" s="26"/>
      <c r="E27" s="35"/>
      <c r="F27" s="35"/>
      <c r="H27" s="75"/>
      <c r="I27" s="45"/>
    </row>
    <row r="28" spans="2:9">
      <c r="B28" s="22">
        <v>12</v>
      </c>
      <c r="C28" s="26"/>
      <c r="D28" s="26"/>
      <c r="E28" s="35"/>
      <c r="F28" s="35"/>
      <c r="H28" s="75"/>
      <c r="I28" s="45"/>
    </row>
    <row r="29" spans="2:9">
      <c r="B29" s="22">
        <v>13</v>
      </c>
      <c r="I29" s="45"/>
    </row>
    <row r="30" spans="2:9" ht="12.75" thickBot="1">
      <c r="B30" s="22">
        <v>14</v>
      </c>
      <c r="C30" s="17" t="s">
        <v>17</v>
      </c>
      <c r="D30" s="17"/>
      <c r="H30" s="49"/>
      <c r="I30" s="45"/>
    </row>
    <row r="31" spans="2:9" ht="12.75" thickTop="1">
      <c r="B31" s="22">
        <v>15</v>
      </c>
      <c r="C31" s="17"/>
      <c r="D31" s="17"/>
      <c r="I31" s="45"/>
    </row>
    <row r="32" spans="2:9">
      <c r="B32" s="22">
        <v>16</v>
      </c>
      <c r="C32" s="14" t="s">
        <v>4</v>
      </c>
      <c r="D32" s="14" t="s">
        <v>5</v>
      </c>
      <c r="E32" s="14" t="s">
        <v>6</v>
      </c>
      <c r="F32" s="14"/>
      <c r="G32" s="14" t="s">
        <v>8</v>
      </c>
      <c r="H32" s="14" t="s">
        <v>9</v>
      </c>
      <c r="I32" s="25"/>
    </row>
    <row r="33" spans="2:9">
      <c r="B33" s="22">
        <v>17</v>
      </c>
      <c r="C33" s="26"/>
      <c r="D33" s="26"/>
      <c r="I33" s="45"/>
    </row>
    <row r="34" spans="2:9">
      <c r="B34" s="22">
        <v>18</v>
      </c>
      <c r="I34" s="45"/>
    </row>
    <row r="35" spans="2:9">
      <c r="B35" s="16"/>
      <c r="I35" s="45"/>
    </row>
    <row r="36" spans="2:9">
      <c r="B36" s="16"/>
      <c r="I36" s="45"/>
    </row>
    <row r="37" spans="2:9" ht="12.75" thickBot="1">
      <c r="B37" s="16"/>
      <c r="C37" s="18" t="s">
        <v>18</v>
      </c>
      <c r="D37" s="18"/>
      <c r="E37" s="29"/>
      <c r="F37" s="29"/>
      <c r="G37" s="29"/>
      <c r="H37" s="79">
        <f>+H9-H14-H19+H24+H30-H10</f>
        <v>0</v>
      </c>
      <c r="I37" s="45"/>
    </row>
    <row r="38" spans="2:9" ht="12.75" thickTop="1">
      <c r="B38" s="16"/>
      <c r="I38" s="45"/>
    </row>
    <row r="39" spans="2:9">
      <c r="B39" s="16"/>
      <c r="I39" s="45"/>
    </row>
    <row r="40" spans="2:9">
      <c r="B40" s="16"/>
      <c r="I40" s="45"/>
    </row>
    <row r="41" spans="2:9">
      <c r="B41" s="16"/>
      <c r="E41" s="11"/>
      <c r="F41" s="258"/>
      <c r="G41" s="258"/>
      <c r="H41" s="11"/>
      <c r="I41" s="45"/>
    </row>
    <row r="42" spans="2:9">
      <c r="B42" s="16"/>
      <c r="E42" s="11"/>
      <c r="F42" s="11"/>
      <c r="G42" s="11"/>
      <c r="H42" s="11"/>
      <c r="I42" s="45"/>
    </row>
    <row r="43" spans="2:9">
      <c r="B43" s="16"/>
      <c r="I43" s="45"/>
    </row>
    <row r="44" spans="2:9" ht="14.45" customHeight="1">
      <c r="B44" s="16"/>
      <c r="D44" s="30" t="s">
        <v>19</v>
      </c>
      <c r="E44" s="258" t="s">
        <v>20</v>
      </c>
      <c r="F44" s="258"/>
      <c r="G44" s="258" t="s">
        <v>21</v>
      </c>
      <c r="H44" s="258"/>
      <c r="I44" s="45"/>
    </row>
    <row r="45" spans="2:9">
      <c r="B45" s="32"/>
      <c r="C45" s="33"/>
      <c r="D45" s="33"/>
      <c r="E45" s="33"/>
      <c r="F45" s="33"/>
      <c r="G45" s="33"/>
      <c r="H45" s="33"/>
      <c r="I45" s="54"/>
    </row>
  </sheetData>
  <mergeCells count="13">
    <mergeCell ref="E44:F44"/>
    <mergeCell ref="G44:H44"/>
    <mergeCell ref="C3:D3"/>
    <mergeCell ref="G3:H3"/>
    <mergeCell ref="M3:Q3"/>
    <mergeCell ref="C4:D4"/>
    <mergeCell ref="G4:H4"/>
    <mergeCell ref="M4:Q4"/>
    <mergeCell ref="C6:H6"/>
    <mergeCell ref="M6:Q6"/>
    <mergeCell ref="C7:H7"/>
    <mergeCell ref="M7:Q7"/>
    <mergeCell ref="F41:G41"/>
  </mergeCells>
  <pageMargins left="0.7" right="0.7" top="0.75" bottom="0.75" header="0.3" footer="0.3"/>
  <pageSetup paperSize="9" scale="6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43AD6-460E-4706-9CD3-EC90DF923041}">
  <dimension ref="B2:Q53"/>
  <sheetViews>
    <sheetView showGridLines="0" topLeftCell="A3" zoomScale="98" zoomScaleNormal="98" zoomScaleSheetLayoutView="50" workbookViewId="0">
      <selection activeCell="D35" sqref="D35"/>
    </sheetView>
  </sheetViews>
  <sheetFormatPr baseColWidth="10" defaultColWidth="10.85546875" defaultRowHeight="12"/>
  <cols>
    <col min="1" max="1" width="5.42578125" style="3" customWidth="1"/>
    <col min="2" max="2" width="6.5703125" style="3" customWidth="1"/>
    <col min="3" max="3" width="20.28515625" style="3" customWidth="1"/>
    <col min="4" max="4" width="20.140625" style="3" customWidth="1"/>
    <col min="5" max="5" width="49" style="3" customWidth="1"/>
    <col min="6" max="6" width="7.7109375" style="3" customWidth="1"/>
    <col min="7" max="7" width="14.28515625" style="3" bestFit="1" customWidth="1"/>
    <col min="8" max="8" width="12.28515625" style="3" bestFit="1" customWidth="1"/>
    <col min="9" max="9" width="50.7109375" style="3" bestFit="1" customWidth="1"/>
    <col min="10" max="16384" width="10.85546875" style="3"/>
  </cols>
  <sheetData>
    <row r="2" spans="2:17">
      <c r="B2" s="1"/>
      <c r="C2" s="2"/>
      <c r="D2" s="2"/>
      <c r="E2" s="2"/>
      <c r="F2" s="2"/>
      <c r="G2" s="2"/>
      <c r="H2" s="2"/>
      <c r="I2" s="40"/>
    </row>
    <row r="3" spans="2:17" ht="21" customHeight="1">
      <c r="B3" s="4"/>
      <c r="C3" s="260" t="s">
        <v>0</v>
      </c>
      <c r="D3" s="260"/>
      <c r="E3" s="6"/>
      <c r="F3" s="5"/>
      <c r="G3" s="260" t="s">
        <v>1</v>
      </c>
      <c r="H3" s="260"/>
      <c r="I3" s="8"/>
      <c r="M3" s="257"/>
      <c r="N3" s="257"/>
      <c r="O3" s="257"/>
      <c r="P3" s="257"/>
      <c r="Q3" s="257"/>
    </row>
    <row r="4" spans="2:17" ht="12" customHeight="1">
      <c r="B4" s="4"/>
      <c r="C4" s="257" t="s">
        <v>2</v>
      </c>
      <c r="D4" s="257"/>
      <c r="E4" s="7"/>
      <c r="F4" s="9"/>
      <c r="G4" s="257" t="s">
        <v>587</v>
      </c>
      <c r="H4" s="257"/>
      <c r="I4" s="8"/>
      <c r="M4" s="257"/>
      <c r="N4" s="257"/>
      <c r="O4" s="257"/>
      <c r="P4" s="257"/>
      <c r="Q4" s="257"/>
    </row>
    <row r="5" spans="2:17" ht="12" customHeight="1">
      <c r="B5" s="4"/>
      <c r="C5" s="9"/>
      <c r="D5" s="9"/>
      <c r="E5" s="9"/>
      <c r="F5" s="9"/>
      <c r="G5" s="9"/>
      <c r="H5" s="9"/>
      <c r="I5" s="8"/>
      <c r="M5" s="9"/>
      <c r="N5" s="9"/>
      <c r="O5" s="9"/>
      <c r="P5" s="9"/>
      <c r="Q5" s="9"/>
    </row>
    <row r="6" spans="2:17" ht="12.95" customHeight="1">
      <c r="B6" s="10"/>
      <c r="C6" s="257" t="s">
        <v>31</v>
      </c>
      <c r="D6" s="257"/>
      <c r="E6" s="257"/>
      <c r="F6" s="257"/>
      <c r="G6" s="257"/>
      <c r="H6" s="257"/>
      <c r="I6" s="8"/>
      <c r="J6" s="7"/>
      <c r="M6" s="258"/>
      <c r="N6" s="258"/>
      <c r="O6" s="258"/>
      <c r="P6" s="258"/>
      <c r="Q6" s="258"/>
    </row>
    <row r="7" spans="2:17" ht="12.95" customHeight="1">
      <c r="B7" s="10"/>
      <c r="C7" s="258" t="s">
        <v>32</v>
      </c>
      <c r="D7" s="258"/>
      <c r="E7" s="258"/>
      <c r="F7" s="258"/>
      <c r="G7" s="258"/>
      <c r="H7" s="258"/>
      <c r="I7" s="12"/>
      <c r="M7" s="258"/>
      <c r="N7" s="258"/>
      <c r="O7" s="258"/>
      <c r="P7" s="258"/>
      <c r="Q7" s="258"/>
    </row>
    <row r="8" spans="2:17" ht="12.95" customHeight="1">
      <c r="B8" s="10"/>
      <c r="C8" s="11"/>
      <c r="D8" s="11"/>
      <c r="E8" s="11"/>
      <c r="F8" s="11"/>
      <c r="G8" s="11"/>
      <c r="H8" s="11"/>
      <c r="I8" s="12"/>
      <c r="M8" s="11"/>
      <c r="N8" s="11"/>
      <c r="O8" s="11"/>
      <c r="P8" s="11"/>
      <c r="Q8" s="11"/>
    </row>
    <row r="9" spans="2:17">
      <c r="B9" s="16"/>
      <c r="C9" s="17" t="s">
        <v>11</v>
      </c>
      <c r="D9" s="17"/>
      <c r="H9" s="196">
        <v>1393642</v>
      </c>
      <c r="I9" s="196"/>
    </row>
    <row r="10" spans="2:17">
      <c r="B10" s="16"/>
      <c r="C10" s="17" t="s">
        <v>12</v>
      </c>
      <c r="D10" s="17"/>
      <c r="H10" s="196">
        <v>1545315.39</v>
      </c>
      <c r="I10" s="61"/>
      <c r="J10" s="62"/>
    </row>
    <row r="11" spans="2:17" ht="12.75" thickBot="1">
      <c r="B11" s="16"/>
      <c r="C11" s="18" t="s">
        <v>13</v>
      </c>
      <c r="D11" s="18"/>
      <c r="E11" s="19"/>
      <c r="F11" s="19"/>
      <c r="G11" s="19"/>
      <c r="H11" s="63">
        <f>+H9-H10</f>
        <v>-151673.3899999999</v>
      </c>
      <c r="I11" s="64"/>
    </row>
    <row r="12" spans="2:17" ht="12.75" thickTop="1">
      <c r="B12" s="16"/>
      <c r="I12" s="45"/>
    </row>
    <row r="13" spans="2:17">
      <c r="B13" s="16"/>
      <c r="I13" s="45"/>
    </row>
    <row r="14" spans="2:17" ht="12.75" thickBot="1">
      <c r="B14" s="20"/>
      <c r="C14" s="17" t="s">
        <v>14</v>
      </c>
      <c r="D14" s="17"/>
      <c r="H14" s="47">
        <f>SUM(H17:H19)</f>
        <v>0</v>
      </c>
      <c r="I14" s="45"/>
    </row>
    <row r="15" spans="2:17" ht="12.75" thickTop="1">
      <c r="B15" s="20"/>
      <c r="C15" s="17"/>
      <c r="D15" s="17"/>
      <c r="I15" s="45"/>
    </row>
    <row r="16" spans="2:17">
      <c r="B16" s="13" t="s">
        <v>3</v>
      </c>
      <c r="C16" s="14" t="s">
        <v>4</v>
      </c>
      <c r="D16" s="14" t="s">
        <v>5</v>
      </c>
      <c r="E16" s="14" t="s">
        <v>6</v>
      </c>
      <c r="F16" s="14"/>
      <c r="G16" s="14" t="s">
        <v>8</v>
      </c>
      <c r="H16" s="14" t="s">
        <v>9</v>
      </c>
      <c r="I16" s="15" t="s">
        <v>10</v>
      </c>
    </row>
    <row r="17" spans="2:10">
      <c r="B17" s="22">
        <v>1</v>
      </c>
      <c r="C17" s="23"/>
      <c r="D17" s="23"/>
      <c r="H17" s="62"/>
      <c r="I17" s="45"/>
    </row>
    <row r="18" spans="2:10">
      <c r="B18" s="22">
        <v>2</v>
      </c>
      <c r="C18" s="23"/>
      <c r="D18" s="23"/>
      <c r="H18" s="62"/>
      <c r="I18" s="45"/>
    </row>
    <row r="19" spans="2:10">
      <c r="B19" s="22">
        <v>3</v>
      </c>
      <c r="C19" s="26"/>
      <c r="D19" s="26"/>
      <c r="F19" s="35"/>
      <c r="H19" s="62"/>
      <c r="I19" s="45"/>
      <c r="J19" s="62"/>
    </row>
    <row r="20" spans="2:10" ht="12.75" thickBot="1">
      <c r="B20" s="22">
        <v>4</v>
      </c>
      <c r="C20" s="17" t="s">
        <v>15</v>
      </c>
      <c r="D20" s="17"/>
      <c r="H20" s="47">
        <f>SUM(H23:H23)</f>
        <v>0</v>
      </c>
      <c r="I20" s="45"/>
    </row>
    <row r="21" spans="2:10" ht="12.75" thickTop="1">
      <c r="B21" s="22">
        <v>5</v>
      </c>
      <c r="C21" s="17"/>
      <c r="D21" s="17"/>
      <c r="I21" s="45"/>
    </row>
    <row r="22" spans="2:10">
      <c r="B22" s="22">
        <v>6</v>
      </c>
      <c r="C22" s="14" t="s">
        <v>4</v>
      </c>
      <c r="D22" s="14" t="s">
        <v>5</v>
      </c>
      <c r="E22" s="14" t="s">
        <v>6</v>
      </c>
      <c r="F22" s="14"/>
      <c r="G22" s="14" t="s">
        <v>8</v>
      </c>
      <c r="H22" s="14"/>
      <c r="I22" s="45"/>
    </row>
    <row r="23" spans="2:10">
      <c r="B23" s="22">
        <v>7</v>
      </c>
      <c r="C23" s="65"/>
      <c r="D23" s="66"/>
      <c r="E23" s="66"/>
      <c r="G23" s="66"/>
      <c r="H23" s="60"/>
      <c r="I23" s="45"/>
    </row>
    <row r="24" spans="2:10">
      <c r="B24" s="22">
        <v>8</v>
      </c>
      <c r="I24" s="45"/>
    </row>
    <row r="25" spans="2:10" ht="12.75" thickBot="1">
      <c r="B25" s="22">
        <v>9</v>
      </c>
      <c r="C25" s="17" t="s">
        <v>16</v>
      </c>
      <c r="D25" s="17"/>
      <c r="H25" s="47">
        <f>SUM(H28:H28)</f>
        <v>151673</v>
      </c>
      <c r="I25" s="45"/>
    </row>
    <row r="26" spans="2:10" ht="12.75" thickTop="1">
      <c r="B26" s="22">
        <v>10</v>
      </c>
      <c r="C26" s="17"/>
      <c r="D26" s="17"/>
      <c r="I26" s="45"/>
    </row>
    <row r="27" spans="2:10">
      <c r="B27" s="22">
        <v>11</v>
      </c>
      <c r="C27" s="14" t="s">
        <v>4</v>
      </c>
      <c r="D27" s="14" t="s">
        <v>5</v>
      </c>
      <c r="E27" s="14" t="s">
        <v>6</v>
      </c>
      <c r="F27" s="14"/>
      <c r="G27" s="14" t="s">
        <v>8</v>
      </c>
      <c r="H27" s="14" t="s">
        <v>9</v>
      </c>
      <c r="I27" s="64"/>
    </row>
    <row r="28" spans="2:10">
      <c r="B28" s="22">
        <v>12</v>
      </c>
      <c r="C28" s="26">
        <v>46122</v>
      </c>
      <c r="D28" s="26">
        <v>46122</v>
      </c>
      <c r="E28" s="3" t="s">
        <v>1913</v>
      </c>
      <c r="H28" s="77">
        <v>151673</v>
      </c>
      <c r="I28" s="67"/>
    </row>
    <row r="29" spans="2:10">
      <c r="B29" s="22">
        <v>13</v>
      </c>
      <c r="C29" s="26"/>
      <c r="D29" s="26"/>
      <c r="I29" s="67"/>
    </row>
    <row r="30" spans="2:10" ht="12.75" thickBot="1">
      <c r="B30" s="22">
        <v>14</v>
      </c>
      <c r="C30" s="17" t="s">
        <v>17</v>
      </c>
      <c r="D30" s="17"/>
      <c r="H30" s="47">
        <f>SUM(H33:H34)</f>
        <v>0</v>
      </c>
      <c r="I30" s="45"/>
    </row>
    <row r="31" spans="2:10" ht="12.75" thickTop="1">
      <c r="B31" s="22">
        <v>15</v>
      </c>
      <c r="C31" s="17"/>
      <c r="D31" s="17"/>
      <c r="I31" s="67"/>
    </row>
    <row r="32" spans="2:10">
      <c r="B32" s="22">
        <v>16</v>
      </c>
      <c r="C32" s="14" t="s">
        <v>4</v>
      </c>
      <c r="D32" s="14" t="s">
        <v>5</v>
      </c>
      <c r="E32" s="14" t="s">
        <v>6</v>
      </c>
      <c r="F32" s="14"/>
      <c r="G32" s="14" t="s">
        <v>8</v>
      </c>
      <c r="H32" s="14" t="s">
        <v>9</v>
      </c>
      <c r="I32" s="45"/>
    </row>
    <row r="33" spans="2:9">
      <c r="B33" s="22">
        <v>17</v>
      </c>
      <c r="C33" s="23"/>
      <c r="D33" s="23"/>
      <c r="E33" s="66"/>
      <c r="H33" s="60"/>
      <c r="I33" s="45"/>
    </row>
    <row r="34" spans="2:9">
      <c r="B34" s="22">
        <v>18</v>
      </c>
      <c r="H34" s="60"/>
      <c r="I34" s="45"/>
    </row>
    <row r="35" spans="2:9">
      <c r="B35" s="22">
        <v>19</v>
      </c>
      <c r="H35" s="62"/>
      <c r="I35" s="45"/>
    </row>
    <row r="36" spans="2:9">
      <c r="B36" s="16"/>
      <c r="H36" s="62"/>
      <c r="I36" s="45"/>
    </row>
    <row r="37" spans="2:9" ht="12.75" thickBot="1">
      <c r="B37" s="16"/>
      <c r="C37" s="18" t="s">
        <v>18</v>
      </c>
      <c r="D37" s="18"/>
      <c r="E37" s="29"/>
      <c r="F37" s="29"/>
      <c r="G37" s="29"/>
      <c r="H37" s="63">
        <f>$H$9-$H$14-$H$20+$H$25+$H$30-$H$10</f>
        <v>-0.38999999989755452</v>
      </c>
      <c r="I37" s="45"/>
    </row>
    <row r="38" spans="2:9" ht="12.75" thickTop="1">
      <c r="B38" s="16"/>
      <c r="I38" s="45"/>
    </row>
    <row r="39" spans="2:9">
      <c r="B39" s="16"/>
      <c r="I39" s="45"/>
    </row>
    <row r="40" spans="2:9">
      <c r="B40" s="16"/>
      <c r="I40" s="45"/>
    </row>
    <row r="41" spans="2:9">
      <c r="B41" s="16"/>
      <c r="E41" s="11"/>
      <c r="F41" s="258"/>
      <c r="G41" s="258"/>
      <c r="H41" s="11"/>
      <c r="I41" s="45"/>
    </row>
    <row r="42" spans="2:9">
      <c r="B42" s="16"/>
      <c r="I42" s="45"/>
    </row>
    <row r="43" spans="2:9">
      <c r="B43" s="16"/>
      <c r="D43" s="30" t="s">
        <v>19</v>
      </c>
      <c r="E43" s="258" t="s">
        <v>20</v>
      </c>
      <c r="F43" s="258"/>
      <c r="G43" s="258" t="s">
        <v>21</v>
      </c>
      <c r="H43" s="258"/>
      <c r="I43" s="45"/>
    </row>
    <row r="44" spans="2:9">
      <c r="B44" s="32"/>
      <c r="C44" s="33"/>
      <c r="D44" s="33"/>
      <c r="E44" s="33"/>
      <c r="F44" s="33"/>
      <c r="G44" s="33"/>
      <c r="H44" s="33"/>
      <c r="I44" s="54"/>
    </row>
    <row r="47" spans="2:9">
      <c r="B47" s="34"/>
      <c r="C47" s="17" t="s">
        <v>22</v>
      </c>
      <c r="D47" s="17"/>
    </row>
    <row r="48" spans="2:9">
      <c r="C48" s="17"/>
      <c r="D48" s="17"/>
    </row>
    <row r="49" spans="2:11">
      <c r="B49" s="36"/>
      <c r="C49" s="17" t="s">
        <v>23</v>
      </c>
      <c r="D49" s="17"/>
    </row>
    <row r="51" spans="2:11">
      <c r="B51" s="39"/>
      <c r="C51" s="37" t="s">
        <v>24</v>
      </c>
      <c r="D51" s="37"/>
    </row>
    <row r="53" spans="2:11">
      <c r="B53" s="38"/>
      <c r="C53" s="17" t="s">
        <v>25</v>
      </c>
      <c r="D53" s="68"/>
      <c r="E53" s="68"/>
      <c r="F53" s="68"/>
      <c r="G53" s="68"/>
      <c r="H53" s="68"/>
      <c r="I53" s="68"/>
      <c r="K53" s="59"/>
    </row>
  </sheetData>
  <protectedRanges>
    <protectedRange sqref="C23:D23" name="Rango1_15_2"/>
    <protectedRange sqref="G23" name="Rango1_2_24_1"/>
    <protectedRange sqref="H23" name="Rango1_4_16"/>
    <protectedRange sqref="H33" name="Rango1_4_9_2"/>
    <protectedRange sqref="H34" name="Rango1_4_14_2"/>
  </protectedRanges>
  <autoFilter ref="B16:I33" xr:uid="{26679453-CE72-456A-B319-D564E87C559A}"/>
  <mergeCells count="13">
    <mergeCell ref="E43:F43"/>
    <mergeCell ref="G43:H43"/>
    <mergeCell ref="C3:D3"/>
    <mergeCell ref="G3:H3"/>
    <mergeCell ref="M3:Q3"/>
    <mergeCell ref="C4:D4"/>
    <mergeCell ref="G4:H4"/>
    <mergeCell ref="M4:Q4"/>
    <mergeCell ref="C6:H6"/>
    <mergeCell ref="M6:Q6"/>
    <mergeCell ref="C7:H7"/>
    <mergeCell ref="M7:Q7"/>
    <mergeCell ref="F41:G41"/>
  </mergeCells>
  <pageMargins left="0.7" right="0.7" top="0.75" bottom="0.75" header="0.3" footer="0.3"/>
  <pageSetup paperSize="9" scale="4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5CC8F-40E3-41A7-9F7C-603A9BB86A36}">
  <dimension ref="B2:Q45"/>
  <sheetViews>
    <sheetView showGridLines="0" zoomScaleNormal="100" zoomScaleSheetLayoutView="90" workbookViewId="0">
      <selection activeCell="H39" sqref="H39"/>
    </sheetView>
  </sheetViews>
  <sheetFormatPr baseColWidth="10" defaultColWidth="10.85546875" defaultRowHeight="12" customHeight="1"/>
  <cols>
    <col min="1" max="1" width="5.42578125" style="3" customWidth="1"/>
    <col min="2" max="2" width="4" style="3" bestFit="1" customWidth="1"/>
    <col min="3" max="3" width="26.7109375" style="3" customWidth="1"/>
    <col min="4" max="4" width="24" style="3" customWidth="1"/>
    <col min="5" max="5" width="18.5703125" style="3" customWidth="1"/>
    <col min="6" max="6" width="9" style="3" customWidth="1"/>
    <col min="7" max="7" width="11.140625" style="3" customWidth="1"/>
    <col min="8" max="8" width="14.140625" style="3" customWidth="1"/>
    <col min="9" max="9" width="28.7109375" style="3" customWidth="1"/>
    <col min="10" max="16384" width="10.85546875" style="3"/>
  </cols>
  <sheetData>
    <row r="2" spans="2:17">
      <c r="B2" s="1"/>
      <c r="C2" s="2"/>
      <c r="D2" s="2"/>
      <c r="E2" s="2"/>
      <c r="F2" s="2"/>
      <c r="G2" s="2"/>
      <c r="H2" s="2"/>
      <c r="I2" s="40"/>
    </row>
    <row r="3" spans="2:17">
      <c r="B3" s="41"/>
      <c r="C3" s="266" t="s">
        <v>0</v>
      </c>
      <c r="D3" s="266"/>
      <c r="E3" s="252"/>
      <c r="F3" s="251"/>
      <c r="G3" s="266" t="s">
        <v>1</v>
      </c>
      <c r="H3" s="266"/>
      <c r="I3" s="42"/>
      <c r="M3" s="262"/>
      <c r="N3" s="262"/>
      <c r="O3" s="262"/>
      <c r="P3" s="262"/>
      <c r="Q3" s="262"/>
    </row>
    <row r="4" spans="2:17">
      <c r="B4" s="41"/>
      <c r="C4" s="264" t="s">
        <v>2</v>
      </c>
      <c r="D4" s="264"/>
      <c r="E4" s="254"/>
      <c r="F4" s="253"/>
      <c r="G4" s="264" t="s">
        <v>587</v>
      </c>
      <c r="H4" s="264"/>
      <c r="I4" s="42"/>
      <c r="M4" s="262"/>
      <c r="N4" s="262"/>
      <c r="O4" s="262"/>
      <c r="P4" s="262"/>
      <c r="Q4" s="262"/>
    </row>
    <row r="5" spans="2:17">
      <c r="B5" s="41"/>
      <c r="C5" s="253"/>
      <c r="D5" s="253"/>
      <c r="E5" s="253"/>
      <c r="F5" s="253"/>
      <c r="G5" s="253"/>
      <c r="H5" s="253"/>
      <c r="I5" s="42"/>
      <c r="M5" s="43"/>
      <c r="N5" s="43"/>
      <c r="O5" s="43"/>
      <c r="P5" s="43"/>
      <c r="Q5" s="43"/>
    </row>
    <row r="6" spans="2:17">
      <c r="B6" s="10"/>
      <c r="C6" s="264" t="s">
        <v>26</v>
      </c>
      <c r="D6" s="264"/>
      <c r="E6" s="264"/>
      <c r="F6" s="264"/>
      <c r="G6" s="264"/>
      <c r="H6" s="264"/>
      <c r="I6" s="42"/>
      <c r="J6" s="44"/>
      <c r="M6" s="258"/>
      <c r="N6" s="258"/>
      <c r="O6" s="258"/>
      <c r="P6" s="258"/>
      <c r="Q6" s="258"/>
    </row>
    <row r="7" spans="2:17">
      <c r="B7" s="10"/>
      <c r="C7" s="265" t="s">
        <v>27</v>
      </c>
      <c r="D7" s="265"/>
      <c r="E7" s="265"/>
      <c r="F7" s="265"/>
      <c r="G7" s="265"/>
      <c r="H7" s="265"/>
      <c r="I7" s="12"/>
      <c r="M7" s="258"/>
      <c r="N7" s="258"/>
      <c r="O7" s="258"/>
      <c r="P7" s="258"/>
      <c r="Q7" s="258"/>
    </row>
    <row r="8" spans="2:17" ht="12" customHeight="1">
      <c r="B8" s="10"/>
      <c r="C8" s="255"/>
      <c r="D8" s="255"/>
      <c r="E8" s="255"/>
      <c r="F8" s="255"/>
      <c r="G8" s="255"/>
      <c r="H8" s="255"/>
      <c r="I8" s="12"/>
      <c r="M8" s="11"/>
      <c r="N8" s="11"/>
      <c r="O8" s="11"/>
      <c r="P8" s="11"/>
      <c r="Q8" s="11"/>
    </row>
    <row r="9" spans="2:17" ht="12" customHeight="1">
      <c r="B9" s="16"/>
      <c r="C9" s="17" t="s">
        <v>11</v>
      </c>
      <c r="D9" s="17"/>
      <c r="H9" s="80">
        <v>8842849</v>
      </c>
      <c r="I9" s="45"/>
    </row>
    <row r="10" spans="2:17" ht="12" customHeight="1">
      <c r="B10" s="16"/>
      <c r="C10" s="17" t="s">
        <v>12</v>
      </c>
      <c r="D10" s="17"/>
      <c r="H10" s="80">
        <v>8842849</v>
      </c>
      <c r="I10" s="45"/>
    </row>
    <row r="11" spans="2:17" ht="12" customHeight="1" thickBot="1">
      <c r="B11" s="16"/>
      <c r="C11" s="18" t="s">
        <v>13</v>
      </c>
      <c r="D11" s="18"/>
      <c r="E11" s="19"/>
      <c r="F11" s="19"/>
      <c r="G11" s="19"/>
      <c r="H11" s="46">
        <f>+H9-H10</f>
        <v>0</v>
      </c>
      <c r="I11" s="45"/>
    </row>
    <row r="12" spans="2:17" ht="12" customHeight="1" thickTop="1">
      <c r="B12" s="16"/>
      <c r="I12" s="45"/>
    </row>
    <row r="13" spans="2:17" ht="12" customHeight="1">
      <c r="B13" s="16"/>
      <c r="I13" s="45"/>
    </row>
    <row r="14" spans="2:17" ht="12" customHeight="1" thickBot="1">
      <c r="B14" s="20"/>
      <c r="C14" s="17" t="s">
        <v>14</v>
      </c>
      <c r="D14" s="17"/>
      <c r="H14" s="47">
        <f>SUM(H17)</f>
        <v>0</v>
      </c>
      <c r="I14" s="45"/>
    </row>
    <row r="15" spans="2:17" ht="12" customHeight="1" thickTop="1">
      <c r="B15" s="20"/>
      <c r="C15" s="17"/>
      <c r="D15" s="17"/>
      <c r="I15" s="45"/>
    </row>
    <row r="16" spans="2:17" ht="12" customHeight="1">
      <c r="B16" s="13" t="s">
        <v>3</v>
      </c>
      <c r="C16" s="14" t="s">
        <v>4</v>
      </c>
      <c r="D16" s="14" t="s">
        <v>5</v>
      </c>
      <c r="E16" s="14" t="s">
        <v>6</v>
      </c>
      <c r="F16" s="14"/>
      <c r="G16" s="14" t="s">
        <v>8</v>
      </c>
      <c r="H16" s="14" t="s">
        <v>9</v>
      </c>
      <c r="I16" s="15" t="s">
        <v>28</v>
      </c>
    </row>
    <row r="17" spans="2:9" ht="12" customHeight="1">
      <c r="B17" s="22">
        <v>1</v>
      </c>
      <c r="C17" s="26"/>
      <c r="D17" s="26"/>
      <c r="E17" s="35"/>
      <c r="F17" s="35"/>
      <c r="H17" s="48"/>
      <c r="I17" s="45"/>
    </row>
    <row r="18" spans="2:9" ht="12" customHeight="1">
      <c r="B18" s="22">
        <v>2</v>
      </c>
      <c r="I18" s="45"/>
    </row>
    <row r="19" spans="2:9" ht="12" customHeight="1" thickBot="1">
      <c r="B19" s="22">
        <v>3</v>
      </c>
      <c r="C19" s="17" t="s">
        <v>15</v>
      </c>
      <c r="D19" s="17"/>
      <c r="H19" s="49"/>
      <c r="I19" s="45"/>
    </row>
    <row r="20" spans="2:9" ht="12" customHeight="1" thickTop="1">
      <c r="B20" s="22">
        <v>4</v>
      </c>
      <c r="C20" s="17"/>
      <c r="D20" s="17"/>
      <c r="I20" s="45"/>
    </row>
    <row r="21" spans="2:9" ht="12" customHeight="1">
      <c r="B21" s="50">
        <v>5</v>
      </c>
      <c r="C21" s="14" t="s">
        <v>4</v>
      </c>
      <c r="D21" s="14" t="s">
        <v>5</v>
      </c>
      <c r="E21" s="14" t="s">
        <v>6</v>
      </c>
      <c r="F21" s="14"/>
      <c r="G21" s="14" t="s">
        <v>8</v>
      </c>
      <c r="H21" s="14" t="s">
        <v>9</v>
      </c>
      <c r="I21" s="25"/>
    </row>
    <row r="22" spans="2:9" ht="12" customHeight="1">
      <c r="B22" s="22">
        <v>6</v>
      </c>
      <c r="C22" s="26"/>
      <c r="D22" s="26"/>
      <c r="I22" s="45"/>
    </row>
    <row r="23" spans="2:9" ht="12" customHeight="1">
      <c r="B23" s="22">
        <v>7</v>
      </c>
      <c r="I23" s="45"/>
    </row>
    <row r="24" spans="2:9" ht="12" customHeight="1" thickBot="1">
      <c r="B24" s="22">
        <v>8</v>
      </c>
      <c r="C24" s="17" t="s">
        <v>16</v>
      </c>
      <c r="D24" s="17"/>
      <c r="H24" s="47">
        <f>SUM(H27:H28)</f>
        <v>0</v>
      </c>
      <c r="I24" s="45"/>
    </row>
    <row r="25" spans="2:9" ht="12" customHeight="1" thickTop="1">
      <c r="B25" s="22">
        <v>9</v>
      </c>
      <c r="C25" s="17"/>
      <c r="D25" s="17"/>
      <c r="I25" s="45"/>
    </row>
    <row r="26" spans="2:9" ht="12" customHeight="1">
      <c r="B26" s="22">
        <v>10</v>
      </c>
      <c r="C26" s="14" t="s">
        <v>4</v>
      </c>
      <c r="D26" s="14" t="s">
        <v>5</v>
      </c>
      <c r="E26" s="14" t="s">
        <v>6</v>
      </c>
      <c r="F26" s="14"/>
      <c r="G26" s="14" t="s">
        <v>8</v>
      </c>
      <c r="H26" s="14" t="s">
        <v>9</v>
      </c>
      <c r="I26" s="25"/>
    </row>
    <row r="27" spans="2:9" ht="12" customHeight="1">
      <c r="B27" s="22">
        <v>11</v>
      </c>
      <c r="C27" s="26"/>
      <c r="D27" s="26"/>
      <c r="E27" s="35"/>
      <c r="F27" s="35"/>
      <c r="H27" s="48"/>
      <c r="I27" s="45"/>
    </row>
    <row r="28" spans="2:9" ht="12" customHeight="1">
      <c r="B28" s="22">
        <v>12</v>
      </c>
      <c r="C28" s="26"/>
      <c r="D28" s="26"/>
      <c r="E28" s="35"/>
      <c r="F28" s="35"/>
      <c r="H28" s="48"/>
      <c r="I28" s="45"/>
    </row>
    <row r="29" spans="2:9" ht="12" customHeight="1">
      <c r="B29" s="22">
        <v>13</v>
      </c>
      <c r="I29" s="45"/>
    </row>
    <row r="30" spans="2:9" ht="12" customHeight="1" thickBot="1">
      <c r="B30" s="22">
        <v>14</v>
      </c>
      <c r="C30" s="17" t="s">
        <v>17</v>
      </c>
      <c r="D30" s="17"/>
      <c r="H30" s="49"/>
      <c r="I30" s="45"/>
    </row>
    <row r="31" spans="2:9" ht="12" customHeight="1" thickTop="1">
      <c r="B31" s="22">
        <v>15</v>
      </c>
      <c r="C31" s="17"/>
      <c r="D31" s="17"/>
      <c r="I31" s="45"/>
    </row>
    <row r="32" spans="2:9" ht="12" customHeight="1">
      <c r="B32" s="22">
        <v>16</v>
      </c>
      <c r="C32" s="14" t="s">
        <v>4</v>
      </c>
      <c r="D32" s="14" t="s">
        <v>5</v>
      </c>
      <c r="E32" s="14" t="s">
        <v>6</v>
      </c>
      <c r="F32" s="14"/>
      <c r="G32" s="14" t="s">
        <v>8</v>
      </c>
      <c r="H32" s="14" t="s">
        <v>9</v>
      </c>
      <c r="I32" s="25"/>
    </row>
    <row r="33" spans="2:9" ht="12" customHeight="1">
      <c r="B33" s="22">
        <v>17</v>
      </c>
      <c r="C33" s="26"/>
      <c r="D33" s="26"/>
      <c r="I33" s="45"/>
    </row>
    <row r="34" spans="2:9" ht="12" customHeight="1">
      <c r="B34" s="22">
        <v>18</v>
      </c>
      <c r="I34" s="45"/>
    </row>
    <row r="35" spans="2:9" ht="12" customHeight="1">
      <c r="B35" s="16"/>
      <c r="I35" s="45"/>
    </row>
    <row r="36" spans="2:9" ht="12" customHeight="1">
      <c r="B36" s="16"/>
      <c r="I36" s="45"/>
    </row>
    <row r="37" spans="2:9" ht="12" customHeight="1" thickBot="1">
      <c r="B37" s="16"/>
      <c r="C37" s="51" t="s">
        <v>18</v>
      </c>
      <c r="D37" s="51"/>
      <c r="E37" s="52"/>
      <c r="F37" s="52"/>
      <c r="G37" s="52"/>
      <c r="H37" s="53">
        <f>+H9-H14-H19+H24+H30-H10</f>
        <v>0</v>
      </c>
      <c r="I37" s="45"/>
    </row>
    <row r="38" spans="2:9" ht="12" customHeight="1" thickTop="1">
      <c r="B38" s="16"/>
      <c r="I38" s="45"/>
    </row>
    <row r="39" spans="2:9" ht="12" customHeight="1">
      <c r="B39" s="16"/>
      <c r="I39" s="45"/>
    </row>
    <row r="40" spans="2:9" ht="12" customHeight="1">
      <c r="B40" s="16"/>
      <c r="I40" s="45"/>
    </row>
    <row r="41" spans="2:9" ht="12" customHeight="1">
      <c r="B41" s="16"/>
      <c r="E41" s="255"/>
      <c r="F41" s="265"/>
      <c r="G41" s="265"/>
      <c r="H41" s="255"/>
      <c r="I41" s="45"/>
    </row>
    <row r="42" spans="2:9" ht="12" customHeight="1">
      <c r="B42" s="16"/>
      <c r="E42" s="255"/>
      <c r="F42" s="255"/>
      <c r="G42" s="255"/>
      <c r="H42" s="255"/>
      <c r="I42" s="45"/>
    </row>
    <row r="43" spans="2:9" ht="12" customHeight="1">
      <c r="B43" s="16"/>
      <c r="I43" s="45"/>
    </row>
    <row r="44" spans="2:9" ht="12" customHeight="1">
      <c r="B44" s="16"/>
      <c r="D44" s="256" t="s">
        <v>19</v>
      </c>
      <c r="E44" s="265" t="s">
        <v>20</v>
      </c>
      <c r="F44" s="265"/>
      <c r="G44" s="265" t="s">
        <v>21</v>
      </c>
      <c r="H44" s="265"/>
      <c r="I44" s="45"/>
    </row>
    <row r="45" spans="2:9" ht="12" customHeight="1">
      <c r="B45" s="32"/>
      <c r="C45" s="33"/>
      <c r="D45" s="33"/>
      <c r="E45" s="33"/>
      <c r="F45" s="33"/>
      <c r="G45" s="33"/>
      <c r="H45" s="33"/>
      <c r="I45" s="54"/>
    </row>
  </sheetData>
  <mergeCells count="13">
    <mergeCell ref="E44:F44"/>
    <mergeCell ref="G44:H44"/>
    <mergeCell ref="C3:D3"/>
    <mergeCell ref="G3:H3"/>
    <mergeCell ref="M3:Q3"/>
    <mergeCell ref="C4:D4"/>
    <mergeCell ref="G4:H4"/>
    <mergeCell ref="M4:Q4"/>
    <mergeCell ref="C6:H6"/>
    <mergeCell ref="M6:Q6"/>
    <mergeCell ref="C7:H7"/>
    <mergeCell ref="M7:Q7"/>
    <mergeCell ref="F41:G41"/>
  </mergeCells>
  <printOptions horizontalCentered="1"/>
  <pageMargins left="0.70866141732283472" right="0.70866141732283472" top="0.74803149606299213" bottom="0.74803149606299213" header="0.31496062992125984" footer="0.31496062992125984"/>
  <pageSetup scale="46" orientation="portrait" r:id="rId1"/>
</worksheet>
</file>

<file path=docMetadata/LabelInfo.xml><?xml version="1.0" encoding="utf-8"?>
<clbl:labelList xmlns:clbl="http://schemas.microsoft.com/office/2020/mipLabelMetadata">
  <clbl:label id="{dab903cb-ca77-43e8-a406-9e396f61eb8c}" enabled="0" method="" siteId="{dab903cb-ca77-43e8-a406-9e396f61eb8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11</vt:i4>
      </vt:variant>
    </vt:vector>
  </HeadingPairs>
  <TitlesOfParts>
    <vt:vector size="19" baseType="lpstr">
      <vt:lpstr>Bancolombia Cta 1331  </vt:lpstr>
      <vt:lpstr>Banco de Bogotá 0553 </vt:lpstr>
      <vt:lpstr>Bancolombia Cta 690 </vt:lpstr>
      <vt:lpstr>Banco Colpatria Def</vt:lpstr>
      <vt:lpstr>Banco de Bogota E-commerce</vt:lpstr>
      <vt:lpstr>Banco Itaú Aho. 39292-44 </vt:lpstr>
      <vt:lpstr>Mercado Pago</vt:lpstr>
      <vt:lpstr>Banco de Bogotá Aho. 095000 </vt:lpstr>
      <vt:lpstr>'Banco Colpatria Def'!Área_de_impresión</vt:lpstr>
      <vt:lpstr>'Banco de Bogotá 0553 '!Área_de_impresión</vt:lpstr>
      <vt:lpstr>'Banco de Bogotá Aho. 095000 '!Área_de_impresión</vt:lpstr>
      <vt:lpstr>'Banco de Bogota E-commerce'!Área_de_impresión</vt:lpstr>
      <vt:lpstr>'Banco Itaú Aho. 39292-44 '!Área_de_impresión</vt:lpstr>
      <vt:lpstr>'Bancolombia Cta 1331  '!Área_de_impresión</vt:lpstr>
      <vt:lpstr>'Bancolombia Cta 690 '!Área_de_impresión</vt:lpstr>
      <vt:lpstr>'Mercado Pago'!Área_de_impresión</vt:lpstr>
      <vt:lpstr>'Banco de Bogotá 0553 '!Títulos_a_imprimir</vt:lpstr>
      <vt:lpstr>'Bancolombia Cta 1331  '!Títulos_a_imprimir</vt:lpstr>
      <vt:lpstr>'Bancolombia Cta 690 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Nomezque</dc:creator>
  <cp:lastModifiedBy>Anny Joulieth Lozano (CCS)</cp:lastModifiedBy>
  <cp:lastPrinted>2025-12-29T15:53:31Z</cp:lastPrinted>
  <dcterms:created xsi:type="dcterms:W3CDTF">2025-05-13T12:20:49Z</dcterms:created>
  <dcterms:modified xsi:type="dcterms:W3CDTF">2026-05-11T00:54:55Z</dcterms:modified>
</cp:coreProperties>
</file>